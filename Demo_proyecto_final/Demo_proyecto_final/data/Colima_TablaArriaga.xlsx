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AEL\Documents\"/>
    </mc:Choice>
  </mc:AlternateContent>
  <xr:revisionPtr revIDLastSave="0" documentId="8_{0086B58E-048E-4C73-A5E8-E9B68E1C0897}" xr6:coauthVersionLast="47" xr6:coauthVersionMax="47" xr10:uidLastSave="{00000000-0000-0000-0000-000000000000}"/>
  <bookViews>
    <workbookView xWindow="-120" yWindow="-120" windowWidth="20730" windowHeight="11040" firstSheet="6" activeTab="6" xr2:uid="{AB4F718D-AD51-41D9-9DE5-11BCD9C6203E}"/>
  </bookViews>
  <sheets>
    <sheet name="2010H" sheetId="1" r:id="rId1"/>
    <sheet name="2010F" sheetId="2" r:id="rId2"/>
    <sheet name="2019H" sheetId="3" r:id="rId3"/>
    <sheet name="2019F" sheetId="4" r:id="rId4"/>
    <sheet name="2021H" sheetId="5" r:id="rId5"/>
    <sheet name="2021F" sheetId="6" r:id="rId6"/>
    <sheet name="GrafH10-19" sheetId="7" r:id="rId7"/>
    <sheet name="GrafH19-21" sheetId="8" r:id="rId8"/>
    <sheet name="GrafF10-19" sheetId="9" r:id="rId9"/>
    <sheet name="GrafF19-21" sheetId="10" r:id="rId10"/>
    <sheet name="Desc.ArriH10-19" sheetId="11" r:id="rId11"/>
    <sheet name="Desc.ArriH19-21" sheetId="12" r:id="rId12"/>
    <sheet name="Desc.ArriF10-19" sheetId="13" r:id="rId13"/>
    <sheet name="Desc.ArriF19-21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4" l="1"/>
  <c r="M4" i="4"/>
  <c r="I12" i="2"/>
  <c r="M24" i="13"/>
  <c r="K5" i="13"/>
  <c r="I22" i="5"/>
  <c r="G6" i="12"/>
  <c r="G7" i="12" s="1"/>
  <c r="M24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5" i="11"/>
  <c r="K24" i="11"/>
  <c r="K23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5" i="11"/>
  <c r="K6" i="3"/>
  <c r="G11" i="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T3" i="10"/>
  <c r="S3" i="10"/>
  <c r="P3" i="10"/>
  <c r="O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L3" i="10"/>
  <c r="K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H3" i="10"/>
  <c r="G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D3" i="10"/>
  <c r="C3" i="10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T3" i="9"/>
  <c r="S3" i="9"/>
  <c r="P3" i="9"/>
  <c r="O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L3" i="9"/>
  <c r="K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H3" i="9"/>
  <c r="G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3" i="9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P3" i="8"/>
  <c r="O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3" i="8"/>
  <c r="K21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3" i="8"/>
  <c r="G21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3" i="8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T3" i="7"/>
  <c r="S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P3" i="7"/>
  <c r="O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L3" i="7"/>
  <c r="K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3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4" i="7"/>
  <c r="G3" i="7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L22" i="6"/>
  <c r="L21" i="6" s="1"/>
  <c r="L20" i="6" s="1"/>
  <c r="L19" i="6" s="1"/>
  <c r="L18" i="6" s="1"/>
  <c r="L17" i="6" s="1"/>
  <c r="L16" i="6" s="1"/>
  <c r="L15" i="6" s="1"/>
  <c r="L14" i="6" s="1"/>
  <c r="L13" i="6" s="1"/>
  <c r="L12" i="6" s="1"/>
  <c r="L11" i="6" s="1"/>
  <c r="L10" i="6" s="1"/>
  <c r="L9" i="6" s="1"/>
  <c r="L8" i="6" s="1"/>
  <c r="L7" i="6" s="1"/>
  <c r="L6" i="6" s="1"/>
  <c r="L5" i="6" s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I6" i="6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6" i="6"/>
  <c r="F5" i="6"/>
  <c r="F4" i="6"/>
  <c r="G4" i="6" s="1"/>
  <c r="H4" i="6" s="1"/>
  <c r="I5" i="6" s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L22" i="5"/>
  <c r="L21" i="5" s="1"/>
  <c r="L20" i="5" s="1"/>
  <c r="L19" i="5" s="1"/>
  <c r="L18" i="5" s="1"/>
  <c r="L17" i="5" s="1"/>
  <c r="L16" i="5" s="1"/>
  <c r="L15" i="5" s="1"/>
  <c r="L14" i="5" s="1"/>
  <c r="L13" i="5" s="1"/>
  <c r="L12" i="5" s="1"/>
  <c r="L11" i="5" s="1"/>
  <c r="L10" i="5" s="1"/>
  <c r="L9" i="5" s="1"/>
  <c r="L8" i="5" s="1"/>
  <c r="L7" i="5" s="1"/>
  <c r="L6" i="5" s="1"/>
  <c r="L5" i="5" s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I6" i="5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6" i="5"/>
  <c r="F5" i="5"/>
  <c r="F4" i="5"/>
  <c r="G4" i="5" s="1"/>
  <c r="H4" i="5" s="1"/>
  <c r="I5" i="5" s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L22" i="4"/>
  <c r="L21" i="4" s="1"/>
  <c r="L20" i="4" s="1"/>
  <c r="L19" i="4" s="1"/>
  <c r="L18" i="4" s="1"/>
  <c r="L17" i="4" s="1"/>
  <c r="L16" i="4" s="1"/>
  <c r="L15" i="4" s="1"/>
  <c r="L14" i="4" s="1"/>
  <c r="L13" i="4" s="1"/>
  <c r="L12" i="4" s="1"/>
  <c r="L11" i="4" s="1"/>
  <c r="L10" i="4" s="1"/>
  <c r="L9" i="4" s="1"/>
  <c r="L8" i="4" s="1"/>
  <c r="L7" i="4" s="1"/>
  <c r="L6" i="4" s="1"/>
  <c r="L5" i="4" s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6" i="4"/>
  <c r="F5" i="4"/>
  <c r="F4" i="4"/>
  <c r="G4" i="4" s="1"/>
  <c r="H4" i="4" s="1"/>
  <c r="I5" i="4" s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L22" i="3"/>
  <c r="L21" i="3" s="1"/>
  <c r="L20" i="3" s="1"/>
  <c r="L19" i="3" s="1"/>
  <c r="L18" i="3" s="1"/>
  <c r="L17" i="3" s="1"/>
  <c r="L16" i="3" s="1"/>
  <c r="L15" i="3" s="1"/>
  <c r="L14" i="3" s="1"/>
  <c r="L13" i="3" s="1"/>
  <c r="L12" i="3" s="1"/>
  <c r="L11" i="3" s="1"/>
  <c r="L10" i="3" s="1"/>
  <c r="L9" i="3" s="1"/>
  <c r="L8" i="3" s="1"/>
  <c r="L7" i="3" s="1"/>
  <c r="L6" i="3" s="1"/>
  <c r="L5" i="3" s="1"/>
  <c r="K5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I6" i="3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5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6" i="3"/>
  <c r="F5" i="3"/>
  <c r="F5" i="2"/>
  <c r="J4" i="3"/>
  <c r="F4" i="3"/>
  <c r="G5" i="2"/>
  <c r="H5" i="2" s="1"/>
  <c r="I6" i="2" s="1"/>
  <c r="K4" i="2"/>
  <c r="I5" i="2"/>
  <c r="J4" i="2" s="1"/>
  <c r="H2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6" i="2"/>
  <c r="F5" i="1"/>
  <c r="G4" i="2"/>
  <c r="G4" i="1"/>
  <c r="F4" i="2"/>
  <c r="H4" i="2" s="1"/>
  <c r="K4" i="1"/>
  <c r="J4" i="1"/>
  <c r="I6" i="1"/>
  <c r="J5" i="1" s="1"/>
  <c r="I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6" i="1"/>
  <c r="F4" i="1"/>
  <c r="K7" i="14" l="1"/>
  <c r="K6" i="14"/>
  <c r="K5" i="14"/>
  <c r="K6" i="13"/>
  <c r="K7" i="13"/>
  <c r="G8" i="12"/>
  <c r="J4" i="6"/>
  <c r="K4" i="6" s="1"/>
  <c r="J5" i="6"/>
  <c r="J4" i="5"/>
  <c r="K4" i="5" s="1"/>
  <c r="J4" i="4"/>
  <c r="K4" i="4" s="1"/>
  <c r="K4" i="3"/>
  <c r="L4" i="3" s="1"/>
  <c r="M4" i="3" s="1"/>
  <c r="G4" i="3"/>
  <c r="H4" i="3" s="1"/>
  <c r="I7" i="2"/>
  <c r="J6" i="2" s="1"/>
  <c r="J5" i="2"/>
  <c r="K5" i="2"/>
  <c r="K5" i="1"/>
  <c r="I7" i="1"/>
  <c r="K8" i="13" l="1"/>
  <c r="G9" i="12"/>
  <c r="L4" i="6"/>
  <c r="M4" i="6" s="1"/>
  <c r="L4" i="5"/>
  <c r="M4" i="5" s="1"/>
  <c r="L4" i="4"/>
  <c r="I8" i="2"/>
  <c r="J7" i="2" s="1"/>
  <c r="K6" i="2"/>
  <c r="I8" i="1"/>
  <c r="J7" i="1"/>
  <c r="J6" i="1"/>
  <c r="K6" i="1" s="1"/>
  <c r="K9" i="14" l="1"/>
  <c r="K8" i="14"/>
  <c r="K9" i="13"/>
  <c r="G10" i="12"/>
  <c r="I9" i="2"/>
  <c r="K7" i="2"/>
  <c r="J8" i="2"/>
  <c r="I9" i="1"/>
  <c r="K7" i="1"/>
  <c r="J8" i="1"/>
  <c r="K10" i="13" l="1"/>
  <c r="G11" i="12"/>
  <c r="I10" i="2"/>
  <c r="J9" i="2" s="1"/>
  <c r="K8" i="2"/>
  <c r="I10" i="1"/>
  <c r="K8" i="1"/>
  <c r="J9" i="1"/>
  <c r="K11" i="14" l="1"/>
  <c r="K10" i="14"/>
  <c r="G12" i="12"/>
  <c r="I11" i="2"/>
  <c r="K9" i="2"/>
  <c r="J10" i="2"/>
  <c r="I11" i="1"/>
  <c r="K9" i="1"/>
  <c r="J10" i="1"/>
  <c r="K12" i="14" l="1"/>
  <c r="K12" i="13"/>
  <c r="K11" i="13"/>
  <c r="G13" i="12"/>
  <c r="J11" i="2"/>
  <c r="K10" i="2"/>
  <c r="I12" i="1"/>
  <c r="K10" i="1"/>
  <c r="J11" i="1"/>
  <c r="K13" i="14" l="1"/>
  <c r="K13" i="13"/>
  <c r="G14" i="12"/>
  <c r="I13" i="2"/>
  <c r="K11" i="2"/>
  <c r="J12" i="2"/>
  <c r="I13" i="1"/>
  <c r="K11" i="1"/>
  <c r="J12" i="1"/>
  <c r="K14" i="14" l="1"/>
  <c r="K14" i="13"/>
  <c r="G15" i="12"/>
  <c r="K14" i="12"/>
  <c r="I14" i="2"/>
  <c r="K12" i="2"/>
  <c r="J13" i="2"/>
  <c r="I14" i="1"/>
  <c r="K12" i="1"/>
  <c r="J13" i="1"/>
  <c r="K15" i="14" l="1"/>
  <c r="K15" i="13"/>
  <c r="G16" i="12"/>
  <c r="I15" i="2"/>
  <c r="J14" i="2" s="1"/>
  <c r="K13" i="2"/>
  <c r="I15" i="1"/>
  <c r="K13" i="1"/>
  <c r="J14" i="1"/>
  <c r="K16" i="14" l="1"/>
  <c r="K16" i="13"/>
  <c r="K13" i="12"/>
  <c r="G17" i="12"/>
  <c r="K16" i="12"/>
  <c r="K15" i="12"/>
  <c r="I16" i="2"/>
  <c r="K14" i="2"/>
  <c r="J15" i="2"/>
  <c r="I16" i="1"/>
  <c r="K14" i="1"/>
  <c r="J15" i="1"/>
  <c r="K17" i="14" l="1"/>
  <c r="K17" i="13"/>
  <c r="K12" i="12"/>
  <c r="G18" i="12"/>
  <c r="K17" i="12"/>
  <c r="I17" i="2"/>
  <c r="K15" i="2"/>
  <c r="J16" i="2"/>
  <c r="I17" i="1"/>
  <c r="K15" i="1"/>
  <c r="J16" i="1"/>
  <c r="K18" i="14" l="1"/>
  <c r="K18" i="13"/>
  <c r="K11" i="12"/>
  <c r="G19" i="12"/>
  <c r="K18" i="12"/>
  <c r="I18" i="2"/>
  <c r="K16" i="2"/>
  <c r="J17" i="2"/>
  <c r="I18" i="1"/>
  <c r="K16" i="1"/>
  <c r="J17" i="1"/>
  <c r="K19" i="14" l="1"/>
  <c r="K10" i="12"/>
  <c r="G20" i="12"/>
  <c r="K19" i="12"/>
  <c r="I19" i="2"/>
  <c r="K17" i="2"/>
  <c r="J18" i="2"/>
  <c r="I19" i="1"/>
  <c r="K17" i="1"/>
  <c r="J18" i="1"/>
  <c r="K20" i="13" l="1"/>
  <c r="K19" i="13"/>
  <c r="K9" i="12"/>
  <c r="G21" i="12"/>
  <c r="I20" i="2"/>
  <c r="J19" i="2"/>
  <c r="K18" i="2"/>
  <c r="I20" i="1"/>
  <c r="K18" i="1"/>
  <c r="J19" i="1"/>
  <c r="K21" i="14" l="1"/>
  <c r="K20" i="14"/>
  <c r="K21" i="13"/>
  <c r="K8" i="12"/>
  <c r="G22" i="12"/>
  <c r="K21" i="12"/>
  <c r="K20" i="12"/>
  <c r="I21" i="2"/>
  <c r="J20" i="2" s="1"/>
  <c r="K19" i="2"/>
  <c r="I21" i="1"/>
  <c r="K19" i="1"/>
  <c r="J20" i="1"/>
  <c r="K23" i="14" l="1"/>
  <c r="K22" i="14"/>
  <c r="K23" i="13"/>
  <c r="K22" i="13"/>
  <c r="K7" i="12"/>
  <c r="G23" i="12"/>
  <c r="K23" i="12" s="1"/>
  <c r="K22" i="12"/>
  <c r="I22" i="2"/>
  <c r="K20" i="2"/>
  <c r="J21" i="2"/>
  <c r="I22" i="1"/>
  <c r="K20" i="1"/>
  <c r="J21" i="1"/>
  <c r="K24" i="14" l="1"/>
  <c r="K24" i="13"/>
  <c r="K6" i="12"/>
  <c r="K21" i="2"/>
  <c r="J22" i="2"/>
  <c r="K22" i="2" s="1"/>
  <c r="L22" i="2" s="1"/>
  <c r="K21" i="1"/>
  <c r="J22" i="1"/>
  <c r="K22" i="1" s="1"/>
  <c r="L22" i="1" s="1"/>
  <c r="L6" i="14" l="1"/>
  <c r="L5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3" i="14"/>
  <c r="L22" i="14"/>
  <c r="L6" i="13"/>
  <c r="L7" i="13"/>
  <c r="L5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K5" i="12"/>
  <c r="K24" i="12" s="1"/>
  <c r="L6" i="12" s="1"/>
  <c r="M24" i="12"/>
  <c r="L5" i="12"/>
  <c r="L7" i="12"/>
  <c r="L8" i="12"/>
  <c r="L10" i="12"/>
  <c r="L12" i="12"/>
  <c r="L13" i="12"/>
  <c r="L14" i="12"/>
  <c r="L16" i="12"/>
  <c r="L17" i="12"/>
  <c r="L18" i="12"/>
  <c r="L19" i="12"/>
  <c r="L20" i="12"/>
  <c r="L21" i="12"/>
  <c r="L23" i="12"/>
  <c r="L22" i="12"/>
  <c r="L21" i="2"/>
  <c r="M22" i="2"/>
  <c r="L21" i="1"/>
  <c r="M22" i="1"/>
  <c r="L9" i="12" l="1"/>
  <c r="L15" i="12"/>
  <c r="L11" i="12"/>
  <c r="L20" i="2"/>
  <c r="M21" i="2"/>
  <c r="L20" i="1"/>
  <c r="M21" i="1"/>
  <c r="L19" i="2" l="1"/>
  <c r="M20" i="2"/>
  <c r="L19" i="1"/>
  <c r="M20" i="1"/>
  <c r="L18" i="2" l="1"/>
  <c r="M19" i="2"/>
  <c r="L18" i="1"/>
  <c r="M19" i="1"/>
  <c r="L17" i="2" l="1"/>
  <c r="M18" i="2"/>
  <c r="L17" i="1"/>
  <c r="M18" i="1"/>
  <c r="L16" i="2" l="1"/>
  <c r="M17" i="2"/>
  <c r="L16" i="1"/>
  <c r="M17" i="1"/>
  <c r="L15" i="2" l="1"/>
  <c r="M16" i="2"/>
  <c r="L15" i="1"/>
  <c r="M16" i="1"/>
  <c r="L14" i="2" l="1"/>
  <c r="M15" i="2"/>
  <c r="L14" i="1"/>
  <c r="M15" i="1"/>
  <c r="L13" i="2" l="1"/>
  <c r="M14" i="2"/>
  <c r="L13" i="1"/>
  <c r="M14" i="1"/>
  <c r="L12" i="2" l="1"/>
  <c r="M13" i="2"/>
  <c r="L12" i="1"/>
  <c r="M13" i="1"/>
  <c r="L11" i="2" l="1"/>
  <c r="M12" i="2"/>
  <c r="L11" i="1"/>
  <c r="M12" i="1"/>
  <c r="L10" i="2" l="1"/>
  <c r="M11" i="2"/>
  <c r="L10" i="1"/>
  <c r="M11" i="1"/>
  <c r="L9" i="2" l="1"/>
  <c r="M10" i="2"/>
  <c r="L9" i="1"/>
  <c r="M10" i="1"/>
  <c r="L8" i="2" l="1"/>
  <c r="M9" i="2"/>
  <c r="L8" i="1"/>
  <c r="M9" i="1"/>
  <c r="L7" i="2" l="1"/>
  <c r="M8" i="2"/>
  <c r="L7" i="1"/>
  <c r="M8" i="1"/>
  <c r="L6" i="2" l="1"/>
  <c r="M7" i="2"/>
  <c r="L6" i="1"/>
  <c r="M7" i="1"/>
  <c r="L5" i="2" l="1"/>
  <c r="M6" i="2"/>
  <c r="L5" i="1"/>
  <c r="M6" i="1"/>
  <c r="M5" i="2" l="1"/>
  <c r="L4" i="2"/>
  <c r="M4" i="2" s="1"/>
  <c r="L4" i="1"/>
  <c r="M4" i="1" s="1"/>
  <c r="M5" i="1"/>
</calcChain>
</file>

<file path=xl/sharedStrings.xml><?xml version="1.0" encoding="utf-8"?>
<sst xmlns="http://schemas.openxmlformats.org/spreadsheetml/2006/main" count="222" uniqueCount="42">
  <si>
    <t>x(edad)</t>
  </si>
  <si>
    <t>n</t>
  </si>
  <si>
    <t>nNx</t>
  </si>
  <si>
    <t>nDx</t>
  </si>
  <si>
    <t>nmx</t>
  </si>
  <si>
    <t>nax</t>
  </si>
  <si>
    <t>nqx</t>
  </si>
  <si>
    <t>npx</t>
  </si>
  <si>
    <t>lx</t>
  </si>
  <si>
    <t>ndx</t>
  </si>
  <si>
    <t>nLx</t>
  </si>
  <si>
    <t>Tx</t>
  </si>
  <si>
    <t>ex</t>
  </si>
  <si>
    <t>Colima: tabla de mortalidad masculina, 2010</t>
  </si>
  <si>
    <t>Colima: tabla de mortalidad femenina, 2010</t>
  </si>
  <si>
    <t>Colima: tabla de mortalidad masculina, 2019</t>
  </si>
  <si>
    <t>Colima: tabla de mortalidad femenina, 2019</t>
  </si>
  <si>
    <t>Colima: tabla de mortalidad masculina, 2021</t>
  </si>
  <si>
    <t>Colima: tabla de mortalidad femenina, 2021</t>
  </si>
  <si>
    <t>85+</t>
  </si>
  <si>
    <t>nmx 2010</t>
  </si>
  <si>
    <t>nmx2019</t>
  </si>
  <si>
    <t>nqx 2010</t>
  </si>
  <si>
    <t>nqx 2019</t>
  </si>
  <si>
    <t>lx 2010</t>
  </si>
  <si>
    <t>lx 2019</t>
  </si>
  <si>
    <t>ndx 2010</t>
  </si>
  <si>
    <t>ndx 2019</t>
  </si>
  <si>
    <t>ex 2010</t>
  </si>
  <si>
    <t>ex 2019</t>
  </si>
  <si>
    <t>nmx 2019</t>
  </si>
  <si>
    <t>nmx2021</t>
  </si>
  <si>
    <t>nqx 2021</t>
  </si>
  <si>
    <t>lx 2021</t>
  </si>
  <si>
    <t>ndx 2021</t>
  </si>
  <si>
    <t>ex 2021</t>
  </si>
  <si>
    <t>nTriangulox</t>
  </si>
  <si>
    <t>%</t>
  </si>
  <si>
    <t>Descomposición de la diferencia de la esperanza de vida al nacer de los hombres en Colima en 2010 y  2019</t>
  </si>
  <si>
    <t>Descomposición de la diferencia de la esperanza de vida al nacer de los hombres en Colima en 2019 y  2021</t>
  </si>
  <si>
    <t>Descomposición de la diferencia de la esperanza de vida al nacer de mujeres en Colima en 2010 y  2019</t>
  </si>
  <si>
    <t>Descomposición de la diferencia de la esperanza de vida al nacer de mujeres en Colima en 2019 y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</si>
</sst>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'GrafH10-19'!$C$2</c:f>
              <c:strCache>
                <c:ptCount val="1"/>
                <c:pt idx="0">
                  <c:v>nmx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'GrafH10-19'!$B$3:$B$21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'GrafH10-19'!$C$3:$C$21</c:f>
              <c:numCache>
                <c:formatCode>General</c:formatCode>
                <c:ptCount val="19"/>
                <c:pt idx="0">
                  <c:v>1.3634999599999999E-2</c:v>
                </c:pt>
                <c:pt idx="1">
                  <c:v>5.4556319999999995E-4</c:v>
                </c:pt>
                <c:pt idx="2">
                  <c:v>2.5375009999999999E-4</c:v>
                </c:pt>
                <c:pt idx="3">
                  <c:v>1.853201E-4</c:v>
                </c:pt>
                <c:pt idx="4">
                  <c:v>1.0190929E-3</c:v>
                </c:pt>
                <c:pt idx="5">
                  <c:v>1.5214147E-3</c:v>
                </c:pt>
                <c:pt idx="6">
                  <c:v>2.0734015000000001E-3</c:v>
                </c:pt>
                <c:pt idx="7">
                  <c:v>2.5591994E-3</c:v>
                </c:pt>
                <c:pt idx="8">
                  <c:v>3.4778306000000001E-3</c:v>
                </c:pt>
                <c:pt idx="9">
                  <c:v>4.2950211E-3</c:v>
                </c:pt>
                <c:pt idx="10">
                  <c:v>5.3717898000000004E-3</c:v>
                </c:pt>
                <c:pt idx="11">
                  <c:v>7.1097827999999997E-3</c:v>
                </c:pt>
                <c:pt idx="12">
                  <c:v>1.0341804899999999E-2</c:v>
                </c:pt>
                <c:pt idx="13">
                  <c:v>1.6573804500000001E-2</c:v>
                </c:pt>
                <c:pt idx="14">
                  <c:v>2.43255346E-2</c:v>
                </c:pt>
                <c:pt idx="15">
                  <c:v>3.3936631100000003E-2</c:v>
                </c:pt>
                <c:pt idx="16">
                  <c:v>5.2031315799999998E-2</c:v>
                </c:pt>
                <c:pt idx="17">
                  <c:v>7.6526110800000005E-2</c:v>
                </c:pt>
                <c:pt idx="18">
                  <c:v>0.13412595460000001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6-4037-9076-3A12A17EF8B0}"/>
            </c:ext>
          </c:extLst>
        </c:ser>
        <c:ser>
          <c:idx val="1"/>
          <c:order val="1"/>
          <c:tx>
            <c:strRef>
              <c:f>'GrafH10-19'!$D$2</c:f>
              <c:strCache>
                <c:ptCount val="1"/>
                <c:pt idx="0">
                  <c:v>nmx2019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'GrafH10-19'!$B$3:$B$21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'GrafH10-19'!$D$3:$D$21</c:f>
              <c:numCache>
                <c:formatCode>General</c:formatCode>
                <c:ptCount val="19"/>
                <c:pt idx="0">
                  <c:v>9.6054723000000009E-3</c:v>
                </c:pt>
                <c:pt idx="1">
                  <c:v>5.0000969999999996E-4</c:v>
                </c:pt>
                <c:pt idx="2">
                  <c:v>1.956181E-4</c:v>
                </c:pt>
                <c:pt idx="3">
                  <c:v>2.2592749999999999E-4</c:v>
                </c:pt>
                <c:pt idx="4">
                  <c:v>1.8194659E-3</c:v>
                </c:pt>
                <c:pt idx="5">
                  <c:v>4.1788538E-3</c:v>
                </c:pt>
                <c:pt idx="6">
                  <c:v>5.1347527999999996E-3</c:v>
                </c:pt>
                <c:pt idx="7">
                  <c:v>5.0554005000000004E-3</c:v>
                </c:pt>
                <c:pt idx="8">
                  <c:v>4.7608436999999997E-3</c:v>
                </c:pt>
                <c:pt idx="9">
                  <c:v>6.2979057999999997E-3</c:v>
                </c:pt>
                <c:pt idx="10">
                  <c:v>6.6899400000000001E-3</c:v>
                </c:pt>
                <c:pt idx="11">
                  <c:v>8.2330699000000007E-3</c:v>
                </c:pt>
                <c:pt idx="12">
                  <c:v>1.23024311E-2</c:v>
                </c:pt>
                <c:pt idx="13">
                  <c:v>1.6714044099999999E-2</c:v>
                </c:pt>
                <c:pt idx="14">
                  <c:v>1.88719283E-2</c:v>
                </c:pt>
                <c:pt idx="15">
                  <c:v>2.8894305200000001E-2</c:v>
                </c:pt>
                <c:pt idx="16">
                  <c:v>4.7994042799999997E-2</c:v>
                </c:pt>
                <c:pt idx="17">
                  <c:v>6.1665683700000001E-2</c:v>
                </c:pt>
                <c:pt idx="18">
                  <c:v>0.1453537651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76-4037-9076-3A12A17EF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70496"/>
        <c:axId val="1239869536"/>
      </c:lineChart>
      <c:catAx>
        <c:axId val="123987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69536"/>
        <c:crosses val="autoZero"/>
        <c:auto val="1"/>
        <c:lblAlgn val="ctr"/>
        <c:lblOffset val="100"/>
        <c:noMultiLvlLbl val="0"/>
      </c:catAx>
      <c:valAx>
        <c:axId val="12398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7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'GrafH10-19'!$G$2</c:f>
              <c:strCache>
                <c:ptCount val="1"/>
                <c:pt idx="0">
                  <c:v>nqx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'GrafH10-19'!$F$3:$F$21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'GrafH10-19'!$G$3:$G$21</c:f>
              <c:numCache>
                <c:formatCode>General</c:formatCode>
                <c:ptCount val="19"/>
                <c:pt idx="0">
                  <c:v>1.3468105694565762E-2</c:v>
                </c:pt>
                <c:pt idx="1">
                  <c:v>2.1792820079138552E-3</c:v>
                </c:pt>
                <c:pt idx="2">
                  <c:v>1.267946146346425E-3</c:v>
                </c:pt>
                <c:pt idx="3">
                  <c:v>9.2617140455672595E-4</c:v>
                </c:pt>
                <c:pt idx="4">
                  <c:v>5.0825156110665569E-3</c:v>
                </c:pt>
                <c:pt idx="5">
                  <c:v>7.5782493500962458E-3</c:v>
                </c:pt>
                <c:pt idx="6">
                  <c:v>1.0313547189467592E-2</c:v>
                </c:pt>
                <c:pt idx="7">
                  <c:v>1.2714648696710421E-2</c:v>
                </c:pt>
                <c:pt idx="8">
                  <c:v>1.7239264892587633E-2</c:v>
                </c:pt>
                <c:pt idx="9">
                  <c:v>2.1246965091552054E-2</c:v>
                </c:pt>
                <c:pt idx="10">
                  <c:v>2.650302727109009E-2</c:v>
                </c:pt>
                <c:pt idx="11">
                  <c:v>3.492808623315647E-2</c:v>
                </c:pt>
                <c:pt idx="12">
                  <c:v>5.040580694682225E-2</c:v>
                </c:pt>
                <c:pt idx="13">
                  <c:v>7.9571995747034538E-2</c:v>
                </c:pt>
                <c:pt idx="14">
                  <c:v>0.11465505898875972</c:v>
                </c:pt>
                <c:pt idx="15">
                  <c:v>0.15641284311016998</c:v>
                </c:pt>
                <c:pt idx="16">
                  <c:v>0.23021111140459616</c:v>
                </c:pt>
                <c:pt idx="17">
                  <c:v>0.32118328488454367</c:v>
                </c:pt>
                <c:pt idx="18">
                  <c:v>0.50222593919984737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B-4DBC-8184-EB9F99A87970}"/>
            </c:ext>
          </c:extLst>
        </c:ser>
        <c:ser>
          <c:idx val="1"/>
          <c:order val="1"/>
          <c:tx>
            <c:strRef>
              <c:f>'GrafH10-19'!$H$2</c:f>
              <c:strCache>
                <c:ptCount val="1"/>
                <c:pt idx="0">
                  <c:v>nqx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'GrafH10-19'!$F$3:$F$21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'GrafH10-19'!$H$3:$H$21</c:f>
              <c:numCache>
                <c:formatCode>General</c:formatCode>
                <c:ptCount val="19"/>
                <c:pt idx="0">
                  <c:v>9.5213224712093671E-3</c:v>
                </c:pt>
                <c:pt idx="1">
                  <c:v>1.9975492249739934E-3</c:v>
                </c:pt>
                <c:pt idx="2">
                  <c:v>9.7761240329782622E-4</c:v>
                </c:pt>
                <c:pt idx="3">
                  <c:v>1.128999819733068E-3</c:v>
                </c:pt>
                <c:pt idx="4">
                  <c:v>9.0561361726204034E-3</c:v>
                </c:pt>
                <c:pt idx="5">
                  <c:v>2.0678240638822853E-2</c:v>
                </c:pt>
                <c:pt idx="6">
                  <c:v>2.534836996585596E-2</c:v>
                </c:pt>
                <c:pt idx="7">
                  <c:v>2.4961526219670783E-2</c:v>
                </c:pt>
                <c:pt idx="8">
                  <c:v>2.352423053811319E-2</c:v>
                </c:pt>
                <c:pt idx="9">
                  <c:v>3.1001418959319679E-2</c:v>
                </c:pt>
                <c:pt idx="10">
                  <c:v>3.2899461442296801E-2</c:v>
                </c:pt>
                <c:pt idx="11">
                  <c:v>4.0335144342993859E-2</c:v>
                </c:pt>
                <c:pt idx="12">
                  <c:v>5.9676733252228449E-2</c:v>
                </c:pt>
                <c:pt idx="13">
                  <c:v>8.0218290391907615E-2</c:v>
                </c:pt>
                <c:pt idx="14">
                  <c:v>9.0108345892703265E-2</c:v>
                </c:pt>
                <c:pt idx="15">
                  <c:v>0.1347385817423066</c:v>
                </c:pt>
                <c:pt idx="16">
                  <c:v>0.21426196875312556</c:v>
                </c:pt>
                <c:pt idx="17">
                  <c:v>0.2671443248966785</c:v>
                </c:pt>
                <c:pt idx="18">
                  <c:v>0.53306229607985522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B-4DBC-8184-EB9F99A87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57056"/>
        <c:axId val="1239882496"/>
      </c:lineChart>
      <c:catAx>
        <c:axId val="12398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82496"/>
        <c:crosses val="autoZero"/>
        <c:auto val="1"/>
        <c:lblAlgn val="ctr"/>
        <c:lblOffset val="100"/>
        <c:noMultiLvlLbl val="0"/>
      </c:catAx>
      <c:valAx>
        <c:axId val="123988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5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'GrafH10-19'!$K$2</c:f>
              <c:strCache>
                <c:ptCount val="1"/>
                <c:pt idx="0">
                  <c:v>lx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'GrafH10-19'!$J$3:$J$21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'GrafH10-19'!$K$3:$K$21</c:f>
              <c:numCache>
                <c:formatCode>General</c:formatCode>
                <c:ptCount val="19"/>
                <c:pt idx="0">
                  <c:v>100000</c:v>
                </c:pt>
                <c:pt idx="1">
                  <c:v>98653.189430543425</c:v>
                </c:pt>
                <c:pt idx="2">
                  <c:v>98438.196309794119</c:v>
                </c:pt>
                <c:pt idx="3">
                  <c:v>98313.381978129823</c:v>
                </c:pt>
                <c:pt idx="4">
                  <c:v>98222.326935056408</c:v>
                </c:pt>
                <c:pt idx="5">
                  <c:v>97723.110425053703</c:v>
                </c:pt>
                <c:pt idx="6">
                  <c:v>96982.540326985662</c:v>
                </c:pt>
                <c:pt idx="7">
                  <c:v>95982.306320768839</c:v>
                </c:pt>
                <c:pt idx="8">
                  <c:v>94761.925014800217</c:v>
                </c:pt>
                <c:pt idx="9">
                  <c:v>93128.299087738545</c:v>
                </c:pt>
                <c:pt idx="10">
                  <c:v>91149.605367985743</c:v>
                </c:pt>
                <c:pt idx="11">
                  <c:v>88733.864891168909</c:v>
                </c:pt>
                <c:pt idx="12">
                  <c:v>85634.560806448906</c:v>
                </c:pt>
                <c:pt idx="13">
                  <c:v>81318.081666463127</c:v>
                </c:pt>
                <c:pt idx="14">
                  <c:v>74847.43961794232</c:v>
                </c:pt>
                <c:pt idx="15">
                  <c:v>66265.802013389519</c:v>
                </c:pt>
                <c:pt idx="16">
                  <c:v>55900.979519499633</c:v>
                </c:pt>
                <c:pt idx="17">
                  <c:v>43031.952895710056</c:v>
                </c:pt>
                <c:pt idx="18">
                  <c:v>29210.808909668947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2-4105-A435-10F485C1B632}"/>
            </c:ext>
          </c:extLst>
        </c:ser>
        <c:ser>
          <c:idx val="1"/>
          <c:order val="1"/>
          <c:tx>
            <c:strRef>
              <c:f>'GrafH10-19'!$L$2</c:f>
              <c:strCache>
                <c:ptCount val="1"/>
                <c:pt idx="0">
                  <c:v>lx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'GrafH10-19'!$J$3:$J$21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'GrafH10-19'!$L$3:$L$21</c:f>
              <c:numCache>
                <c:formatCode>General</c:formatCode>
                <c:ptCount val="19"/>
                <c:pt idx="0">
                  <c:v>100000</c:v>
                </c:pt>
                <c:pt idx="1">
                  <c:v>99047.867752879058</c:v>
                </c:pt>
                <c:pt idx="2">
                  <c:v>98850.014761413971</c:v>
                </c:pt>
                <c:pt idx="3">
                  <c:v>98753.377760917036</c:v>
                </c:pt>
                <c:pt idx="4">
                  <c:v>98641.885215226939</c:v>
                </c:pt>
                <c:pt idx="5">
                  <c:v>97748.570870393858</c:v>
                </c:pt>
                <c:pt idx="6">
                  <c:v>95727.302399834822</c:v>
                </c:pt>
                <c:pt idx="7">
                  <c:v>93300.771322770437</c:v>
                </c:pt>
                <c:pt idx="8">
                  <c:v>90971.841673081595</c:v>
                </c:pt>
                <c:pt idx="9">
                  <c:v>88831.799097087292</c:v>
                </c:pt>
                <c:pt idx="10">
                  <c:v>86077.887276368376</c:v>
                </c:pt>
                <c:pt idx="11">
                  <c:v>83245.971142885115</c:v>
                </c:pt>
                <c:pt idx="12">
                  <c:v>79888.232880864132</c:v>
                </c:pt>
                <c:pt idx="13">
                  <c:v>75120.764117240891</c:v>
                </c:pt>
                <c:pt idx="14">
                  <c:v>69094.70484682206</c:v>
                </c:pt>
                <c:pt idx="15">
                  <c:v>62868.695283130379</c:v>
                </c:pt>
                <c:pt idx="16">
                  <c:v>54397.856444692152</c:v>
                </c:pt>
                <c:pt idx="17">
                  <c:v>42742.464626902511</c:v>
                </c:pt>
                <c:pt idx="18">
                  <c:v>31324.057769728479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22-4105-A435-10F485C1B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65216"/>
        <c:axId val="1239866656"/>
      </c:lineChart>
      <c:catAx>
        <c:axId val="123986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66656"/>
        <c:crosses val="autoZero"/>
        <c:auto val="1"/>
        <c:lblAlgn val="ctr"/>
        <c:lblOffset val="100"/>
        <c:noMultiLvlLbl val="0"/>
      </c:catAx>
      <c:valAx>
        <c:axId val="12398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6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'GrafH10-19'!$O$2</c:f>
              <c:strCache>
                <c:ptCount val="1"/>
                <c:pt idx="0">
                  <c:v>ndx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'GrafH10-19'!$N$3:$N$21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'GrafH10-19'!$O$3:$O$21</c:f>
              <c:numCache>
                <c:formatCode>General</c:formatCode>
                <c:ptCount val="19"/>
                <c:pt idx="0">
                  <c:v>1346.8105694565747</c:v>
                </c:pt>
                <c:pt idx="1">
                  <c:v>214.9931207493064</c:v>
                </c:pt>
                <c:pt idx="2">
                  <c:v>124.81433166429633</c:v>
                </c:pt>
                <c:pt idx="3">
                  <c:v>91.055043073414708</c:v>
                </c:pt>
                <c:pt idx="4">
                  <c:v>499.21651000270504</c:v>
                </c:pt>
                <c:pt idx="5">
                  <c:v>740.57009806804126</c:v>
                </c:pt>
                <c:pt idx="6">
                  <c:v>1000.2340062168223</c:v>
                </c:pt>
                <c:pt idx="7">
                  <c:v>1220.3813059686217</c:v>
                </c:pt>
                <c:pt idx="8">
                  <c:v>1633.625927061672</c:v>
                </c:pt>
                <c:pt idx="9">
                  <c:v>1978.6937197528023</c:v>
                </c:pt>
                <c:pt idx="10">
                  <c:v>2415.7404768168344</c:v>
                </c:pt>
                <c:pt idx="11">
                  <c:v>3099.3040847200027</c:v>
                </c:pt>
                <c:pt idx="12">
                  <c:v>4316.4791399857786</c:v>
                </c:pt>
                <c:pt idx="13">
                  <c:v>6470.6420485208073</c:v>
                </c:pt>
                <c:pt idx="14">
                  <c:v>8581.6376045528013</c:v>
                </c:pt>
                <c:pt idx="15">
                  <c:v>10364.822493889886</c:v>
                </c:pt>
                <c:pt idx="16">
                  <c:v>12869.026623789578</c:v>
                </c:pt>
                <c:pt idx="17">
                  <c:v>13821.143986041108</c:v>
                </c:pt>
                <c:pt idx="18">
                  <c:v>29210.808909668947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7-49DD-B2C0-AEBF435FB66F}"/>
            </c:ext>
          </c:extLst>
        </c:ser>
        <c:ser>
          <c:idx val="1"/>
          <c:order val="1"/>
          <c:tx>
            <c:strRef>
              <c:f>'GrafH10-19'!$P$2</c:f>
              <c:strCache>
                <c:ptCount val="1"/>
                <c:pt idx="0">
                  <c:v>ndx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'GrafH10-19'!$N$3:$N$21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'GrafH10-19'!$P$3:$P$21</c:f>
              <c:numCache>
                <c:formatCode>General</c:formatCode>
                <c:ptCount val="19"/>
                <c:pt idx="0">
                  <c:v>952.13224712094234</c:v>
                </c:pt>
                <c:pt idx="1">
                  <c:v>197.85299146508623</c:v>
                </c:pt>
                <c:pt idx="2">
                  <c:v>96.637000496935798</c:v>
                </c:pt>
                <c:pt idx="3">
                  <c:v>111.49254569009645</c:v>
                </c:pt>
                <c:pt idx="4">
                  <c:v>893.31434483308112</c:v>
                </c:pt>
                <c:pt idx="5">
                  <c:v>2021.2684705590364</c:v>
                </c:pt>
                <c:pt idx="6">
                  <c:v>2426.5310770643846</c:v>
                </c:pt>
                <c:pt idx="7">
                  <c:v>2328.9296496888419</c:v>
                </c:pt>
                <c:pt idx="8">
                  <c:v>2140.0425759943028</c:v>
                </c:pt>
                <c:pt idx="9">
                  <c:v>2753.9118207189167</c:v>
                </c:pt>
                <c:pt idx="10">
                  <c:v>2831.9161334832606</c:v>
                </c:pt>
                <c:pt idx="11">
                  <c:v>3357.7382620209828</c:v>
                </c:pt>
                <c:pt idx="12">
                  <c:v>4767.4687636232411</c:v>
                </c:pt>
                <c:pt idx="13">
                  <c:v>6026.0592704188311</c:v>
                </c:pt>
                <c:pt idx="14">
                  <c:v>6226.0095636916813</c:v>
                </c:pt>
                <c:pt idx="15">
                  <c:v>8470.838838438227</c:v>
                </c:pt>
                <c:pt idx="16">
                  <c:v>11655.391817789641</c:v>
                </c:pt>
                <c:pt idx="17">
                  <c:v>11418.406857174032</c:v>
                </c:pt>
                <c:pt idx="18">
                  <c:v>31324.057769728479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7-49DD-B2C0-AEBF435FB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13696"/>
        <c:axId val="1239911776"/>
      </c:lineChart>
      <c:catAx>
        <c:axId val="123991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11776"/>
        <c:crosses val="autoZero"/>
        <c:auto val="1"/>
        <c:lblAlgn val="ctr"/>
        <c:lblOffset val="100"/>
        <c:noMultiLvlLbl val="0"/>
      </c:catAx>
      <c:valAx>
        <c:axId val="12399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1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'GrafH10-19'!$S$2</c:f>
              <c:strCache>
                <c:ptCount val="1"/>
                <c:pt idx="0">
                  <c:v>ex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'GrafH10-19'!$R$3:$R$21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'GrafH10-19'!$S$3:$S$21</c:f>
              <c:numCache>
                <c:formatCode>General</c:formatCode>
                <c:ptCount val="19"/>
                <c:pt idx="0">
                  <c:v>17.34929431401574</c:v>
                </c:pt>
                <c:pt idx="1">
                  <c:v>16.584891496390668</c:v>
                </c:pt>
                <c:pt idx="2">
                  <c:v>15.61779404930374</c:v>
                </c:pt>
                <c:pt idx="3">
                  <c:v>14.634396964027362</c:v>
                </c:pt>
                <c:pt idx="4">
                  <c:v>13.645595009039639</c:v>
                </c:pt>
                <c:pt idx="5">
                  <c:v>12.702480888113039</c:v>
                </c:pt>
                <c:pt idx="6">
                  <c:v>11.780336677891173</c:v>
                </c:pt>
                <c:pt idx="7">
                  <c:v>10.876995204759272</c:v>
                </c:pt>
                <c:pt idx="8">
                  <c:v>9.9848246768439832</c:v>
                </c:pt>
                <c:pt idx="9">
                  <c:v>9.116067314917812</c:v>
                </c:pt>
                <c:pt idx="10">
                  <c:v>8.2596353621151497</c:v>
                </c:pt>
                <c:pt idx="11">
                  <c:v>7.4163825554558889</c:v>
                </c:pt>
                <c:pt idx="12">
                  <c:v>6.5942589221088195</c:v>
                </c:pt>
                <c:pt idx="13">
                  <c:v>5.8115265072376729</c:v>
                </c:pt>
                <c:pt idx="14">
                  <c:v>5.0977447502647584</c:v>
                </c:pt>
                <c:pt idx="15">
                  <c:v>4.434085718889845</c:v>
                </c:pt>
                <c:pt idx="16">
                  <c:v>3.7926027848970647</c:v>
                </c:pt>
                <c:pt idx="17">
                  <c:v>3.1790491005715436</c:v>
                </c:pt>
                <c:pt idx="18">
                  <c:v>2.5001711695152116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9-40BB-B441-DE0B06FC1FA2}"/>
            </c:ext>
          </c:extLst>
        </c:ser>
        <c:ser>
          <c:idx val="1"/>
          <c:order val="1"/>
          <c:tx>
            <c:strRef>
              <c:f>'GrafH10-19'!$T$2</c:f>
              <c:strCache>
                <c:ptCount val="1"/>
                <c:pt idx="0">
                  <c:v>ex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'GrafH10-19'!$R$3:$R$21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'GrafH10-19'!$T$3:$T$21</c:f>
              <c:numCache>
                <c:formatCode>General</c:formatCode>
                <c:ptCount val="19"/>
                <c:pt idx="0">
                  <c:v>16.942234203960435</c:v>
                </c:pt>
                <c:pt idx="1">
                  <c:v>16.104319233908093</c:v>
                </c:pt>
                <c:pt idx="2">
                  <c:v>15.133495156698977</c:v>
                </c:pt>
                <c:pt idx="3">
                  <c:v>14.145807273056958</c:v>
                </c:pt>
                <c:pt idx="4">
                  <c:v>13.158919559958889</c:v>
                </c:pt>
                <c:pt idx="5">
                  <c:v>12.256279200704448</c:v>
                </c:pt>
                <c:pt idx="6">
                  <c:v>11.462229426440558</c:v>
                </c:pt>
                <c:pt idx="7">
                  <c:v>10.69526210039159</c:v>
                </c:pt>
                <c:pt idx="8">
                  <c:v>9.9050103976849861</c:v>
                </c:pt>
                <c:pt idx="9">
                  <c:v>9.0833478589066381</c:v>
                </c:pt>
                <c:pt idx="10">
                  <c:v>8.2939125005590775</c:v>
                </c:pt>
                <c:pt idx="11">
                  <c:v>7.4909535592569121</c:v>
                </c:pt>
                <c:pt idx="12">
                  <c:v>6.7006629886151838</c:v>
                </c:pt>
                <c:pt idx="13">
                  <c:v>5.967187561681075</c:v>
                </c:pt>
                <c:pt idx="14">
                  <c:v>5.269504183405668</c:v>
                </c:pt>
                <c:pt idx="15">
                  <c:v>4.5436940557250525</c:v>
                </c:pt>
                <c:pt idx="16">
                  <c:v>3.8618463527501636</c:v>
                </c:pt>
                <c:pt idx="17">
                  <c:v>3.2330896344710673</c:v>
                </c:pt>
                <c:pt idx="18">
                  <c:v>2.5001596217206838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9-40BB-B441-DE0B06FC1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87296"/>
        <c:axId val="1239889696"/>
      </c:lineChart>
      <c:catAx>
        <c:axId val="123988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89696"/>
        <c:crosses val="autoZero"/>
        <c:auto val="1"/>
        <c:lblAlgn val="ctr"/>
        <c:lblOffset val="100"/>
        <c:noMultiLvlLbl val="0"/>
      </c:catAx>
      <c:valAx>
        <c:axId val="123988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'GrafH19-21'!$C$2</c:f>
              <c:strCache>
                <c:ptCount val="1"/>
                <c:pt idx="0">
                  <c:v>nmx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'GrafH19-21'!$B$3:$B$21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'GrafH19-21'!$C$3:$C$21</c:f>
              <c:numCache>
                <c:formatCode>General</c:formatCode>
                <c:ptCount val="19"/>
                <c:pt idx="0">
                  <c:v>9.6054723000000009E-3</c:v>
                </c:pt>
                <c:pt idx="1">
                  <c:v>5.0000969999999996E-4</c:v>
                </c:pt>
                <c:pt idx="2">
                  <c:v>1.956181E-4</c:v>
                </c:pt>
                <c:pt idx="3">
                  <c:v>2.2592749999999999E-4</c:v>
                </c:pt>
                <c:pt idx="4">
                  <c:v>1.8194659E-3</c:v>
                </c:pt>
                <c:pt idx="5">
                  <c:v>4.1788538E-3</c:v>
                </c:pt>
                <c:pt idx="6">
                  <c:v>5.1347527999999996E-3</c:v>
                </c:pt>
                <c:pt idx="7">
                  <c:v>5.0554005000000004E-3</c:v>
                </c:pt>
                <c:pt idx="8">
                  <c:v>4.7608436999999997E-3</c:v>
                </c:pt>
                <c:pt idx="9">
                  <c:v>6.2979057999999997E-3</c:v>
                </c:pt>
                <c:pt idx="10">
                  <c:v>6.6899400000000001E-3</c:v>
                </c:pt>
                <c:pt idx="11">
                  <c:v>8.2330699000000007E-3</c:v>
                </c:pt>
                <c:pt idx="12">
                  <c:v>1.23024311E-2</c:v>
                </c:pt>
                <c:pt idx="13">
                  <c:v>1.6714044099999999E-2</c:v>
                </c:pt>
                <c:pt idx="14">
                  <c:v>1.88719283E-2</c:v>
                </c:pt>
                <c:pt idx="15">
                  <c:v>2.8894305200000001E-2</c:v>
                </c:pt>
                <c:pt idx="16">
                  <c:v>4.7994042799999997E-2</c:v>
                </c:pt>
                <c:pt idx="17">
                  <c:v>6.1665683700000001E-2</c:v>
                </c:pt>
                <c:pt idx="18">
                  <c:v>0.1453537651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B-45F2-950E-4CE4B9F80D81}"/>
            </c:ext>
          </c:extLst>
        </c:ser>
        <c:ser>
          <c:idx val="1"/>
          <c:order val="1"/>
          <c:tx>
            <c:strRef>
              <c:f>'GrafH19-21'!$D$2</c:f>
              <c:strCache>
                <c:ptCount val="1"/>
                <c:pt idx="0">
                  <c:v>nmx2021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'GrafH19-21'!$B$3:$B$21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'GrafH19-21'!$D$3:$D$21</c:f>
              <c:numCache>
                <c:formatCode>General</c:formatCode>
                <c:ptCount val="19"/>
                <c:pt idx="0">
                  <c:v>1.08050391E-2</c:v>
                </c:pt>
                <c:pt idx="1">
                  <c:v>5.1079979999999999E-4</c:v>
                </c:pt>
                <c:pt idx="2">
                  <c:v>2.9347439999999998E-4</c:v>
                </c:pt>
                <c:pt idx="3">
                  <c:v>2.58366E-4</c:v>
                </c:pt>
                <c:pt idx="4">
                  <c:v>1.6376692999999999E-3</c:v>
                </c:pt>
                <c:pt idx="5">
                  <c:v>4.1502237000000004E-3</c:v>
                </c:pt>
                <c:pt idx="6">
                  <c:v>5.4616357000000001E-3</c:v>
                </c:pt>
                <c:pt idx="7">
                  <c:v>5.5138651000000002E-3</c:v>
                </c:pt>
                <c:pt idx="8">
                  <c:v>6.9237839999999997E-3</c:v>
                </c:pt>
                <c:pt idx="9">
                  <c:v>7.8518669000000006E-3</c:v>
                </c:pt>
                <c:pt idx="10">
                  <c:v>8.5380395000000005E-3</c:v>
                </c:pt>
                <c:pt idx="11">
                  <c:v>1.333842E-2</c:v>
                </c:pt>
                <c:pt idx="12">
                  <c:v>1.7802124999999999E-2</c:v>
                </c:pt>
                <c:pt idx="13">
                  <c:v>2.52204018E-2</c:v>
                </c:pt>
                <c:pt idx="14">
                  <c:v>3.8756841600000001E-2</c:v>
                </c:pt>
                <c:pt idx="15">
                  <c:v>5.1458596600000003E-2</c:v>
                </c:pt>
                <c:pt idx="16">
                  <c:v>7.2032236299999997E-2</c:v>
                </c:pt>
                <c:pt idx="17">
                  <c:v>0.1092359193</c:v>
                </c:pt>
                <c:pt idx="18">
                  <c:v>0.20385815970000001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B-45F2-950E-4CE4B9F80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86816"/>
        <c:axId val="1239908896"/>
      </c:lineChart>
      <c:catAx>
        <c:axId val="123988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08896"/>
        <c:crosses val="autoZero"/>
        <c:auto val="1"/>
        <c:lblAlgn val="ctr"/>
        <c:lblOffset val="100"/>
        <c:noMultiLvlLbl val="0"/>
      </c:catAx>
      <c:valAx>
        <c:axId val="123990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8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'GrafH19-21'!$G$2</c:f>
              <c:strCache>
                <c:ptCount val="1"/>
                <c:pt idx="0">
                  <c:v>nqx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'GrafH19-21'!$F$3:$F$21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'GrafH19-21'!$G$3:$G$21</c:f>
              <c:numCache>
                <c:formatCode>General</c:formatCode>
                <c:ptCount val="19"/>
                <c:pt idx="0">
                  <c:v>9.5213224712093671E-3</c:v>
                </c:pt>
                <c:pt idx="1">
                  <c:v>1.9975492249739934E-3</c:v>
                </c:pt>
                <c:pt idx="2">
                  <c:v>9.7761240329782622E-4</c:v>
                </c:pt>
                <c:pt idx="3">
                  <c:v>1.128999819733068E-3</c:v>
                </c:pt>
                <c:pt idx="4">
                  <c:v>9.0561361726204034E-3</c:v>
                </c:pt>
                <c:pt idx="5">
                  <c:v>2.0678240638822853E-2</c:v>
                </c:pt>
                <c:pt idx="6">
                  <c:v>2.534836996585596E-2</c:v>
                </c:pt>
                <c:pt idx="7">
                  <c:v>2.4961526219670783E-2</c:v>
                </c:pt>
                <c:pt idx="8">
                  <c:v>2.352423053811319E-2</c:v>
                </c:pt>
                <c:pt idx="9">
                  <c:v>3.1001418959319679E-2</c:v>
                </c:pt>
                <c:pt idx="10">
                  <c:v>3.2899461442296801E-2</c:v>
                </c:pt>
                <c:pt idx="11">
                  <c:v>4.0335144342993859E-2</c:v>
                </c:pt>
                <c:pt idx="12">
                  <c:v>5.9676733252228449E-2</c:v>
                </c:pt>
                <c:pt idx="13">
                  <c:v>8.0218290391907615E-2</c:v>
                </c:pt>
                <c:pt idx="14">
                  <c:v>9.0108345892703265E-2</c:v>
                </c:pt>
                <c:pt idx="15">
                  <c:v>0.1347385817423066</c:v>
                </c:pt>
                <c:pt idx="16">
                  <c:v>0.21426196875312556</c:v>
                </c:pt>
                <c:pt idx="17">
                  <c:v>0.2671443248966785</c:v>
                </c:pt>
                <c:pt idx="18">
                  <c:v>0.53306229607985522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8A-47C4-B848-7A39EB608932}"/>
            </c:ext>
          </c:extLst>
        </c:ser>
        <c:ser>
          <c:idx val="1"/>
          <c:order val="1"/>
          <c:tx>
            <c:strRef>
              <c:f>'GrafH19-21'!$H$2</c:f>
              <c:strCache>
                <c:ptCount val="1"/>
                <c:pt idx="0">
                  <c:v>nqx 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'GrafH19-21'!$F$3:$F$21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'GrafH19-21'!$H$3:$H$21</c:f>
              <c:numCache>
                <c:formatCode>General</c:formatCode>
                <c:ptCount val="19"/>
                <c:pt idx="0">
                  <c:v>1.069905982829489E-2</c:v>
                </c:pt>
                <c:pt idx="1">
                  <c:v>2.0405991908084065E-3</c:v>
                </c:pt>
                <c:pt idx="2">
                  <c:v>1.4662961990069352E-3</c:v>
                </c:pt>
                <c:pt idx="3">
                  <c:v>1.2909961262371214E-3</c:v>
                </c:pt>
                <c:pt idx="4">
                  <c:v>8.1549586862917287E-3</c:v>
                </c:pt>
                <c:pt idx="5">
                  <c:v>2.0538025004685899E-2</c:v>
                </c:pt>
                <c:pt idx="6">
                  <c:v>2.694033279163827E-2</c:v>
                </c:pt>
                <c:pt idx="7">
                  <c:v>2.7194459053281828E-2</c:v>
                </c:pt>
                <c:pt idx="8">
                  <c:v>3.4029881133711269E-2</c:v>
                </c:pt>
                <c:pt idx="9">
                  <c:v>3.850352315256253E-2</c:v>
                </c:pt>
                <c:pt idx="10">
                  <c:v>4.1798014747657299E-2</c:v>
                </c:pt>
                <c:pt idx="11">
                  <c:v>6.4539947677740683E-2</c:v>
                </c:pt>
                <c:pt idx="12">
                  <c:v>8.521797250313172E-2</c:v>
                </c:pt>
                <c:pt idx="13">
                  <c:v>0.11862272691168883</c:v>
                </c:pt>
                <c:pt idx="14">
                  <c:v>0.17666660858742039</c:v>
                </c:pt>
                <c:pt idx="15">
                  <c:v>0.22796596182924475</c:v>
                </c:pt>
                <c:pt idx="16">
                  <c:v>0.30520049590096182</c:v>
                </c:pt>
                <c:pt idx="17">
                  <c:v>0.42901890915376362</c:v>
                </c:pt>
                <c:pt idx="18">
                  <c:v>0.67518557603420593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A-47C4-B848-7A39EB608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99296"/>
        <c:axId val="1239895456"/>
      </c:lineChart>
      <c:catAx>
        <c:axId val="12398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95456"/>
        <c:crosses val="autoZero"/>
        <c:auto val="1"/>
        <c:lblAlgn val="ctr"/>
        <c:lblOffset val="100"/>
        <c:noMultiLvlLbl val="0"/>
      </c:catAx>
      <c:valAx>
        <c:axId val="12398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9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'GrafH19-21'!$K$2</c:f>
              <c:strCache>
                <c:ptCount val="1"/>
                <c:pt idx="0">
                  <c:v>lx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'GrafH19-21'!$J$3:$J$21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'GrafH19-21'!$K$3:$K$21</c:f>
              <c:numCache>
                <c:formatCode>General</c:formatCode>
                <c:ptCount val="19"/>
                <c:pt idx="0">
                  <c:v>100000</c:v>
                </c:pt>
                <c:pt idx="1">
                  <c:v>99047.867752879058</c:v>
                </c:pt>
                <c:pt idx="2">
                  <c:v>98850.014761413971</c:v>
                </c:pt>
                <c:pt idx="3">
                  <c:v>98753.377760917036</c:v>
                </c:pt>
                <c:pt idx="4">
                  <c:v>98641.885215226939</c:v>
                </c:pt>
                <c:pt idx="5">
                  <c:v>97748.570870393858</c:v>
                </c:pt>
                <c:pt idx="6">
                  <c:v>95727.302399834822</c:v>
                </c:pt>
                <c:pt idx="7">
                  <c:v>93300.771322770437</c:v>
                </c:pt>
                <c:pt idx="8">
                  <c:v>90971.841673081595</c:v>
                </c:pt>
                <c:pt idx="9">
                  <c:v>88831.799097087292</c:v>
                </c:pt>
                <c:pt idx="10">
                  <c:v>86077.887276368376</c:v>
                </c:pt>
                <c:pt idx="11">
                  <c:v>83245.971142885115</c:v>
                </c:pt>
                <c:pt idx="12">
                  <c:v>79888.232880864132</c:v>
                </c:pt>
                <c:pt idx="13">
                  <c:v>75120.764117240891</c:v>
                </c:pt>
                <c:pt idx="14">
                  <c:v>69094.70484682206</c:v>
                </c:pt>
                <c:pt idx="15">
                  <c:v>62868.695283130379</c:v>
                </c:pt>
                <c:pt idx="16">
                  <c:v>54397.856444692152</c:v>
                </c:pt>
                <c:pt idx="17">
                  <c:v>42742.464626902511</c:v>
                </c:pt>
                <c:pt idx="18">
                  <c:v>31324.057769728479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0-4503-82EA-8827494A1909}"/>
            </c:ext>
          </c:extLst>
        </c:ser>
        <c:ser>
          <c:idx val="1"/>
          <c:order val="1"/>
          <c:tx>
            <c:strRef>
              <c:f>'GrafH19-21'!$L$2</c:f>
              <c:strCache>
                <c:ptCount val="1"/>
                <c:pt idx="0">
                  <c:v>lx 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'GrafH19-21'!$J$3:$J$21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'GrafH19-21'!$L$3:$L$21</c:f>
              <c:numCache>
                <c:formatCode>General</c:formatCode>
                <c:ptCount val="19"/>
                <c:pt idx="0">
                  <c:v>100000</c:v>
                </c:pt>
                <c:pt idx="1">
                  <c:v>98930.094017170515</c:v>
                </c:pt>
                <c:pt idx="2">
                  <c:v>98728.217347372469</c:v>
                </c:pt>
                <c:pt idx="3">
                  <c:v>98583.452537541278</c:v>
                </c:pt>
                <c:pt idx="4">
                  <c:v>98456.181682204231</c:v>
                </c:pt>
                <c:pt idx="5">
                  <c:v>97653.275588175835</c:v>
                </c:pt>
                <c:pt idx="6">
                  <c:v>95647.670172356389</c:v>
                </c:pt>
                <c:pt idx="7">
                  <c:v>93070.890107168249</c:v>
                </c:pt>
                <c:pt idx="8">
                  <c:v>90539.877597096376</c:v>
                </c:pt>
                <c:pt idx="9">
                  <c:v>87458.816324606421</c:v>
                </c:pt>
                <c:pt idx="10">
                  <c:v>84091.343765356229</c:v>
                </c:pt>
                <c:pt idx="11">
                  <c:v>80576.492538501552</c:v>
                </c:pt>
                <c:pt idx="12">
                  <c:v>75376.089926010798</c:v>
                </c:pt>
                <c:pt idx="13">
                  <c:v>68952.692367302428</c:v>
                </c:pt>
                <c:pt idx="14">
                  <c:v>60773.33597079022</c:v>
                </c:pt>
                <c:pt idx="15">
                  <c:v>50036.716812286824</c:v>
                </c:pt>
                <c:pt idx="16">
                  <c:v>38630.048537396317</c:v>
                </c:pt>
                <c:pt idx="17">
                  <c:v>26840.138567104739</c:v>
                </c:pt>
                <c:pt idx="18">
                  <c:v>15325.211597509604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0-4503-82EA-8827494A1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17056"/>
        <c:axId val="1239917536"/>
      </c:lineChart>
      <c:catAx>
        <c:axId val="123991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17536"/>
        <c:crosses val="autoZero"/>
        <c:auto val="1"/>
        <c:lblAlgn val="ctr"/>
        <c:lblOffset val="100"/>
        <c:noMultiLvlLbl val="0"/>
      </c:catAx>
      <c:valAx>
        <c:axId val="12399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1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'GrafH19-21'!$O$2</c:f>
              <c:strCache>
                <c:ptCount val="1"/>
                <c:pt idx="0">
                  <c:v>ndx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'GrafH19-21'!$N$3:$N$21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'GrafH19-21'!$O$3:$O$21</c:f>
              <c:numCache>
                <c:formatCode>General</c:formatCode>
                <c:ptCount val="19"/>
                <c:pt idx="0">
                  <c:v>952.13224712094234</c:v>
                </c:pt>
                <c:pt idx="1">
                  <c:v>197.85299146508623</c:v>
                </c:pt>
                <c:pt idx="2">
                  <c:v>96.637000496935798</c:v>
                </c:pt>
                <c:pt idx="3">
                  <c:v>111.49254569009645</c:v>
                </c:pt>
                <c:pt idx="4">
                  <c:v>893.31434483308112</c:v>
                </c:pt>
                <c:pt idx="5">
                  <c:v>2021.2684705590364</c:v>
                </c:pt>
                <c:pt idx="6">
                  <c:v>2426.5310770643846</c:v>
                </c:pt>
                <c:pt idx="7">
                  <c:v>2328.9296496888419</c:v>
                </c:pt>
                <c:pt idx="8">
                  <c:v>2140.0425759943028</c:v>
                </c:pt>
                <c:pt idx="9">
                  <c:v>2753.9118207189167</c:v>
                </c:pt>
                <c:pt idx="10">
                  <c:v>2831.9161334832606</c:v>
                </c:pt>
                <c:pt idx="11">
                  <c:v>3357.7382620209828</c:v>
                </c:pt>
                <c:pt idx="12">
                  <c:v>4767.4687636232411</c:v>
                </c:pt>
                <c:pt idx="13">
                  <c:v>6026.0592704188311</c:v>
                </c:pt>
                <c:pt idx="14">
                  <c:v>6226.0095636916813</c:v>
                </c:pt>
                <c:pt idx="15">
                  <c:v>8470.838838438227</c:v>
                </c:pt>
                <c:pt idx="16">
                  <c:v>11655.391817789641</c:v>
                </c:pt>
                <c:pt idx="17">
                  <c:v>11418.406857174032</c:v>
                </c:pt>
                <c:pt idx="18">
                  <c:v>31324.057769728479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8-4865-B046-CDD9F4B47B90}"/>
            </c:ext>
          </c:extLst>
        </c:ser>
        <c:ser>
          <c:idx val="1"/>
          <c:order val="1"/>
          <c:tx>
            <c:strRef>
              <c:f>'GrafH19-21'!$P$2</c:f>
              <c:strCache>
                <c:ptCount val="1"/>
                <c:pt idx="0">
                  <c:v>ndx 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'GrafH19-21'!$N$3:$N$21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'GrafH19-21'!$P$3:$P$21</c:f>
              <c:numCache>
                <c:formatCode>General</c:formatCode>
                <c:ptCount val="19"/>
                <c:pt idx="0">
                  <c:v>1069.9059828294849</c:v>
                </c:pt>
                <c:pt idx="1">
                  <c:v>201.87666979804635</c:v>
                </c:pt>
                <c:pt idx="2">
                  <c:v>144.76480983119109</c:v>
                </c:pt>
                <c:pt idx="3">
                  <c:v>127.27085533704667</c:v>
                </c:pt>
                <c:pt idx="4">
                  <c:v>802.90609402839618</c:v>
                </c:pt>
                <c:pt idx="5">
                  <c:v>2005.6054158194456</c:v>
                </c:pt>
                <c:pt idx="6">
                  <c:v>2576.7800651881407</c:v>
                </c:pt>
                <c:pt idx="7">
                  <c:v>2531.0125100718724</c:v>
                </c:pt>
                <c:pt idx="8">
                  <c:v>3081.0612724899547</c:v>
                </c:pt>
                <c:pt idx="9">
                  <c:v>3367.4725592501927</c:v>
                </c:pt>
                <c:pt idx="10">
                  <c:v>3514.8512268546765</c:v>
                </c:pt>
                <c:pt idx="11">
                  <c:v>5200.4026124907541</c:v>
                </c:pt>
                <c:pt idx="12">
                  <c:v>6423.3975587083696</c:v>
                </c:pt>
                <c:pt idx="13">
                  <c:v>8179.3563965122084</c:v>
                </c:pt>
                <c:pt idx="14">
                  <c:v>10736.619158503396</c:v>
                </c:pt>
                <c:pt idx="15">
                  <c:v>11406.668274890508</c:v>
                </c:pt>
                <c:pt idx="16">
                  <c:v>11789.909970291577</c:v>
                </c:pt>
                <c:pt idx="17">
                  <c:v>11514.926969595135</c:v>
                </c:pt>
                <c:pt idx="18">
                  <c:v>15325.211597509604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8-4865-B046-CDD9F4B47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74816"/>
        <c:axId val="1239877696"/>
      </c:lineChart>
      <c:catAx>
        <c:axId val="123987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77696"/>
        <c:crosses val="autoZero"/>
        <c:auto val="1"/>
        <c:lblAlgn val="ctr"/>
        <c:lblOffset val="100"/>
        <c:noMultiLvlLbl val="0"/>
      </c:catAx>
      <c:valAx>
        <c:axId val="123987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7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'GrafH19-21'!$S$2</c:f>
              <c:strCache>
                <c:ptCount val="1"/>
                <c:pt idx="0">
                  <c:v>ex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'GrafH19-21'!$R$3:$R$21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'GrafH19-21'!$S$3:$S$21</c:f>
              <c:numCache>
                <c:formatCode>General</c:formatCode>
                <c:ptCount val="19"/>
                <c:pt idx="0">
                  <c:v>16.942234203960435</c:v>
                </c:pt>
                <c:pt idx="1">
                  <c:v>16.104319233908093</c:v>
                </c:pt>
                <c:pt idx="2">
                  <c:v>15.133495156698977</c:v>
                </c:pt>
                <c:pt idx="3">
                  <c:v>14.145807273056958</c:v>
                </c:pt>
                <c:pt idx="4">
                  <c:v>13.158919559958889</c:v>
                </c:pt>
                <c:pt idx="5">
                  <c:v>12.256279200704448</c:v>
                </c:pt>
                <c:pt idx="6">
                  <c:v>11.462229426440558</c:v>
                </c:pt>
                <c:pt idx="7">
                  <c:v>10.69526210039159</c:v>
                </c:pt>
                <c:pt idx="8">
                  <c:v>9.9050103976849861</c:v>
                </c:pt>
                <c:pt idx="9">
                  <c:v>9.0833478589066381</c:v>
                </c:pt>
                <c:pt idx="10">
                  <c:v>8.2939125005590775</c:v>
                </c:pt>
                <c:pt idx="11">
                  <c:v>7.4909535592569121</c:v>
                </c:pt>
                <c:pt idx="12">
                  <c:v>6.7006629886151838</c:v>
                </c:pt>
                <c:pt idx="13">
                  <c:v>5.967187561681075</c:v>
                </c:pt>
                <c:pt idx="14">
                  <c:v>5.269504183405668</c:v>
                </c:pt>
                <c:pt idx="15">
                  <c:v>4.5436940557250525</c:v>
                </c:pt>
                <c:pt idx="16">
                  <c:v>3.8618463527501636</c:v>
                </c:pt>
                <c:pt idx="17">
                  <c:v>3.2330896344710673</c:v>
                </c:pt>
                <c:pt idx="18">
                  <c:v>2.5001596217206838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5-4421-82BA-BEB4FC53CEBA}"/>
            </c:ext>
          </c:extLst>
        </c:ser>
        <c:ser>
          <c:idx val="1"/>
          <c:order val="1"/>
          <c:tx>
            <c:strRef>
              <c:f>'GrafH19-21'!$T$2</c:f>
              <c:strCache>
                <c:ptCount val="1"/>
                <c:pt idx="0">
                  <c:v>ex 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'GrafH19-21'!$R$3:$R$21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'GrafH19-21'!$T$3:$T$21</c:f>
              <c:numCache>
                <c:formatCode>General</c:formatCode>
                <c:ptCount val="19"/>
                <c:pt idx="0">
                  <c:v>16.069741079945409</c:v>
                </c:pt>
                <c:pt idx="1">
                  <c:v>15.24262111431754</c:v>
                </c:pt>
                <c:pt idx="2">
                  <c:v>14.270669675950909</c:v>
                </c:pt>
                <c:pt idx="3">
                  <c:v>13.287903590096672</c:v>
                </c:pt>
                <c:pt idx="4">
                  <c:v>12.301797950956823</c:v>
                </c:pt>
                <c:pt idx="5">
                  <c:v>11.382337218686319</c:v>
                </c:pt>
                <c:pt idx="6">
                  <c:v>10.56853583281711</c:v>
                </c:pt>
                <c:pt idx="7">
                  <c:v>9.7918692753717593</c:v>
                </c:pt>
                <c:pt idx="8">
                  <c:v>8.9956558592224791</c:v>
                </c:pt>
                <c:pt idx="9">
                  <c:v>8.2244322656285593</c:v>
                </c:pt>
                <c:pt idx="10">
                  <c:v>7.4536100585957605</c:v>
                </c:pt>
                <c:pt idx="11">
                  <c:v>6.6696309083925893</c:v>
                </c:pt>
                <c:pt idx="12">
                  <c:v>5.9572388154942564</c:v>
                </c:pt>
                <c:pt idx="13">
                  <c:v>5.2792308741806551</c:v>
                </c:pt>
                <c:pt idx="14">
                  <c:v>4.6531994817133615</c:v>
                </c:pt>
                <c:pt idx="15">
                  <c:v>4.115121931464655</c:v>
                </c:pt>
                <c:pt idx="16">
                  <c:v>3.591905181630334</c:v>
                </c:pt>
                <c:pt idx="17">
                  <c:v>3.0713536671641641</c:v>
                </c:pt>
                <c:pt idx="18">
                  <c:v>2.5003262597692819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A5-4421-82BA-BEB4FC53C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72416"/>
        <c:axId val="1239881056"/>
      </c:lineChart>
      <c:catAx>
        <c:axId val="12398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81056"/>
        <c:crosses val="autoZero"/>
        <c:auto val="1"/>
        <c:lblAlgn val="ctr"/>
        <c:lblOffset val="100"/>
        <c:noMultiLvlLbl val="0"/>
      </c:catAx>
      <c:valAx>
        <c:axId val="12398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'GrafF10-19'!$C$2</c:f>
              <c:strCache>
                <c:ptCount val="1"/>
                <c:pt idx="0">
                  <c:v>nmx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'GrafF10-19'!$B$3:$B$21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'GrafF10-19'!$C$3:$C$21</c:f>
              <c:numCache>
                <c:formatCode>General</c:formatCode>
                <c:ptCount val="19"/>
                <c:pt idx="0">
                  <c:v>1.1874603100000001E-2</c:v>
                </c:pt>
                <c:pt idx="1">
                  <c:v>5.7191920000000001E-4</c:v>
                </c:pt>
                <c:pt idx="2">
                  <c:v>2.123948E-4</c:v>
                </c:pt>
                <c:pt idx="3">
                  <c:v>2.064693E-4</c:v>
                </c:pt>
                <c:pt idx="4">
                  <c:v>3.5399850000000002E-4</c:v>
                </c:pt>
                <c:pt idx="5">
                  <c:v>4.4262270000000001E-4</c:v>
                </c:pt>
                <c:pt idx="6">
                  <c:v>7.174503E-4</c:v>
                </c:pt>
                <c:pt idx="7">
                  <c:v>9.9251440000000003E-4</c:v>
                </c:pt>
                <c:pt idx="8">
                  <c:v>8.3175320000000003E-4</c:v>
                </c:pt>
                <c:pt idx="9">
                  <c:v>1.4231538E-3</c:v>
                </c:pt>
                <c:pt idx="10">
                  <c:v>2.3246449000000001E-3</c:v>
                </c:pt>
                <c:pt idx="11">
                  <c:v>3.1791096E-3</c:v>
                </c:pt>
                <c:pt idx="12">
                  <c:v>6.1064669000000004E-3</c:v>
                </c:pt>
                <c:pt idx="13">
                  <c:v>9.1398039E-3</c:v>
                </c:pt>
                <c:pt idx="14">
                  <c:v>1.60175423E-2</c:v>
                </c:pt>
                <c:pt idx="15">
                  <c:v>2.42948425E-2</c:v>
                </c:pt>
                <c:pt idx="16">
                  <c:v>4.2307762300000003E-2</c:v>
                </c:pt>
                <c:pt idx="17">
                  <c:v>5.8357772099999997E-2</c:v>
                </c:pt>
                <c:pt idx="18">
                  <c:v>0.13140791239999999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6-4457-9404-3D60F43002D1}"/>
            </c:ext>
          </c:extLst>
        </c:ser>
        <c:ser>
          <c:idx val="1"/>
          <c:order val="1"/>
          <c:tx>
            <c:strRef>
              <c:f>'GrafF10-19'!$D$2</c:f>
              <c:strCache>
                <c:ptCount val="1"/>
                <c:pt idx="0">
                  <c:v>nmx2019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'GrafF10-19'!$B$3:$B$21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'GrafF10-19'!$D$3:$D$21</c:f>
              <c:numCache>
                <c:formatCode>General</c:formatCode>
                <c:ptCount val="19"/>
                <c:pt idx="0">
                  <c:v>7.3501790999999997E-3</c:v>
                </c:pt>
                <c:pt idx="1">
                  <c:v>7.9531329999999996E-4</c:v>
                </c:pt>
                <c:pt idx="2">
                  <c:v>2.7169789999999998E-4</c:v>
                </c:pt>
                <c:pt idx="3">
                  <c:v>1.6777520000000001E-4</c:v>
                </c:pt>
                <c:pt idx="4">
                  <c:v>4.6535450000000003E-4</c:v>
                </c:pt>
                <c:pt idx="5">
                  <c:v>1.1073519E-3</c:v>
                </c:pt>
                <c:pt idx="6">
                  <c:v>1.228264E-3</c:v>
                </c:pt>
                <c:pt idx="7">
                  <c:v>1.0174171999999999E-3</c:v>
                </c:pt>
                <c:pt idx="8">
                  <c:v>1.1175648E-3</c:v>
                </c:pt>
                <c:pt idx="9">
                  <c:v>1.6911074E-3</c:v>
                </c:pt>
                <c:pt idx="10">
                  <c:v>3.1425110000000002E-3</c:v>
                </c:pt>
                <c:pt idx="11">
                  <c:v>3.8021215000000001E-3</c:v>
                </c:pt>
                <c:pt idx="12">
                  <c:v>5.2727768999999997E-3</c:v>
                </c:pt>
                <c:pt idx="13">
                  <c:v>8.9812276000000007E-3</c:v>
                </c:pt>
                <c:pt idx="14">
                  <c:v>1.42548611E-2</c:v>
                </c:pt>
                <c:pt idx="15">
                  <c:v>1.8977682900000001E-2</c:v>
                </c:pt>
                <c:pt idx="16">
                  <c:v>3.5676568899999997E-2</c:v>
                </c:pt>
                <c:pt idx="17">
                  <c:v>5.61224653E-2</c:v>
                </c:pt>
                <c:pt idx="18">
                  <c:v>0.1301120274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6-4457-9404-3D60F4300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05056"/>
        <c:axId val="1239892576"/>
      </c:lineChart>
      <c:catAx>
        <c:axId val="123990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92576"/>
        <c:crosses val="autoZero"/>
        <c:auto val="1"/>
        <c:lblAlgn val="ctr"/>
        <c:lblOffset val="100"/>
        <c:noMultiLvlLbl val="0"/>
      </c:catAx>
      <c:valAx>
        <c:axId val="12398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0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'GrafF10-19'!$G$2</c:f>
              <c:strCache>
                <c:ptCount val="1"/>
                <c:pt idx="0">
                  <c:v>nqx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'GrafF10-19'!$F$3:$F$21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'GrafF10-19'!$G$3:$G$21</c:f>
              <c:numCache>
                <c:formatCode>General</c:formatCode>
                <c:ptCount val="19"/>
                <c:pt idx="0">
                  <c:v>1.174714154209793E-2</c:v>
                </c:pt>
                <c:pt idx="1">
                  <c:v>2.28441573944097E-3</c:v>
                </c:pt>
                <c:pt idx="2">
                  <c:v>1.0614104048733473E-3</c:v>
                </c:pt>
                <c:pt idx="3">
                  <c:v>1.031813905263125E-3</c:v>
                </c:pt>
                <c:pt idx="4">
                  <c:v>1.7684274483398224E-3</c:v>
                </c:pt>
                <c:pt idx="5">
                  <c:v>2.21066727120904E-3</c:v>
                </c:pt>
                <c:pt idx="6">
                  <c:v>3.5808288331984333E-3</c:v>
                </c:pt>
                <c:pt idx="7">
                  <c:v>4.9502889174132675E-3</c:v>
                </c:pt>
                <c:pt idx="8">
                  <c:v>4.1501362771775539E-3</c:v>
                </c:pt>
                <c:pt idx="9">
                  <c:v>7.0905416716896914E-3</c:v>
                </c:pt>
                <c:pt idx="10">
                  <c:v>1.1556065130326795E-2</c:v>
                </c:pt>
                <c:pt idx="11">
                  <c:v>1.5770209935500091E-2</c:v>
                </c:pt>
                <c:pt idx="12">
                  <c:v>3.0073231517899771E-2</c:v>
                </c:pt>
                <c:pt idx="13">
                  <c:v>4.4678145772558013E-2</c:v>
                </c:pt>
                <c:pt idx="14">
                  <c:v>7.7004167715838165E-2</c:v>
                </c:pt>
                <c:pt idx="15">
                  <c:v>0.11451867930730268</c:v>
                </c:pt>
                <c:pt idx="16">
                  <c:v>0.19130463404033277</c:v>
                </c:pt>
                <c:pt idx="17">
                  <c:v>0.25463851886978833</c:v>
                </c:pt>
                <c:pt idx="18">
                  <c:v>0.49456513286195475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6-4419-940D-85EEE70A085F}"/>
            </c:ext>
          </c:extLst>
        </c:ser>
        <c:ser>
          <c:idx val="1"/>
          <c:order val="1"/>
          <c:tx>
            <c:strRef>
              <c:f>'GrafF10-19'!$H$2</c:f>
              <c:strCache>
                <c:ptCount val="1"/>
                <c:pt idx="0">
                  <c:v>nqx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'GrafF10-19'!$F$3:$F$21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'GrafF10-19'!$H$3:$H$21</c:f>
              <c:numCache>
                <c:formatCode>General</c:formatCode>
                <c:ptCount val="19"/>
                <c:pt idx="0">
                  <c:v>7.3004676660766233E-3</c:v>
                </c:pt>
                <c:pt idx="1">
                  <c:v>3.1749678427707897E-3</c:v>
                </c:pt>
                <c:pt idx="2">
                  <c:v>1.3575673794847137E-3</c:v>
                </c:pt>
                <c:pt idx="3">
                  <c:v>8.3852429104841139E-4</c:v>
                </c:pt>
                <c:pt idx="4">
                  <c:v>2.3240687104182441E-3</c:v>
                </c:pt>
                <c:pt idx="5">
                  <c:v>5.5214739632898765E-3</c:v>
                </c:pt>
                <c:pt idx="6">
                  <c:v>6.1225198232794488E-3</c:v>
                </c:pt>
                <c:pt idx="7">
                  <c:v>5.0741796059824594E-3</c:v>
                </c:pt>
                <c:pt idx="8">
                  <c:v>5.5722556081892125E-3</c:v>
                </c:pt>
                <c:pt idx="9">
                  <c:v>8.4199394452414995E-3</c:v>
                </c:pt>
                <c:pt idx="10">
                  <c:v>1.5590075044206887E-2</c:v>
                </c:pt>
                <c:pt idx="11">
                  <c:v>1.8831607352018331E-2</c:v>
                </c:pt>
                <c:pt idx="12">
                  <c:v>2.6020878778645642E-2</c:v>
                </c:pt>
                <c:pt idx="13">
                  <c:v>4.3919999226878947E-2</c:v>
                </c:pt>
                <c:pt idx="14">
                  <c:v>6.8821696200006291E-2</c:v>
                </c:pt>
                <c:pt idx="15">
                  <c:v>9.0590423664782732E-2</c:v>
                </c:pt>
                <c:pt idx="16">
                  <c:v>0.16377547679498353</c:v>
                </c:pt>
                <c:pt idx="17">
                  <c:v>0.24608507394209247</c:v>
                </c:pt>
                <c:pt idx="18">
                  <c:v>0.49088502307012549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6-4419-940D-85EEE70A0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05536"/>
        <c:axId val="1239891136"/>
      </c:lineChart>
      <c:catAx>
        <c:axId val="123990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91136"/>
        <c:crosses val="autoZero"/>
        <c:auto val="1"/>
        <c:lblAlgn val="ctr"/>
        <c:lblOffset val="100"/>
        <c:noMultiLvlLbl val="0"/>
      </c:catAx>
      <c:valAx>
        <c:axId val="123989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0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'GrafF10-19'!$K$2</c:f>
              <c:strCache>
                <c:ptCount val="1"/>
                <c:pt idx="0">
                  <c:v>lx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'GrafF10-19'!$J$3:$J$21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'GrafF10-19'!$K$3:$K$21</c:f>
              <c:numCache>
                <c:formatCode>General</c:formatCode>
                <c:ptCount val="19"/>
                <c:pt idx="0">
                  <c:v>100000</c:v>
                </c:pt>
                <c:pt idx="1">
                  <c:v>98825.285845790218</c:v>
                </c:pt>
                <c:pt idx="2">
                  <c:v>98599.527807349339</c:v>
                </c:pt>
                <c:pt idx="3">
                  <c:v>98494.873242619011</c:v>
                </c:pt>
                <c:pt idx="4">
                  <c:v>98393.244862810156</c:v>
                </c:pt>
                <c:pt idx="5">
                  <c:v>98219.243547863545</c:v>
                </c:pt>
                <c:pt idx="6">
                  <c:v>98002.11348074938</c:v>
                </c:pt>
                <c:pt idx="7">
                  <c:v>97651.184687083121</c:v>
                </c:pt>
                <c:pt idx="8">
                  <c:v>97167.783109754382</c:v>
                </c:pt>
                <c:pt idx="9">
                  <c:v>96764.523568097677</c:v>
                </c:pt>
                <c:pt idx="10">
                  <c:v>96078.410681396883</c:v>
                </c:pt>
                <c:pt idx="11">
                  <c:v>94968.122309944374</c:v>
                </c:pt>
                <c:pt idx="12">
                  <c:v>93470.455083936307</c:v>
                </c:pt>
                <c:pt idx="13">
                  <c:v>90659.496448113641</c:v>
                </c:pt>
                <c:pt idx="14">
                  <c:v>86608.998250138116</c:v>
                </c:pt>
                <c:pt idx="15">
                  <c:v>79939.744423183743</c:v>
                </c:pt>
                <c:pt idx="16">
                  <c:v>70785.150467677435</c:v>
                </c:pt>
                <c:pt idx="17">
                  <c:v>57243.623161968506</c:v>
                </c:pt>
                <c:pt idx="18">
                  <c:v>42667.191745264536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F-4A6B-957E-3A7BBE4BDCE9}"/>
            </c:ext>
          </c:extLst>
        </c:ser>
        <c:ser>
          <c:idx val="1"/>
          <c:order val="1"/>
          <c:tx>
            <c:strRef>
              <c:f>'GrafF10-19'!$L$2</c:f>
              <c:strCache>
                <c:ptCount val="1"/>
                <c:pt idx="0">
                  <c:v>lx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'GrafF10-19'!$J$3:$J$21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'GrafF10-19'!$L$3:$L$21</c:f>
              <c:numCache>
                <c:formatCode>General</c:formatCode>
                <c:ptCount val="19"/>
                <c:pt idx="0">
                  <c:v>100000</c:v>
                </c:pt>
                <c:pt idx="1">
                  <c:v>99269.953233392342</c:v>
                </c:pt>
                <c:pt idx="2">
                  <c:v>98954.774324122962</c:v>
                </c:pt>
                <c:pt idx="3">
                  <c:v>98820.436550456259</c:v>
                </c:pt>
                <c:pt idx="4">
                  <c:v>98737.573213956697</c:v>
                </c:pt>
                <c:pt idx="5">
                  <c:v>98508.100309507514</c:v>
                </c:pt>
                <c:pt idx="6">
                  <c:v>97964.190398475432</c:v>
                </c:pt>
                <c:pt idx="7">
                  <c:v>97364.402700789244</c:v>
                </c:pt>
                <c:pt idx="8">
                  <c:v>96870.358234256244</c:v>
                </c:pt>
                <c:pt idx="9">
                  <c:v>96330.571837318115</c:v>
                </c:pt>
                <c:pt idx="10">
                  <c:v>95519.474255722409</c:v>
                </c:pt>
                <c:pt idx="11">
                  <c:v>94030.318483892508</c:v>
                </c:pt>
                <c:pt idx="12">
                  <c:v>92259.576447018611</c:v>
                </c:pt>
                <c:pt idx="13">
                  <c:v>89858.901192121542</c:v>
                </c:pt>
                <c:pt idx="14">
                  <c:v>85912.298321235372</c:v>
                </c:pt>
                <c:pt idx="15">
                  <c:v>79999.66822632699</c:v>
                </c:pt>
                <c:pt idx="16">
                  <c:v>72752.464388661974</c:v>
                </c:pt>
                <c:pt idx="17">
                  <c:v>60837.394845398805</c:v>
                </c:pt>
                <c:pt idx="18">
                  <c:v>45866.220036424565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F-4A6B-957E-3A7BBE4BD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03136"/>
        <c:axId val="1239906496"/>
      </c:lineChart>
      <c:catAx>
        <c:axId val="12399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06496"/>
        <c:crosses val="autoZero"/>
        <c:auto val="1"/>
        <c:lblAlgn val="ctr"/>
        <c:lblOffset val="100"/>
        <c:noMultiLvlLbl val="0"/>
      </c:catAx>
      <c:valAx>
        <c:axId val="12399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0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'GrafF10-19'!$O$2</c:f>
              <c:strCache>
                <c:ptCount val="1"/>
                <c:pt idx="0">
                  <c:v>ndx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'GrafF10-19'!$N$3:$N$21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'GrafF10-19'!$O$3:$O$21</c:f>
              <c:numCache>
                <c:formatCode>General</c:formatCode>
                <c:ptCount val="19"/>
                <c:pt idx="0">
                  <c:v>1174.7141542097816</c:v>
                </c:pt>
                <c:pt idx="1">
                  <c:v>225.75803844087932</c:v>
                </c:pt>
                <c:pt idx="2">
                  <c:v>104.65456473032827</c:v>
                </c:pt>
                <c:pt idx="3">
                  <c:v>101.62837980885524</c:v>
                </c:pt>
                <c:pt idx="4">
                  <c:v>174.00131494661036</c:v>
                </c:pt>
                <c:pt idx="5">
                  <c:v>217.13006711416529</c:v>
                </c:pt>
                <c:pt idx="6">
                  <c:v>350.92879366625857</c:v>
                </c:pt>
                <c:pt idx="7">
                  <c:v>483.40157732873922</c:v>
                </c:pt>
                <c:pt idx="8">
                  <c:v>403.25954165670555</c:v>
                </c:pt>
                <c:pt idx="9">
                  <c:v>686.11288670079375</c:v>
                </c:pt>
                <c:pt idx="10">
                  <c:v>1110.2883714525087</c:v>
                </c:pt>
                <c:pt idx="11">
                  <c:v>1497.6672260080668</c:v>
                </c:pt>
                <c:pt idx="12">
                  <c:v>2810.9586358226661</c:v>
                </c:pt>
                <c:pt idx="13">
                  <c:v>4050.4981979755248</c:v>
                </c:pt>
                <c:pt idx="14">
                  <c:v>6669.2538269543729</c:v>
                </c:pt>
                <c:pt idx="15">
                  <c:v>9154.5939555063087</c:v>
                </c:pt>
                <c:pt idx="16">
                  <c:v>13541.527305708929</c:v>
                </c:pt>
                <c:pt idx="17">
                  <c:v>14576.43141670397</c:v>
                </c:pt>
                <c:pt idx="18">
                  <c:v>42667.191745264536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6-4FCD-9F24-B9B0651EF627}"/>
            </c:ext>
          </c:extLst>
        </c:ser>
        <c:ser>
          <c:idx val="1"/>
          <c:order val="1"/>
          <c:tx>
            <c:strRef>
              <c:f>'GrafF10-19'!$P$2</c:f>
              <c:strCache>
                <c:ptCount val="1"/>
                <c:pt idx="0">
                  <c:v>ndx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'GrafF10-19'!$N$3:$N$21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'GrafF10-19'!$P$3:$P$21</c:f>
              <c:numCache>
                <c:formatCode>General</c:formatCode>
                <c:ptCount val="19"/>
                <c:pt idx="0">
                  <c:v>730.04676660765836</c:v>
                </c:pt>
                <c:pt idx="1">
                  <c:v>315.1789092693798</c:v>
                </c:pt>
                <c:pt idx="2">
                  <c:v>134.33777366670256</c:v>
                </c:pt>
                <c:pt idx="3">
                  <c:v>82.863336499562138</c:v>
                </c:pt>
                <c:pt idx="4">
                  <c:v>229.47290444918326</c:v>
                </c:pt>
                <c:pt idx="5">
                  <c:v>543.90991103208216</c:v>
                </c:pt>
                <c:pt idx="6">
                  <c:v>599.78769768618804</c:v>
                </c:pt>
                <c:pt idx="7">
                  <c:v>494.04446653299965</c:v>
                </c:pt>
                <c:pt idx="8">
                  <c:v>539.78639693812875</c:v>
                </c:pt>
                <c:pt idx="9">
                  <c:v>811.09758159570629</c:v>
                </c:pt>
                <c:pt idx="10">
                  <c:v>1489.1557718299009</c:v>
                </c:pt>
                <c:pt idx="11">
                  <c:v>1770.7420368738967</c:v>
                </c:pt>
                <c:pt idx="12">
                  <c:v>2400.675254897069</c:v>
                </c:pt>
                <c:pt idx="13">
                  <c:v>3946.6028708861704</c:v>
                </c:pt>
                <c:pt idx="14">
                  <c:v>5912.6300949083816</c:v>
                </c:pt>
                <c:pt idx="15">
                  <c:v>7247.2038376650162</c:v>
                </c:pt>
                <c:pt idx="16">
                  <c:v>11915.069543263169</c:v>
                </c:pt>
                <c:pt idx="17">
                  <c:v>14971.17480897424</c:v>
                </c:pt>
                <c:pt idx="18">
                  <c:v>45866.220036424565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6-4FCD-9F24-B9B0651EF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86336"/>
        <c:axId val="1239900736"/>
      </c:lineChart>
      <c:catAx>
        <c:axId val="123988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00736"/>
        <c:crosses val="autoZero"/>
        <c:auto val="1"/>
        <c:lblAlgn val="ctr"/>
        <c:lblOffset val="100"/>
        <c:noMultiLvlLbl val="0"/>
      </c:catAx>
      <c:valAx>
        <c:axId val="123990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8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'GrafF10-19'!$S$2</c:f>
              <c:strCache>
                <c:ptCount val="1"/>
                <c:pt idx="0">
                  <c:v>ex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'GrafF10-19'!$R$3:$R$21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'GrafF10-19'!$S$3:$S$21</c:f>
              <c:numCache>
                <c:formatCode>General</c:formatCode>
                <c:ptCount val="19"/>
                <c:pt idx="0">
                  <c:v>18.415686443321157</c:v>
                </c:pt>
                <c:pt idx="1">
                  <c:v>17.633554264798939</c:v>
                </c:pt>
                <c:pt idx="2">
                  <c:v>16.670444728706475</c:v>
                </c:pt>
                <c:pt idx="3">
                  <c:v>15.685450603392736</c:v>
                </c:pt>
                <c:pt idx="4">
                  <c:v>14.699018770432394</c:v>
                </c:pt>
                <c:pt idx="5">
                  <c:v>13.720579161559632</c:v>
                </c:pt>
                <c:pt idx="6">
                  <c:v>12.745388066388884</c:v>
                </c:pt>
                <c:pt idx="7">
                  <c:v>11.782155686631135</c:v>
                </c:pt>
                <c:pt idx="8">
                  <c:v>10.828282175848921</c:v>
                </c:pt>
                <c:pt idx="9">
                  <c:v>9.8629380510536446</c:v>
                </c:pt>
                <c:pt idx="10">
                  <c:v>8.9154660502681935</c:v>
                </c:pt>
                <c:pt idx="11">
                  <c:v>7.9904176990944213</c:v>
                </c:pt>
                <c:pt idx="12">
                  <c:v>7.0783365889473568</c:v>
                </c:pt>
                <c:pt idx="13">
                  <c:v>6.2202358413854855</c:v>
                </c:pt>
                <c:pt idx="14">
                  <c:v>5.3941647503432995</c:v>
                </c:pt>
                <c:pt idx="15">
                  <c:v>4.6355580582191642</c:v>
                </c:pt>
                <c:pt idx="16">
                  <c:v>3.9116776505668671</c:v>
                </c:pt>
                <c:pt idx="17">
                  <c:v>3.2455361730775003</c:v>
                </c:pt>
                <c:pt idx="18">
                  <c:v>2.5001171860578464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6-4524-A7F2-3EFC1BB64AE4}"/>
            </c:ext>
          </c:extLst>
        </c:ser>
        <c:ser>
          <c:idx val="1"/>
          <c:order val="1"/>
          <c:tx>
            <c:strRef>
              <c:f>'GrafF10-19'!$T$2</c:f>
              <c:strCache>
                <c:ptCount val="1"/>
                <c:pt idx="0">
                  <c:v>ex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'GrafF10-19'!$R$3:$R$21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'GrafF10-19'!$T$3:$T$21</c:f>
              <c:numCache>
                <c:formatCode>General</c:formatCode>
                <c:ptCount val="19"/>
                <c:pt idx="0">
                  <c:v>18.47863515685151</c:v>
                </c:pt>
                <c:pt idx="1">
                  <c:v>17.613978734669089</c:v>
                </c:pt>
                <c:pt idx="2">
                  <c:v>16.665228095516511</c:v>
                </c:pt>
                <c:pt idx="3">
                  <c:v>15.684433892131906</c:v>
                </c:pt>
                <c:pt idx="4">
                  <c:v>14.69544799898871</c:v>
                </c:pt>
                <c:pt idx="5">
                  <c:v>13.723806325508152</c:v>
                </c:pt>
                <c:pt idx="6">
                  <c:v>12.786071317186614</c:v>
                </c:pt>
                <c:pt idx="7">
                  <c:v>11.849384590442297</c:v>
                </c:pt>
                <c:pt idx="8">
                  <c:v>10.897015380773835</c:v>
                </c:pt>
                <c:pt idx="9">
                  <c:v>9.9440159808021225</c:v>
                </c:pt>
                <c:pt idx="10">
                  <c:v>9.007174026911521</c:v>
                </c:pt>
                <c:pt idx="11">
                  <c:v>8.1101748027956937</c:v>
                </c:pt>
                <c:pt idx="12">
                  <c:v>7.2177969352604245</c:v>
                </c:pt>
                <c:pt idx="13">
                  <c:v>6.3437822100625771</c:v>
                </c:pt>
                <c:pt idx="14">
                  <c:v>5.5202980547276921</c:v>
                </c:pt>
                <c:pt idx="15">
                  <c:v>4.7434602948943452</c:v>
                </c:pt>
                <c:pt idx="16">
                  <c:v>3.9668728513676959</c:v>
                </c:pt>
                <c:pt idx="17">
                  <c:v>3.254079298645284</c:v>
                </c:pt>
                <c:pt idx="18">
                  <c:v>2.5001090126894265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96-4524-A7F2-3EFC1BB64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63296"/>
        <c:axId val="1239878656"/>
      </c:lineChart>
      <c:catAx>
        <c:axId val="123986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78656"/>
        <c:crosses val="autoZero"/>
        <c:auto val="1"/>
        <c:lblAlgn val="ctr"/>
        <c:lblOffset val="100"/>
        <c:noMultiLvlLbl val="0"/>
      </c:catAx>
      <c:valAx>
        <c:axId val="12398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6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'GrafF19-21'!$C$2</c:f>
              <c:strCache>
                <c:ptCount val="1"/>
                <c:pt idx="0">
                  <c:v>nmx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'GrafF19-21'!$B$3:$B$21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'GrafF19-21'!$C$3:$C$21</c:f>
              <c:numCache>
                <c:formatCode>General</c:formatCode>
                <c:ptCount val="19"/>
                <c:pt idx="0">
                  <c:v>7.3501790999999997E-3</c:v>
                </c:pt>
                <c:pt idx="1">
                  <c:v>7.9531329999999996E-4</c:v>
                </c:pt>
                <c:pt idx="2">
                  <c:v>2.7169789999999998E-4</c:v>
                </c:pt>
                <c:pt idx="3">
                  <c:v>1.6777520000000001E-4</c:v>
                </c:pt>
                <c:pt idx="4">
                  <c:v>4.6535450000000003E-4</c:v>
                </c:pt>
                <c:pt idx="5">
                  <c:v>1.1073519E-3</c:v>
                </c:pt>
                <c:pt idx="6">
                  <c:v>1.228264E-3</c:v>
                </c:pt>
                <c:pt idx="7">
                  <c:v>1.0174171999999999E-3</c:v>
                </c:pt>
                <c:pt idx="8">
                  <c:v>1.1175648E-3</c:v>
                </c:pt>
                <c:pt idx="9">
                  <c:v>1.6911074E-3</c:v>
                </c:pt>
                <c:pt idx="10">
                  <c:v>3.1425110000000002E-3</c:v>
                </c:pt>
                <c:pt idx="11">
                  <c:v>3.8021215000000001E-3</c:v>
                </c:pt>
                <c:pt idx="12">
                  <c:v>5.2727768999999997E-3</c:v>
                </c:pt>
                <c:pt idx="13">
                  <c:v>8.9812276000000007E-3</c:v>
                </c:pt>
                <c:pt idx="14">
                  <c:v>1.42548611E-2</c:v>
                </c:pt>
                <c:pt idx="15">
                  <c:v>1.8977682900000001E-2</c:v>
                </c:pt>
                <c:pt idx="16">
                  <c:v>3.5676568899999997E-2</c:v>
                </c:pt>
                <c:pt idx="17">
                  <c:v>5.61224653E-2</c:v>
                </c:pt>
                <c:pt idx="18">
                  <c:v>0.1301120274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F-42B3-B179-2895A661AF7A}"/>
            </c:ext>
          </c:extLst>
        </c:ser>
        <c:ser>
          <c:idx val="1"/>
          <c:order val="1"/>
          <c:tx>
            <c:strRef>
              <c:f>'GrafF19-21'!$D$2</c:f>
              <c:strCache>
                <c:ptCount val="1"/>
                <c:pt idx="0">
                  <c:v>nmx2021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'GrafF19-21'!$B$3:$B$21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'GrafF19-21'!$D$3:$D$21</c:f>
              <c:numCache>
                <c:formatCode>General</c:formatCode>
                <c:ptCount val="19"/>
                <c:pt idx="0">
                  <c:v>7.9528659999999994E-3</c:v>
                </c:pt>
                <c:pt idx="1">
                  <c:v>2.3794619999999999E-4</c:v>
                </c:pt>
                <c:pt idx="2">
                  <c:v>3.3982869999999999E-4</c:v>
                </c:pt>
                <c:pt idx="3">
                  <c:v>3.3290460000000001E-4</c:v>
                </c:pt>
                <c:pt idx="4">
                  <c:v>6.0130790000000002E-4</c:v>
                </c:pt>
                <c:pt idx="5">
                  <c:v>6.7493900000000005E-4</c:v>
                </c:pt>
                <c:pt idx="6">
                  <c:v>1.1738889E-3</c:v>
                </c:pt>
                <c:pt idx="7">
                  <c:v>1.5490714000000001E-3</c:v>
                </c:pt>
                <c:pt idx="8">
                  <c:v>2.0782685E-3</c:v>
                </c:pt>
                <c:pt idx="9">
                  <c:v>2.3904107000000002E-3</c:v>
                </c:pt>
                <c:pt idx="10">
                  <c:v>4.5780038999999996E-3</c:v>
                </c:pt>
                <c:pt idx="11">
                  <c:v>6.6330286999999998E-3</c:v>
                </c:pt>
                <c:pt idx="12">
                  <c:v>1.04413258E-2</c:v>
                </c:pt>
                <c:pt idx="13">
                  <c:v>1.4107948E-2</c:v>
                </c:pt>
                <c:pt idx="14">
                  <c:v>2.3658148100000002E-2</c:v>
                </c:pt>
                <c:pt idx="15">
                  <c:v>3.6582312300000003E-2</c:v>
                </c:pt>
                <c:pt idx="16">
                  <c:v>5.2377928999999997E-2</c:v>
                </c:pt>
                <c:pt idx="17">
                  <c:v>7.8626706099999999E-2</c:v>
                </c:pt>
                <c:pt idx="18">
                  <c:v>0.1688311109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CF-42B3-B179-2895A661A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95616"/>
        <c:axId val="1542098016"/>
      </c:lineChart>
      <c:catAx>
        <c:axId val="15420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2098016"/>
        <c:crosses val="autoZero"/>
        <c:auto val="1"/>
        <c:lblAlgn val="ctr"/>
        <c:lblOffset val="100"/>
        <c:noMultiLvlLbl val="0"/>
      </c:catAx>
      <c:valAx>
        <c:axId val="15420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4209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'GrafF19-21'!$G$2</c:f>
              <c:strCache>
                <c:ptCount val="1"/>
                <c:pt idx="0">
                  <c:v>nqx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'GrafF19-21'!$F$3:$F$21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'GrafF19-21'!$G$3:$G$21</c:f>
              <c:numCache>
                <c:formatCode>General</c:formatCode>
                <c:ptCount val="19"/>
                <c:pt idx="0">
                  <c:v>7.3004676660766233E-3</c:v>
                </c:pt>
                <c:pt idx="1">
                  <c:v>3.1749678427707897E-3</c:v>
                </c:pt>
                <c:pt idx="2">
                  <c:v>1.3575673794847137E-3</c:v>
                </c:pt>
                <c:pt idx="3">
                  <c:v>8.3852429104841139E-4</c:v>
                </c:pt>
                <c:pt idx="4">
                  <c:v>2.3240687104182441E-3</c:v>
                </c:pt>
                <c:pt idx="5">
                  <c:v>5.5214739632898765E-3</c:v>
                </c:pt>
                <c:pt idx="6">
                  <c:v>6.1225198232794488E-3</c:v>
                </c:pt>
                <c:pt idx="7">
                  <c:v>5.0741796059824594E-3</c:v>
                </c:pt>
                <c:pt idx="8">
                  <c:v>5.5722556081892125E-3</c:v>
                </c:pt>
                <c:pt idx="9">
                  <c:v>8.4199394452414995E-3</c:v>
                </c:pt>
                <c:pt idx="10">
                  <c:v>1.5590075044206887E-2</c:v>
                </c:pt>
                <c:pt idx="11">
                  <c:v>1.8831607352018331E-2</c:v>
                </c:pt>
                <c:pt idx="12">
                  <c:v>2.6020878778645642E-2</c:v>
                </c:pt>
                <c:pt idx="13">
                  <c:v>4.3919999226878947E-2</c:v>
                </c:pt>
                <c:pt idx="14">
                  <c:v>6.8821696200006291E-2</c:v>
                </c:pt>
                <c:pt idx="15">
                  <c:v>9.0590423664782732E-2</c:v>
                </c:pt>
                <c:pt idx="16">
                  <c:v>0.16377547679498353</c:v>
                </c:pt>
                <c:pt idx="17">
                  <c:v>0.24608507394209247</c:v>
                </c:pt>
                <c:pt idx="18">
                  <c:v>0.49088502307012549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6-4A15-A4FE-5A4084E5AE21}"/>
            </c:ext>
          </c:extLst>
        </c:ser>
        <c:ser>
          <c:idx val="1"/>
          <c:order val="1"/>
          <c:tx>
            <c:strRef>
              <c:f>'GrafF19-21'!$H$2</c:f>
              <c:strCache>
                <c:ptCount val="1"/>
                <c:pt idx="0">
                  <c:v>nqx 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'GrafF19-21'!$F$3:$F$21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'GrafF19-21'!$H$3:$H$21</c:f>
              <c:numCache>
                <c:formatCode>General</c:formatCode>
                <c:ptCount val="19"/>
                <c:pt idx="0">
                  <c:v>7.8948054730222598E-3</c:v>
                </c:pt>
                <c:pt idx="1">
                  <c:v>9.5122119832251654E-4</c:v>
                </c:pt>
                <c:pt idx="2">
                  <c:v>1.6977011810366497E-3</c:v>
                </c:pt>
                <c:pt idx="3">
                  <c:v>1.6631388335796567E-3</c:v>
                </c:pt>
                <c:pt idx="4">
                  <c:v>3.0020266441571448E-3</c:v>
                </c:pt>
                <c:pt idx="5">
                  <c:v>3.3690103088778408E-3</c:v>
                </c:pt>
                <c:pt idx="6">
                  <c:v>5.8522697138577396E-3</c:v>
                </c:pt>
                <c:pt idx="7">
                  <c:v>7.7154774364147612E-3</c:v>
                </c:pt>
                <c:pt idx="8">
                  <c:v>1.0337631564885234E-2</c:v>
                </c:pt>
                <c:pt idx="9">
                  <c:v>1.1881052015338199E-2</c:v>
                </c:pt>
                <c:pt idx="10">
                  <c:v>2.2631007399658582E-2</c:v>
                </c:pt>
                <c:pt idx="11">
                  <c:v>3.2624151172400813E-2</c:v>
                </c:pt>
                <c:pt idx="12">
                  <c:v>5.0878530711538791E-2</c:v>
                </c:pt>
                <c:pt idx="13">
                  <c:v>6.8136571964564172E-2</c:v>
                </c:pt>
                <c:pt idx="14">
                  <c:v>0.11168508480764895</c:v>
                </c:pt>
                <c:pt idx="15">
                  <c:v>0.16758494913491712</c:v>
                </c:pt>
                <c:pt idx="16">
                  <c:v>0.23156712846616351</c:v>
                </c:pt>
                <c:pt idx="17">
                  <c:v>0.32855127011476221</c:v>
                </c:pt>
                <c:pt idx="18">
                  <c:v>0.59360716270555869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6-4A15-A4FE-5A4084E5A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199728"/>
        <c:axId val="1279200208"/>
      </c:lineChart>
      <c:catAx>
        <c:axId val="127919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79200208"/>
        <c:crosses val="autoZero"/>
        <c:auto val="1"/>
        <c:lblAlgn val="ctr"/>
        <c:lblOffset val="100"/>
        <c:noMultiLvlLbl val="0"/>
      </c:catAx>
      <c:valAx>
        <c:axId val="127920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7919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'GrafF19-21'!$K$2</c:f>
              <c:strCache>
                <c:ptCount val="1"/>
                <c:pt idx="0">
                  <c:v>lx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'GrafF19-21'!$J$3:$J$21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'GrafF19-21'!$K$3:$K$21</c:f>
              <c:numCache>
                <c:formatCode>General</c:formatCode>
                <c:ptCount val="19"/>
                <c:pt idx="0">
                  <c:v>100000</c:v>
                </c:pt>
                <c:pt idx="1">
                  <c:v>99269.953233392342</c:v>
                </c:pt>
                <c:pt idx="2">
                  <c:v>98954.774324122962</c:v>
                </c:pt>
                <c:pt idx="3">
                  <c:v>98820.436550456259</c:v>
                </c:pt>
                <c:pt idx="4">
                  <c:v>98737.573213956697</c:v>
                </c:pt>
                <c:pt idx="5">
                  <c:v>98508.100309507514</c:v>
                </c:pt>
                <c:pt idx="6">
                  <c:v>97964.190398475432</c:v>
                </c:pt>
                <c:pt idx="7">
                  <c:v>97364.402700789244</c:v>
                </c:pt>
                <c:pt idx="8">
                  <c:v>96870.358234256244</c:v>
                </c:pt>
                <c:pt idx="9">
                  <c:v>96330.571837318115</c:v>
                </c:pt>
                <c:pt idx="10">
                  <c:v>95519.474255722409</c:v>
                </c:pt>
                <c:pt idx="11">
                  <c:v>94030.318483892508</c:v>
                </c:pt>
                <c:pt idx="12">
                  <c:v>92259.576447018611</c:v>
                </c:pt>
                <c:pt idx="13">
                  <c:v>89858.901192121542</c:v>
                </c:pt>
                <c:pt idx="14">
                  <c:v>85912.298321235372</c:v>
                </c:pt>
                <c:pt idx="15">
                  <c:v>79999.66822632699</c:v>
                </c:pt>
                <c:pt idx="16">
                  <c:v>72752.464388661974</c:v>
                </c:pt>
                <c:pt idx="17">
                  <c:v>60837.394845398805</c:v>
                </c:pt>
                <c:pt idx="18">
                  <c:v>45866.220036424565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6-4A3E-A70A-BFF373F279A7}"/>
            </c:ext>
          </c:extLst>
        </c:ser>
        <c:ser>
          <c:idx val="1"/>
          <c:order val="1"/>
          <c:tx>
            <c:strRef>
              <c:f>'GrafF19-21'!$L$2</c:f>
              <c:strCache>
                <c:ptCount val="1"/>
                <c:pt idx="0">
                  <c:v>lx 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'GrafF19-21'!$J$3:$J$21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'GrafF19-21'!$L$3:$L$21</c:f>
              <c:numCache>
                <c:formatCode>General</c:formatCode>
                <c:ptCount val="19"/>
                <c:pt idx="0">
                  <c:v>100000</c:v>
                </c:pt>
                <c:pt idx="1">
                  <c:v>99210.519452697772</c:v>
                </c:pt>
                <c:pt idx="2">
                  <c:v>99116.148303497786</c:v>
                </c:pt>
                <c:pt idx="3">
                  <c:v>98947.878701463138</c:v>
                </c:pt>
                <c:pt idx="4">
                  <c:v>98783.314641894409</c:v>
                </c:pt>
                <c:pt idx="5">
                  <c:v>98486.764499341283</c:v>
                </c:pt>
                <c:pt idx="6">
                  <c:v>98154.961574454981</c:v>
                </c:pt>
                <c:pt idx="7">
                  <c:v>97580.532265567919</c:v>
                </c:pt>
                <c:pt idx="8">
                  <c:v>96827.651870639587</c:v>
                </c:pt>
                <c:pt idx="9">
                  <c:v>95826.683280307945</c:v>
                </c:pt>
                <c:pt idx="10">
                  <c:v>94688.16147179727</c:v>
                </c:pt>
                <c:pt idx="11">
                  <c:v>92545.27298886895</c:v>
                </c:pt>
                <c:pt idx="12">
                  <c:v>89526.062012588984</c:v>
                </c:pt>
                <c:pt idx="13">
                  <c:v>84971.107516998352</c:v>
                </c:pt>
                <c:pt idx="14">
                  <c:v>79181.467534757685</c:v>
                </c:pt>
                <c:pt idx="15">
                  <c:v>70338.078617944178</c:v>
                </c:pt>
                <c:pt idx="16">
                  <c:v>58550.475290508206</c:v>
                </c:pt>
                <c:pt idx="17">
                  <c:v>44992.10985715616</c:v>
                </c:pt>
                <c:pt idx="18">
                  <c:v>30209.895018444593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76-4A3E-A70A-BFF373F27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3516000"/>
        <c:axId val="1281433088"/>
      </c:lineChart>
      <c:catAx>
        <c:axId val="153351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1433088"/>
        <c:crosses val="autoZero"/>
        <c:auto val="1"/>
        <c:lblAlgn val="ctr"/>
        <c:lblOffset val="100"/>
        <c:noMultiLvlLbl val="0"/>
      </c:catAx>
      <c:valAx>
        <c:axId val="128143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3351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'GrafF19-21'!$O$2</c:f>
              <c:strCache>
                <c:ptCount val="1"/>
                <c:pt idx="0">
                  <c:v>ndx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'GrafF19-21'!$N$3:$N$21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'GrafF19-21'!$O$3:$O$21</c:f>
              <c:numCache>
                <c:formatCode>General</c:formatCode>
                <c:ptCount val="19"/>
                <c:pt idx="0">
                  <c:v>730.04676660765836</c:v>
                </c:pt>
                <c:pt idx="1">
                  <c:v>315.1789092693798</c:v>
                </c:pt>
                <c:pt idx="2">
                  <c:v>134.33777366670256</c:v>
                </c:pt>
                <c:pt idx="3">
                  <c:v>82.863336499562138</c:v>
                </c:pt>
                <c:pt idx="4">
                  <c:v>229.47290444918326</c:v>
                </c:pt>
                <c:pt idx="5">
                  <c:v>543.90991103208216</c:v>
                </c:pt>
                <c:pt idx="6">
                  <c:v>599.78769768618804</c:v>
                </c:pt>
                <c:pt idx="7">
                  <c:v>494.04446653299965</c:v>
                </c:pt>
                <c:pt idx="8">
                  <c:v>539.78639693812875</c:v>
                </c:pt>
                <c:pt idx="9">
                  <c:v>811.09758159570629</c:v>
                </c:pt>
                <c:pt idx="10">
                  <c:v>1489.1557718299009</c:v>
                </c:pt>
                <c:pt idx="11">
                  <c:v>1770.7420368738967</c:v>
                </c:pt>
                <c:pt idx="12">
                  <c:v>2400.675254897069</c:v>
                </c:pt>
                <c:pt idx="13">
                  <c:v>3946.6028708861704</c:v>
                </c:pt>
                <c:pt idx="14">
                  <c:v>5912.6300949083816</c:v>
                </c:pt>
                <c:pt idx="15">
                  <c:v>7247.2038376650162</c:v>
                </c:pt>
                <c:pt idx="16">
                  <c:v>11915.069543263169</c:v>
                </c:pt>
                <c:pt idx="17">
                  <c:v>14971.17480897424</c:v>
                </c:pt>
                <c:pt idx="18">
                  <c:v>45866.220036424565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8-4754-A807-D412720CB2A7}"/>
            </c:ext>
          </c:extLst>
        </c:ser>
        <c:ser>
          <c:idx val="1"/>
          <c:order val="1"/>
          <c:tx>
            <c:strRef>
              <c:f>'GrafF19-21'!$P$2</c:f>
              <c:strCache>
                <c:ptCount val="1"/>
                <c:pt idx="0">
                  <c:v>ndx 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'GrafF19-21'!$N$3:$N$21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'GrafF19-21'!$P$3:$P$21</c:f>
              <c:numCache>
                <c:formatCode>General</c:formatCode>
                <c:ptCount val="19"/>
                <c:pt idx="0">
                  <c:v>789.48054730222793</c:v>
                </c:pt>
                <c:pt idx="1">
                  <c:v>94.371149199985666</c:v>
                </c:pt>
                <c:pt idx="2">
                  <c:v>168.26960203464841</c:v>
                </c:pt>
                <c:pt idx="3">
                  <c:v>164.56405956872914</c:v>
                </c:pt>
                <c:pt idx="4">
                  <c:v>296.55014255312562</c:v>
                </c:pt>
                <c:pt idx="5">
                  <c:v>331.80292488630221</c:v>
                </c:pt>
                <c:pt idx="6">
                  <c:v>574.42930888706178</c:v>
                </c:pt>
                <c:pt idx="7">
                  <c:v>752.88039492833195</c:v>
                </c:pt>
                <c:pt idx="8">
                  <c:v>1000.9685903316422</c:v>
                </c:pt>
                <c:pt idx="9">
                  <c:v>1138.5218085106753</c:v>
                </c:pt>
                <c:pt idx="10">
                  <c:v>2142.8884829283197</c:v>
                </c:pt>
                <c:pt idx="11">
                  <c:v>3019.2109762799664</c:v>
                </c:pt>
                <c:pt idx="12">
                  <c:v>4554.9544955906313</c:v>
                </c:pt>
                <c:pt idx="13">
                  <c:v>5789.6399822406675</c:v>
                </c:pt>
                <c:pt idx="14">
                  <c:v>8843.3889168135065</c:v>
                </c:pt>
                <c:pt idx="15">
                  <c:v>11787.603327435972</c:v>
                </c:pt>
                <c:pt idx="16">
                  <c:v>13558.365433352046</c:v>
                </c:pt>
                <c:pt idx="17">
                  <c:v>14782.214838711567</c:v>
                </c:pt>
                <c:pt idx="18">
                  <c:v>30209.895018444593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8-4754-A807-D412720CB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12736"/>
        <c:axId val="1239913216"/>
      </c:lineChart>
      <c:catAx>
        <c:axId val="123991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13216"/>
        <c:crosses val="autoZero"/>
        <c:auto val="1"/>
        <c:lblAlgn val="ctr"/>
        <c:lblOffset val="100"/>
        <c:noMultiLvlLbl val="0"/>
      </c:catAx>
      <c:valAx>
        <c:axId val="12399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91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'GrafF19-21'!$S$2</c:f>
              <c:strCache>
                <c:ptCount val="1"/>
                <c:pt idx="0">
                  <c:v>ex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'GrafF19-21'!$R$3:$R$21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'GrafF19-21'!$S$3:$S$21</c:f>
              <c:numCache>
                <c:formatCode>General</c:formatCode>
                <c:ptCount val="19"/>
                <c:pt idx="0">
                  <c:v>18.47863515685151</c:v>
                </c:pt>
                <c:pt idx="1">
                  <c:v>17.613978734669089</c:v>
                </c:pt>
                <c:pt idx="2">
                  <c:v>16.665228095516511</c:v>
                </c:pt>
                <c:pt idx="3">
                  <c:v>15.684433892131906</c:v>
                </c:pt>
                <c:pt idx="4">
                  <c:v>14.69544799898871</c:v>
                </c:pt>
                <c:pt idx="5">
                  <c:v>13.723806325508152</c:v>
                </c:pt>
                <c:pt idx="6">
                  <c:v>12.786071317186614</c:v>
                </c:pt>
                <c:pt idx="7">
                  <c:v>11.849384590442297</c:v>
                </c:pt>
                <c:pt idx="8">
                  <c:v>10.897015380773835</c:v>
                </c:pt>
                <c:pt idx="9">
                  <c:v>9.9440159808021225</c:v>
                </c:pt>
                <c:pt idx="10">
                  <c:v>9.007174026911521</c:v>
                </c:pt>
                <c:pt idx="11">
                  <c:v>8.1101748027956937</c:v>
                </c:pt>
                <c:pt idx="12">
                  <c:v>7.2177969352604245</c:v>
                </c:pt>
                <c:pt idx="13">
                  <c:v>6.3437822100625771</c:v>
                </c:pt>
                <c:pt idx="14">
                  <c:v>5.5202980547276921</c:v>
                </c:pt>
                <c:pt idx="15">
                  <c:v>4.7434602948943452</c:v>
                </c:pt>
                <c:pt idx="16">
                  <c:v>3.9668728513676959</c:v>
                </c:pt>
                <c:pt idx="17">
                  <c:v>3.254079298645284</c:v>
                </c:pt>
                <c:pt idx="18">
                  <c:v>2.5001090126894265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7-4EFB-A359-1791D3565861}"/>
            </c:ext>
          </c:extLst>
        </c:ser>
        <c:ser>
          <c:idx val="1"/>
          <c:order val="1"/>
          <c:tx>
            <c:strRef>
              <c:f>'GrafF19-21'!$T$2</c:f>
              <c:strCache>
                <c:ptCount val="1"/>
                <c:pt idx="0">
                  <c:v>ex 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'GrafF19-21'!$R$3:$R$21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85+</c:v>
                </c:pt>
              </c:strCache>
            </c:strRef>
          </c:cat>
          <c:val>
            <c:numRef>
              <c:f>'GrafF19-21'!$T$3:$T$21</c:f>
              <c:numCache>
                <c:formatCode>General</c:formatCode>
                <c:ptCount val="19"/>
                <c:pt idx="0">
                  <c:v>17.760193718971337</c:v>
                </c:pt>
                <c:pt idx="1">
                  <c:v>16.900913724199107</c:v>
                </c:pt>
                <c:pt idx="2">
                  <c:v>15.915527539177072</c:v>
                </c:pt>
                <c:pt idx="3">
                  <c:v>14.938291296315294</c:v>
                </c:pt>
                <c:pt idx="4">
                  <c:v>13.958961747769797</c:v>
                </c:pt>
                <c:pt idx="5">
                  <c:v>12.99341466900303</c:v>
                </c:pt>
                <c:pt idx="6">
                  <c:v>12.028835656627614</c:v>
                </c:pt>
                <c:pt idx="7">
                  <c:v>11.084878008045129</c:v>
                </c:pt>
                <c:pt idx="8">
                  <c:v>10.15157782178983</c:v>
                </c:pt>
                <c:pt idx="9">
                  <c:v>9.2314510763373221</c:v>
                </c:pt>
                <c:pt idx="10">
                  <c:v>8.3123366245862851</c:v>
                </c:pt>
                <c:pt idx="11">
                  <c:v>7.4468674202675054</c:v>
                </c:pt>
                <c:pt idx="12">
                  <c:v>6.6136416095686483</c:v>
                </c:pt>
                <c:pt idx="13">
                  <c:v>5.834098314090312</c:v>
                </c:pt>
                <c:pt idx="14">
                  <c:v>5.0778198502629932</c:v>
                </c:pt>
                <c:pt idx="15">
                  <c:v>4.4018500760124804</c:v>
                </c:pt>
                <c:pt idx="16">
                  <c:v>3.7846523363371301</c:v>
                </c:pt>
                <c:pt idx="17">
                  <c:v>3.1716709910779617</c:v>
                </c:pt>
                <c:pt idx="18">
                  <c:v>2.5001655086850501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7-4EFB-A359-1791D3565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898816"/>
        <c:axId val="1239887776"/>
      </c:lineChart>
      <c:catAx>
        <c:axId val="123989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87776"/>
        <c:crosses val="autoZero"/>
        <c:auto val="1"/>
        <c:lblAlgn val="ctr"/>
        <c:lblOffset val="100"/>
        <c:noMultiLvlLbl val="0"/>
      </c:catAx>
      <c:valAx>
        <c:axId val="12398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989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128096</xdr:colOff>
      <xdr:row>21</xdr:row>
      <xdr:rowOff>114957</xdr:rowOff>
    </xdr:from>
    <xdr:to>
      <xdr:col>4</xdr:col>
      <xdr:colOff>197070</xdr:colOff>
      <xdr:row>33</xdr:row>
      <xdr:rowOff>16423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6F15E3-2A27-9F18-33F4-DD906EE19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243053</xdr:colOff>
      <xdr:row>21</xdr:row>
      <xdr:rowOff>131380</xdr:rowOff>
    </xdr:from>
    <xdr:to>
      <xdr:col>8</xdr:col>
      <xdr:colOff>213493</xdr:colOff>
      <xdr:row>33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A078E9-9308-6DF2-EDB1-2D060288C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423698</xdr:colOff>
      <xdr:row>21</xdr:row>
      <xdr:rowOff>98533</xdr:rowOff>
    </xdr:from>
    <xdr:to>
      <xdr:col>12</xdr:col>
      <xdr:colOff>328449</xdr:colOff>
      <xdr:row>33</xdr:row>
      <xdr:rowOff>180972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5B533D-66DD-E83C-D4A5-CC5FF283C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509095</xdr:colOff>
      <xdr:row>21</xdr:row>
      <xdr:rowOff>180646</xdr:rowOff>
    </xdr:from>
    <xdr:to>
      <xdr:col>16</xdr:col>
      <xdr:colOff>443406</xdr:colOff>
      <xdr:row>33</xdr:row>
      <xdr:rowOff>82111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3ACB42-034B-57D6-7C51-C0AC27E5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558362</xdr:colOff>
      <xdr:row>21</xdr:row>
      <xdr:rowOff>114957</xdr:rowOff>
    </xdr:from>
    <xdr:to>
      <xdr:col>20</xdr:col>
      <xdr:colOff>709448</xdr:colOff>
      <xdr:row>32</xdr:row>
      <xdr:rowOff>98862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9F7B4EC-A341-6AD4-6A82-806AD025A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417871</xdr:colOff>
      <xdr:row>21</xdr:row>
      <xdr:rowOff>172371</xdr:rowOff>
    </xdr:from>
    <xdr:to>
      <xdr:col>4</xdr:col>
      <xdr:colOff>199718</xdr:colOff>
      <xdr:row>33</xdr:row>
      <xdr:rowOff>76814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E993A7-32C0-EB17-0885-4C06E3828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325694</xdr:colOff>
      <xdr:row>22</xdr:row>
      <xdr:rowOff>34105</xdr:rowOff>
    </xdr:from>
    <xdr:to>
      <xdr:col>8</xdr:col>
      <xdr:colOff>307258</xdr:colOff>
      <xdr:row>32</xdr:row>
      <xdr:rowOff>153629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87F6209-AB71-B0E2-E53E-2F587F526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586863</xdr:colOff>
      <xdr:row>21</xdr:row>
      <xdr:rowOff>172370</xdr:rowOff>
    </xdr:from>
    <xdr:to>
      <xdr:col>12</xdr:col>
      <xdr:colOff>261169</xdr:colOff>
      <xdr:row>33</xdr:row>
      <xdr:rowOff>15362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DCA03D-167F-32AF-DECF-5AF939040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506977</xdr:colOff>
      <xdr:row>21</xdr:row>
      <xdr:rowOff>92178</xdr:rowOff>
    </xdr:from>
    <xdr:to>
      <xdr:col>16</xdr:col>
      <xdr:colOff>304185</xdr:colOff>
      <xdr:row>32</xdr:row>
      <xdr:rowOff>73434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78C2F6-C472-55C7-99E2-9913FB314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476250</xdr:colOff>
      <xdr:row>21</xdr:row>
      <xdr:rowOff>61451</xdr:rowOff>
    </xdr:from>
    <xdr:to>
      <xdr:col>20</xdr:col>
      <xdr:colOff>611444</xdr:colOff>
      <xdr:row>33</xdr:row>
      <xdr:rowOff>11982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F0BB52-3373-27FB-1478-6BD37707A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21</xdr:row>
      <xdr:rowOff>85725</xdr:rowOff>
    </xdr:from>
    <xdr:to>
      <xdr:col>4</xdr:col>
      <xdr:colOff>257175</xdr:colOff>
      <xdr:row>32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5D65DA-B6FB-81BC-0D40-ADB52AA47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554286</xdr:colOff>
      <xdr:row>21</xdr:row>
      <xdr:rowOff>45902</xdr:rowOff>
    </xdr:from>
    <xdr:to>
      <xdr:col>8</xdr:col>
      <xdr:colOff>516416</xdr:colOff>
      <xdr:row>33</xdr:row>
      <xdr:rowOff>160891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90D892-698D-67D6-F2B2-FA432CEC7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608222</xdr:colOff>
      <xdr:row>22</xdr:row>
      <xdr:rowOff>22950</xdr:rowOff>
    </xdr:from>
    <xdr:to>
      <xdr:col>12</xdr:col>
      <xdr:colOff>340833</xdr:colOff>
      <xdr:row>32</xdr:row>
      <xdr:rowOff>46131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BEBE1E-7294-A803-BE13-74D475195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424608</xdr:colOff>
      <xdr:row>21</xdr:row>
      <xdr:rowOff>137711</xdr:rowOff>
    </xdr:from>
    <xdr:to>
      <xdr:col>16</xdr:col>
      <xdr:colOff>535924</xdr:colOff>
      <xdr:row>34</xdr:row>
      <xdr:rowOff>126465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CF4C196-6705-86B4-DEDA-71858EDF3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619699</xdr:colOff>
      <xdr:row>21</xdr:row>
      <xdr:rowOff>149187</xdr:rowOff>
    </xdr:from>
    <xdr:to>
      <xdr:col>20</xdr:col>
      <xdr:colOff>650682</xdr:colOff>
      <xdr:row>33</xdr:row>
      <xdr:rowOff>160893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188D36-021B-7FFB-2249-129CF87CE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21</xdr:row>
      <xdr:rowOff>190500</xdr:rowOff>
    </xdr:from>
    <xdr:to>
      <xdr:col>4</xdr:col>
      <xdr:colOff>238125</xdr:colOff>
      <xdr:row>33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12CA3D-457C-9ED3-04E8-153F5D358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22</xdr:row>
      <xdr:rowOff>9525</xdr:rowOff>
    </xdr:from>
    <xdr:to>
      <xdr:col>8</xdr:col>
      <xdr:colOff>276225</xdr:colOff>
      <xdr:row>33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051885-9470-0666-981F-B5D3CF674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533400</xdr:colOff>
      <xdr:row>21</xdr:row>
      <xdr:rowOff>180975</xdr:rowOff>
    </xdr:from>
    <xdr:to>
      <xdr:col>12</xdr:col>
      <xdr:colOff>419100</xdr:colOff>
      <xdr:row>33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AA8D4F-6A36-977F-48B4-4CE2A6C2B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542926</xdr:colOff>
      <xdr:row>21</xdr:row>
      <xdr:rowOff>171450</xdr:rowOff>
    </xdr:from>
    <xdr:to>
      <xdr:col>16</xdr:col>
      <xdr:colOff>342900</xdr:colOff>
      <xdr:row>33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B8E9536-BBAA-0CF6-E24F-20E601C15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542924</xdr:colOff>
      <xdr:row>21</xdr:row>
      <xdr:rowOff>180975</xdr:rowOff>
    </xdr:from>
    <xdr:to>
      <xdr:col>20</xdr:col>
      <xdr:colOff>295275</xdr:colOff>
      <xdr:row>31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39DD72-BFBD-6BE8-7E86-6E4768DE4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E815-D131-4E14-8C20-A6B19B7275E9}">
  <dimension ref="A1:N22"/>
  <sheetViews>
    <sheetView topLeftCell="A4" workbookViewId="0">
      <selection activeCell="I3" sqref="I3:I22"/>
    </sheetView>
  </sheetViews>
  <sheetFormatPr baseColWidth="10" defaultRowHeight="15" x14ac:dyDescent="0.25"/>
  <sheetData>
    <row r="1" spans="1:14" x14ac:dyDescent="0.25">
      <c r="A1" t="s">
        <v>13</v>
      </c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/>
    </row>
    <row r="4" spans="1:14" ht="15.75" thickBot="1" x14ac:dyDescent="0.3">
      <c r="A4" s="3">
        <v>0</v>
      </c>
      <c r="B4" s="4">
        <v>1</v>
      </c>
      <c r="C4" s="3">
        <v>5805.2550000000001</v>
      </c>
      <c r="D4" s="3">
        <v>79.154649000000006</v>
      </c>
      <c r="E4" s="3">
        <v>1.3634999599999999E-2</v>
      </c>
      <c r="F4" s="2">
        <f>IF($E$4&gt;=0.107,0.35,0.053+2.8*$E$4)</f>
        <v>9.117799888E-2</v>
      </c>
      <c r="G4" s="2">
        <f>(B4*E4)/(1+(B4-F4)*E4)</f>
        <v>1.3468105694565762E-2</v>
      </c>
      <c r="H4" s="2">
        <f>1-G4</f>
        <v>0.9865318943054342</v>
      </c>
      <c r="I4" s="2">
        <v>100000</v>
      </c>
      <c r="J4" s="2">
        <f>I4-I5</f>
        <v>1346.8105694565747</v>
      </c>
      <c r="K4" s="2">
        <f>(B4+I5)+(F4*J4)</f>
        <v>98776.988923136916</v>
      </c>
      <c r="L4" s="2">
        <f>L5+K4</f>
        <v>1734929.4314015741</v>
      </c>
      <c r="M4" s="2">
        <f>L4/I4</f>
        <v>17.34929431401574</v>
      </c>
    </row>
    <row r="5" spans="1:14" ht="15.75" thickBot="1" x14ac:dyDescent="0.3">
      <c r="A5" s="3">
        <v>1</v>
      </c>
      <c r="B5" s="4">
        <v>4</v>
      </c>
      <c r="C5" s="3">
        <v>24229.116000000002</v>
      </c>
      <c r="D5" s="3">
        <v>13.218513</v>
      </c>
      <c r="E5" s="3">
        <v>5.4556319999999995E-4</v>
      </c>
      <c r="F5" s="2">
        <f>IF($E$4&gt;=0.107,1.361,1.522-1.518*$E$4)</f>
        <v>1.5013020706072</v>
      </c>
      <c r="G5" s="2">
        <f t="shared" ref="G5:G22" si="0">(B5*E5)/(1+(B5-F5)*E5)</f>
        <v>2.1792820079138552E-3</v>
      </c>
      <c r="H5" s="2">
        <f t="shared" ref="H5:H22" si="1">1-G5</f>
        <v>0.99782071799208616</v>
      </c>
      <c r="I5" s="2">
        <f>I4*H4</f>
        <v>98653.189430543425</v>
      </c>
      <c r="J5" s="2">
        <f t="shared" ref="J5:J22" si="2">I5-I6</f>
        <v>214.9931207493064</v>
      </c>
      <c r="K5" s="2">
        <f t="shared" ref="K5:K22" si="3">(B5+I6)+(F5*J5)</f>
        <v>98764.965927141355</v>
      </c>
      <c r="L5" s="2">
        <f t="shared" ref="L5:L22" si="4">L6+K5</f>
        <v>1636152.4424784372</v>
      </c>
      <c r="M5" s="2">
        <f t="shared" ref="M5:M22" si="5">L5/I5</f>
        <v>16.584891496390668</v>
      </c>
    </row>
    <row r="6" spans="1:14" ht="15.75" thickBot="1" x14ac:dyDescent="0.3">
      <c r="A6" s="3">
        <v>5</v>
      </c>
      <c r="B6" s="4">
        <v>5</v>
      </c>
      <c r="C6" s="3">
        <v>30708.300999999999</v>
      </c>
      <c r="D6" s="3">
        <v>7.7922359999999999</v>
      </c>
      <c r="E6" s="3">
        <v>2.5375009999999999E-4</v>
      </c>
      <c r="F6" s="2">
        <f>B6/2</f>
        <v>2.5</v>
      </c>
      <c r="G6" s="2">
        <f t="shared" si="0"/>
        <v>1.267946146346425E-3</v>
      </c>
      <c r="H6" s="2">
        <f t="shared" si="1"/>
        <v>0.9987320538536536</v>
      </c>
      <c r="I6" s="2">
        <f t="shared" ref="I6:I22" si="6">I5*H5</f>
        <v>98438.196309794119</v>
      </c>
      <c r="J6" s="2">
        <f t="shared" si="2"/>
        <v>124.81433166429633</v>
      </c>
      <c r="K6" s="2">
        <f t="shared" si="3"/>
        <v>98630.417807290563</v>
      </c>
      <c r="L6" s="2">
        <f t="shared" si="4"/>
        <v>1537387.476551296</v>
      </c>
      <c r="M6" s="2">
        <f t="shared" si="5"/>
        <v>15.61779404930374</v>
      </c>
    </row>
    <row r="7" spans="1:14" ht="15.75" thickBot="1" x14ac:dyDescent="0.3">
      <c r="A7" s="3">
        <v>10</v>
      </c>
      <c r="B7" s="4">
        <v>5</v>
      </c>
      <c r="C7" s="3">
        <v>31085.753000000001</v>
      </c>
      <c r="D7" s="3">
        <v>5.7608139999999999</v>
      </c>
      <c r="E7" s="3">
        <v>1.853201E-4</v>
      </c>
      <c r="F7" s="2">
        <f t="shared" ref="F7:F22" si="7">B7/2</f>
        <v>2.5</v>
      </c>
      <c r="G7" s="2">
        <f t="shared" si="0"/>
        <v>9.2617140455672595E-4</v>
      </c>
      <c r="H7" s="2">
        <f t="shared" si="1"/>
        <v>0.99907382859544325</v>
      </c>
      <c r="I7" s="2">
        <f t="shared" si="6"/>
        <v>98313.381978129823</v>
      </c>
      <c r="J7" s="2">
        <f t="shared" si="2"/>
        <v>91.055043073414708</v>
      </c>
      <c r="K7" s="2">
        <f t="shared" si="3"/>
        <v>98454.964542739937</v>
      </c>
      <c r="L7" s="2">
        <f t="shared" si="4"/>
        <v>1438757.0587440054</v>
      </c>
      <c r="M7" s="2">
        <f t="shared" si="5"/>
        <v>14.634396964027362</v>
      </c>
    </row>
    <row r="8" spans="1:14" ht="15.75" thickBot="1" x14ac:dyDescent="0.3">
      <c r="A8" s="3">
        <v>15</v>
      </c>
      <c r="B8" s="4">
        <v>5</v>
      </c>
      <c r="C8" s="3">
        <v>31929.628000000001</v>
      </c>
      <c r="D8" s="3">
        <v>32.539256999999999</v>
      </c>
      <c r="E8" s="3">
        <v>1.0190929E-3</v>
      </c>
      <c r="F8" s="2">
        <f t="shared" si="7"/>
        <v>2.5</v>
      </c>
      <c r="G8" s="2">
        <f t="shared" si="0"/>
        <v>5.0825156110665569E-3</v>
      </c>
      <c r="H8" s="2">
        <f t="shared" si="1"/>
        <v>0.99491748438893346</v>
      </c>
      <c r="I8" s="2">
        <f t="shared" si="6"/>
        <v>98222.326935056408</v>
      </c>
      <c r="J8" s="2">
        <f t="shared" si="2"/>
        <v>499.21651000270504</v>
      </c>
      <c r="K8" s="2">
        <f t="shared" si="3"/>
        <v>98976.151700060465</v>
      </c>
      <c r="L8" s="2">
        <f t="shared" si="4"/>
        <v>1340302.0942012654</v>
      </c>
      <c r="M8" s="2">
        <f t="shared" si="5"/>
        <v>13.645595009039639</v>
      </c>
    </row>
    <row r="9" spans="1:14" ht="15.75" thickBot="1" x14ac:dyDescent="0.3">
      <c r="A9" s="3">
        <v>20</v>
      </c>
      <c r="B9" s="4">
        <v>5</v>
      </c>
      <c r="C9" s="3">
        <v>29850.524000000001</v>
      </c>
      <c r="D9" s="3">
        <v>45.415025999999997</v>
      </c>
      <c r="E9" s="3">
        <v>1.5214147E-3</v>
      </c>
      <c r="F9" s="2">
        <f t="shared" si="7"/>
        <v>2.5</v>
      </c>
      <c r="G9" s="2">
        <f t="shared" si="0"/>
        <v>7.5782493500962458E-3</v>
      </c>
      <c r="H9" s="2">
        <f t="shared" si="1"/>
        <v>0.99242175064990379</v>
      </c>
      <c r="I9" s="2">
        <f t="shared" si="6"/>
        <v>97723.110425053703</v>
      </c>
      <c r="J9" s="2">
        <f t="shared" si="2"/>
        <v>740.57009806804126</v>
      </c>
      <c r="K9" s="2">
        <f t="shared" si="3"/>
        <v>98838.965572155765</v>
      </c>
      <c r="L9" s="2">
        <f t="shared" si="4"/>
        <v>1241325.9425012048</v>
      </c>
      <c r="M9" s="2">
        <f t="shared" si="5"/>
        <v>12.702480888113039</v>
      </c>
    </row>
    <row r="10" spans="1:14" ht="15.75" thickBot="1" x14ac:dyDescent="0.3">
      <c r="A10" s="3">
        <v>25</v>
      </c>
      <c r="B10" s="4">
        <v>5</v>
      </c>
      <c r="C10" s="3">
        <v>26319.462</v>
      </c>
      <c r="D10" s="3">
        <v>54.570810999999999</v>
      </c>
      <c r="E10" s="3">
        <v>2.0734015000000001E-3</v>
      </c>
      <c r="F10" s="2">
        <f t="shared" si="7"/>
        <v>2.5</v>
      </c>
      <c r="G10" s="2">
        <f t="shared" si="0"/>
        <v>1.0313547189467592E-2</v>
      </c>
      <c r="H10" s="2">
        <f t="shared" si="1"/>
        <v>0.98968645281053236</v>
      </c>
      <c r="I10" s="2">
        <f t="shared" si="6"/>
        <v>96982.540326985662</v>
      </c>
      <c r="J10" s="2">
        <f t="shared" si="2"/>
        <v>1000.2340062168223</v>
      </c>
      <c r="K10" s="2">
        <f t="shared" si="3"/>
        <v>98487.891336310888</v>
      </c>
      <c r="L10" s="2">
        <f t="shared" si="4"/>
        <v>1142486.976929049</v>
      </c>
      <c r="M10" s="2">
        <f t="shared" si="5"/>
        <v>11.780336677891173</v>
      </c>
    </row>
    <row r="11" spans="1:14" ht="15.75" thickBot="1" x14ac:dyDescent="0.3">
      <c r="A11" s="3">
        <v>30</v>
      </c>
      <c r="B11" s="4">
        <v>5</v>
      </c>
      <c r="C11" s="3">
        <v>24899.129000000001</v>
      </c>
      <c r="D11" s="3">
        <v>63.721834000000001</v>
      </c>
      <c r="E11" s="3">
        <v>2.5591994E-3</v>
      </c>
      <c r="F11" s="2">
        <f t="shared" si="7"/>
        <v>2.5</v>
      </c>
      <c r="G11" s="2">
        <f>(B11*E11)/(1+(B11-F11)*E11)</f>
        <v>1.2714648696710421E-2</v>
      </c>
      <c r="H11" s="2">
        <f t="shared" si="1"/>
        <v>0.98728535130328954</v>
      </c>
      <c r="I11" s="2">
        <f t="shared" si="6"/>
        <v>95982.306320768839</v>
      </c>
      <c r="J11" s="2">
        <f t="shared" si="2"/>
        <v>1220.3813059686217</v>
      </c>
      <c r="K11" s="2">
        <f t="shared" si="3"/>
        <v>97817.878279721772</v>
      </c>
      <c r="L11" s="2">
        <f t="shared" si="4"/>
        <v>1043999.0855927381</v>
      </c>
      <c r="M11" s="2">
        <f t="shared" si="5"/>
        <v>10.876995204759272</v>
      </c>
    </row>
    <row r="12" spans="1:14" ht="15.75" thickBot="1" x14ac:dyDescent="0.3">
      <c r="A12" s="3">
        <v>35</v>
      </c>
      <c r="B12" s="4">
        <v>5</v>
      </c>
      <c r="C12" s="3">
        <v>24167.592000000001</v>
      </c>
      <c r="D12" s="3">
        <v>84.050791000000004</v>
      </c>
      <c r="E12" s="3">
        <v>3.4778306000000001E-3</v>
      </c>
      <c r="F12" s="2">
        <f t="shared" si="7"/>
        <v>2.5</v>
      </c>
      <c r="G12" s="2">
        <f t="shared" si="0"/>
        <v>1.7239264892587633E-2</v>
      </c>
      <c r="H12" s="2">
        <f t="shared" si="1"/>
        <v>0.98276073510741235</v>
      </c>
      <c r="I12" s="2">
        <f t="shared" si="6"/>
        <v>94761.925014800217</v>
      </c>
      <c r="J12" s="2">
        <f t="shared" si="2"/>
        <v>1633.625927061672</v>
      </c>
      <c r="K12" s="2">
        <f t="shared" si="3"/>
        <v>97217.363905392733</v>
      </c>
      <c r="L12" s="2">
        <f t="shared" si="4"/>
        <v>946181.20731301629</v>
      </c>
      <c r="M12" s="2">
        <f t="shared" si="5"/>
        <v>9.9848246768439832</v>
      </c>
    </row>
    <row r="13" spans="1:14" ht="15.75" thickBot="1" x14ac:dyDescent="0.3">
      <c r="A13" s="3">
        <v>40</v>
      </c>
      <c r="B13" s="4">
        <v>5</v>
      </c>
      <c r="C13" s="3">
        <v>20357.603999999999</v>
      </c>
      <c r="D13" s="3">
        <v>87.436340000000001</v>
      </c>
      <c r="E13" s="3">
        <v>4.2950211E-3</v>
      </c>
      <c r="F13" s="2">
        <f t="shared" si="7"/>
        <v>2.5</v>
      </c>
      <c r="G13" s="2">
        <f t="shared" si="0"/>
        <v>2.1246965091552054E-2</v>
      </c>
      <c r="H13" s="2">
        <f t="shared" si="1"/>
        <v>0.97875303490844789</v>
      </c>
      <c r="I13" s="2">
        <f t="shared" si="6"/>
        <v>93128.299087738545</v>
      </c>
      <c r="J13" s="2">
        <f t="shared" si="2"/>
        <v>1978.6937197528023</v>
      </c>
      <c r="K13" s="2">
        <f t="shared" si="3"/>
        <v>96101.339667367749</v>
      </c>
      <c r="L13" s="2">
        <f t="shared" si="4"/>
        <v>848963.84340762359</v>
      </c>
      <c r="M13" s="2">
        <f t="shared" si="5"/>
        <v>9.116067314917812</v>
      </c>
    </row>
    <row r="14" spans="1:14" ht="15.75" thickBot="1" x14ac:dyDescent="0.3">
      <c r="A14" s="3">
        <v>45</v>
      </c>
      <c r="B14" s="4">
        <v>5</v>
      </c>
      <c r="C14" s="3">
        <v>17731.081999999999</v>
      </c>
      <c r="D14" s="3">
        <v>95.247647000000001</v>
      </c>
      <c r="E14" s="3">
        <v>5.3717898000000004E-3</v>
      </c>
      <c r="F14" s="2">
        <f t="shared" si="7"/>
        <v>2.5</v>
      </c>
      <c r="G14" s="2">
        <f t="shared" si="0"/>
        <v>2.650302727109009E-2</v>
      </c>
      <c r="H14" s="2">
        <f t="shared" si="1"/>
        <v>0.97349697272890989</v>
      </c>
      <c r="I14" s="2">
        <f t="shared" si="6"/>
        <v>91149.605367985743</v>
      </c>
      <c r="J14" s="2">
        <f t="shared" si="2"/>
        <v>2415.7404768168344</v>
      </c>
      <c r="K14" s="2">
        <f t="shared" si="3"/>
        <v>94778.216083210995</v>
      </c>
      <c r="L14" s="2">
        <f t="shared" si="4"/>
        <v>752862.50374025584</v>
      </c>
      <c r="M14" s="2">
        <f t="shared" si="5"/>
        <v>8.2596353621151497</v>
      </c>
    </row>
    <row r="15" spans="1:14" ht="15.75" thickBot="1" x14ac:dyDescent="0.3">
      <c r="A15" s="3">
        <v>50</v>
      </c>
      <c r="B15" s="4">
        <v>5</v>
      </c>
      <c r="C15" s="3">
        <v>15443.718000000001</v>
      </c>
      <c r="D15" s="3">
        <v>109.80148</v>
      </c>
      <c r="E15" s="3">
        <v>7.1097827999999997E-3</v>
      </c>
      <c r="F15" s="2">
        <f t="shared" si="7"/>
        <v>2.5</v>
      </c>
      <c r="G15" s="2">
        <f t="shared" si="0"/>
        <v>3.492808623315647E-2</v>
      </c>
      <c r="H15" s="2">
        <f t="shared" si="1"/>
        <v>0.96507191376684354</v>
      </c>
      <c r="I15" s="2">
        <f t="shared" si="6"/>
        <v>88733.864891168909</v>
      </c>
      <c r="J15" s="2">
        <f t="shared" si="2"/>
        <v>3099.3040847200027</v>
      </c>
      <c r="K15" s="2">
        <f t="shared" si="3"/>
        <v>93387.821018248913</v>
      </c>
      <c r="L15" s="2">
        <f t="shared" si="4"/>
        <v>658084.28765704483</v>
      </c>
      <c r="M15" s="2">
        <f t="shared" si="5"/>
        <v>7.4163825554558889</v>
      </c>
    </row>
    <row r="16" spans="1:14" ht="15.75" thickBot="1" x14ac:dyDescent="0.3">
      <c r="A16" s="3">
        <v>55</v>
      </c>
      <c r="B16" s="4">
        <v>5</v>
      </c>
      <c r="C16" s="3">
        <v>11732.932000000001</v>
      </c>
      <c r="D16" s="3">
        <v>121.339696</v>
      </c>
      <c r="E16" s="3">
        <v>1.0341804899999999E-2</v>
      </c>
      <c r="F16" s="2">
        <f t="shared" si="7"/>
        <v>2.5</v>
      </c>
      <c r="G16" s="2">
        <f t="shared" si="0"/>
        <v>5.040580694682225E-2</v>
      </c>
      <c r="H16" s="2">
        <f t="shared" si="1"/>
        <v>0.94959419305317772</v>
      </c>
      <c r="I16" s="2">
        <f t="shared" si="6"/>
        <v>85634.560806448906</v>
      </c>
      <c r="J16" s="2">
        <f t="shared" si="2"/>
        <v>4316.4791399857786</v>
      </c>
      <c r="K16" s="2">
        <f t="shared" si="3"/>
        <v>92114.279516427574</v>
      </c>
      <c r="L16" s="2">
        <f t="shared" si="4"/>
        <v>564696.46663879592</v>
      </c>
      <c r="M16" s="2">
        <f t="shared" si="5"/>
        <v>6.5942589221088195</v>
      </c>
    </row>
    <row r="17" spans="1:13" ht="15.75" thickBot="1" x14ac:dyDescent="0.3">
      <c r="A17" s="3">
        <v>60</v>
      </c>
      <c r="B17" s="4">
        <v>5</v>
      </c>
      <c r="C17" s="3">
        <v>9058.3250000000007</v>
      </c>
      <c r="D17" s="3">
        <v>150.13091299999999</v>
      </c>
      <c r="E17" s="3">
        <v>1.6573804500000001E-2</v>
      </c>
      <c r="F17" s="2">
        <f t="shared" si="7"/>
        <v>2.5</v>
      </c>
      <c r="G17" s="2">
        <f t="shared" si="0"/>
        <v>7.9571995747034538E-2</v>
      </c>
      <c r="H17" s="2">
        <f t="shared" si="1"/>
        <v>0.92042800425296545</v>
      </c>
      <c r="I17" s="2">
        <f t="shared" si="6"/>
        <v>81318.081666463127</v>
      </c>
      <c r="J17" s="2">
        <f t="shared" si="2"/>
        <v>6470.6420485208073</v>
      </c>
      <c r="K17" s="2">
        <f t="shared" si="3"/>
        <v>91029.044739244331</v>
      </c>
      <c r="L17" s="2">
        <f t="shared" si="4"/>
        <v>472582.18712236831</v>
      </c>
      <c r="M17" s="2">
        <f t="shared" si="5"/>
        <v>5.8115265072376729</v>
      </c>
    </row>
    <row r="18" spans="1:13" ht="15.75" thickBot="1" x14ac:dyDescent="0.3">
      <c r="A18" s="3">
        <v>65</v>
      </c>
      <c r="B18" s="4">
        <v>5</v>
      </c>
      <c r="C18" s="3">
        <v>6854.8329999999996</v>
      </c>
      <c r="D18" s="3">
        <v>166.74747600000001</v>
      </c>
      <c r="E18" s="3">
        <v>2.43255346E-2</v>
      </c>
      <c r="F18" s="2">
        <f t="shared" si="7"/>
        <v>2.5</v>
      </c>
      <c r="G18" s="2">
        <f t="shared" si="0"/>
        <v>0.11465505898875972</v>
      </c>
      <c r="H18" s="2">
        <f t="shared" si="1"/>
        <v>0.88534494101124028</v>
      </c>
      <c r="I18" s="2">
        <f t="shared" si="6"/>
        <v>74847.43961794232</v>
      </c>
      <c r="J18" s="2">
        <f t="shared" si="2"/>
        <v>8581.6376045528013</v>
      </c>
      <c r="K18" s="2">
        <f t="shared" si="3"/>
        <v>87724.896024771529</v>
      </c>
      <c r="L18" s="2">
        <f t="shared" si="4"/>
        <v>381553.14238312398</v>
      </c>
      <c r="M18" s="2">
        <f t="shared" si="5"/>
        <v>5.0977447502647584</v>
      </c>
    </row>
    <row r="19" spans="1:13" ht="15.75" thickBot="1" x14ac:dyDescent="0.3">
      <c r="A19" s="3">
        <v>70</v>
      </c>
      <c r="B19" s="4">
        <v>5</v>
      </c>
      <c r="C19" s="3">
        <v>4983.3100000000004</v>
      </c>
      <c r="D19" s="3">
        <v>169.11675399999999</v>
      </c>
      <c r="E19" s="3">
        <v>3.3936631100000003E-2</v>
      </c>
      <c r="F19" s="2">
        <f t="shared" si="7"/>
        <v>2.5</v>
      </c>
      <c r="G19" s="2">
        <f t="shared" si="0"/>
        <v>0.15641284311016998</v>
      </c>
      <c r="H19" s="2">
        <f t="shared" si="1"/>
        <v>0.84358715688982999</v>
      </c>
      <c r="I19" s="2">
        <f t="shared" si="6"/>
        <v>66265.802013389519</v>
      </c>
      <c r="J19" s="2">
        <f t="shared" si="2"/>
        <v>10364.822493889886</v>
      </c>
      <c r="K19" s="2">
        <f t="shared" si="3"/>
        <v>81818.035754224344</v>
      </c>
      <c r="L19" s="2">
        <f t="shared" si="4"/>
        <v>293828.24635835242</v>
      </c>
      <c r="M19" s="2">
        <f t="shared" si="5"/>
        <v>4.434085718889845</v>
      </c>
    </row>
    <row r="20" spans="1:13" ht="15.75" thickBot="1" x14ac:dyDescent="0.3">
      <c r="A20" s="3">
        <v>75</v>
      </c>
      <c r="B20" s="4">
        <v>5</v>
      </c>
      <c r="C20" s="3">
        <v>3419.5549999999998</v>
      </c>
      <c r="D20" s="3">
        <v>177.92394400000001</v>
      </c>
      <c r="E20" s="3">
        <v>5.2031315799999998E-2</v>
      </c>
      <c r="F20" s="2">
        <f t="shared" si="7"/>
        <v>2.5</v>
      </c>
      <c r="G20" s="2">
        <f t="shared" si="0"/>
        <v>0.23021111140459616</v>
      </c>
      <c r="H20" s="2">
        <f t="shared" si="1"/>
        <v>0.76978888859540384</v>
      </c>
      <c r="I20" s="2">
        <f t="shared" si="6"/>
        <v>55900.979519499633</v>
      </c>
      <c r="J20" s="2">
        <f t="shared" si="2"/>
        <v>12869.026623789578</v>
      </c>
      <c r="K20" s="2">
        <f t="shared" si="3"/>
        <v>75209.519455183996</v>
      </c>
      <c r="L20" s="2">
        <f t="shared" si="4"/>
        <v>212010.21060412808</v>
      </c>
      <c r="M20" s="2">
        <f t="shared" si="5"/>
        <v>3.7926027848970647</v>
      </c>
    </row>
    <row r="21" spans="1:13" ht="15.75" thickBot="1" x14ac:dyDescent="0.3">
      <c r="A21" s="3">
        <v>80</v>
      </c>
      <c r="B21" s="4">
        <v>5</v>
      </c>
      <c r="C21" s="3">
        <v>2077.0700000000002</v>
      </c>
      <c r="D21" s="3">
        <v>158.95005499999999</v>
      </c>
      <c r="E21" s="3">
        <v>7.6526110800000005E-2</v>
      </c>
      <c r="F21" s="2">
        <f t="shared" si="7"/>
        <v>2.5</v>
      </c>
      <c r="G21" s="2">
        <f t="shared" si="0"/>
        <v>0.32118328488454367</v>
      </c>
      <c r="H21" s="2">
        <f t="shared" si="1"/>
        <v>0.67881671511545627</v>
      </c>
      <c r="I21" s="2">
        <f t="shared" si="6"/>
        <v>43031.952895710056</v>
      </c>
      <c r="J21" s="2">
        <f t="shared" si="2"/>
        <v>13821.143986041108</v>
      </c>
      <c r="K21" s="2">
        <f t="shared" si="3"/>
        <v>63768.668874771713</v>
      </c>
      <c r="L21" s="2">
        <f t="shared" si="4"/>
        <v>136800.69114894408</v>
      </c>
      <c r="M21" s="2">
        <f t="shared" si="5"/>
        <v>3.1790491005715436</v>
      </c>
    </row>
    <row r="22" spans="1:13" ht="15.75" thickBot="1" x14ac:dyDescent="0.3">
      <c r="A22" s="3" t="s">
        <v>19</v>
      </c>
      <c r="B22" s="4">
        <v>5</v>
      </c>
      <c r="C22" s="3">
        <v>2203.4580000000001</v>
      </c>
      <c r="D22" s="3">
        <v>295.54094400000002</v>
      </c>
      <c r="E22" s="3">
        <v>0.13412595460000001</v>
      </c>
      <c r="F22" s="2">
        <f t="shared" si="7"/>
        <v>2.5</v>
      </c>
      <c r="G22" s="2">
        <f t="shared" si="0"/>
        <v>0.50222593919984737</v>
      </c>
      <c r="H22" s="2">
        <f t="shared" si="1"/>
        <v>0.49777406080015263</v>
      </c>
      <c r="I22" s="2">
        <f t="shared" si="6"/>
        <v>29210.808909668947</v>
      </c>
      <c r="J22" s="2">
        <f t="shared" si="2"/>
        <v>29210.808909668947</v>
      </c>
      <c r="K22" s="2">
        <f t="shared" si="3"/>
        <v>73032.02227417237</v>
      </c>
      <c r="L22" s="2">
        <f t="shared" si="4"/>
        <v>73032.02227417237</v>
      </c>
      <c r="M22" s="2">
        <f t="shared" si="5"/>
        <v>2.5001711695152116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A1EF-249F-4A96-9931-402613AFE933}">
  <dimension ref="A1:M22"/>
  <sheetViews>
    <sheetView workbookViewId="0">
      <selection activeCell="O11" sqref="O11"/>
    </sheetView>
  </sheetViews>
  <sheetFormatPr baseColWidth="10" defaultRowHeight="15" x14ac:dyDescent="0.25"/>
  <sheetData>
    <row r="1" spans="1:13" x14ac:dyDescent="0.25">
      <c r="A1" t="s">
        <v>14</v>
      </c>
    </row>
    <row r="3" spans="1:1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5.75" thickBot="1" x14ac:dyDescent="0.3">
      <c r="A4" s="3">
        <v>0</v>
      </c>
      <c r="B4" s="4">
        <v>1</v>
      </c>
      <c r="C4" s="3">
        <v>5556.0609999999997</v>
      </c>
      <c r="D4" s="3">
        <v>65.976023999999995</v>
      </c>
      <c r="E4" s="3">
        <v>1.1874603100000001E-2</v>
      </c>
      <c r="F4" s="2">
        <f>IF($E$4&gt;=0.107,0.35,0.053+2.8*$E$4)</f>
        <v>8.6248888679999997E-2</v>
      </c>
      <c r="G4" s="2">
        <f>(B4*E4)/(1+(B4-F4)*E4)</f>
        <v>1.174714154209793E-2</v>
      </c>
      <c r="H4" s="2">
        <f>1-G4</f>
        <v>0.98825285845790212</v>
      </c>
      <c r="I4" s="2">
        <v>100000</v>
      </c>
      <c r="J4" s="2">
        <f>I4-I5</f>
        <v>1174.7141542097816</v>
      </c>
      <c r="K4" s="2">
        <f>(B4+I5)+(F4*J4)</f>
        <v>98927.60363610748</v>
      </c>
      <c r="L4" s="2">
        <f>L5+K4</f>
        <v>1841568.6443321155</v>
      </c>
      <c r="M4" s="2">
        <f>L4/I4</f>
        <v>18.415686443321157</v>
      </c>
    </row>
    <row r="5" spans="1:13" ht="15.75" thickBot="1" x14ac:dyDescent="0.3">
      <c r="A5" s="3">
        <v>1</v>
      </c>
      <c r="B5" s="4">
        <v>4</v>
      </c>
      <c r="C5" s="3">
        <v>23369.41</v>
      </c>
      <c r="D5" s="3">
        <v>13.365413999999999</v>
      </c>
      <c r="E5" s="3">
        <v>5.7191920000000001E-4</v>
      </c>
      <c r="F5" s="2">
        <f>IF($E$4&gt;=0.107,1.361,1.522-1.518*$E$4)</f>
        <v>1.5039743524942</v>
      </c>
      <c r="G5" s="2">
        <f t="shared" ref="G5:G22" si="0">(B5*E5)/(1+(B5-F5)*E5)</f>
        <v>2.28441573944097E-3</v>
      </c>
      <c r="H5" s="2">
        <f t="shared" ref="H5:H21" si="1">1-G5</f>
        <v>0.99771558426055906</v>
      </c>
      <c r="I5" s="2">
        <f>I4*H4</f>
        <v>98825.285845790218</v>
      </c>
      <c r="J5" s="2">
        <f t="shared" ref="J5:J22" si="2">I5-I6</f>
        <v>225.75803844087932</v>
      </c>
      <c r="K5" s="2">
        <f t="shared" ref="K5:K22" si="3">(B5+I6)+(F5*J5)</f>
        <v>98943.062107033824</v>
      </c>
      <c r="L5" s="2">
        <f t="shared" ref="L5:L22" si="4">L6+K5</f>
        <v>1742641.0406960081</v>
      </c>
      <c r="M5" s="2">
        <f t="shared" ref="M5:M22" si="5">L5/I5</f>
        <v>17.633554264798939</v>
      </c>
    </row>
    <row r="6" spans="1:13" ht="15.75" thickBot="1" x14ac:dyDescent="0.3">
      <c r="A6" s="3">
        <v>5</v>
      </c>
      <c r="B6" s="4">
        <v>5</v>
      </c>
      <c r="C6" s="3">
        <v>29890.988000000001</v>
      </c>
      <c r="D6" s="3">
        <v>6.3486909999999996</v>
      </c>
      <c r="E6" s="3">
        <v>2.123948E-4</v>
      </c>
      <c r="F6" s="2">
        <f>B6/2</f>
        <v>2.5</v>
      </c>
      <c r="G6" s="2">
        <f t="shared" si="0"/>
        <v>1.0614104048733473E-3</v>
      </c>
      <c r="H6" s="2">
        <f t="shared" si="1"/>
        <v>0.9989385895951266</v>
      </c>
      <c r="I6" s="2">
        <f t="shared" ref="I6:I22" si="6">I5*H5</f>
        <v>98599.527807349339</v>
      </c>
      <c r="J6" s="2">
        <f t="shared" si="2"/>
        <v>104.65456473032827</v>
      </c>
      <c r="K6" s="2">
        <f t="shared" si="3"/>
        <v>98761.509654444832</v>
      </c>
      <c r="L6" s="2">
        <f t="shared" si="4"/>
        <v>1643697.9785889743</v>
      </c>
      <c r="M6" s="2">
        <f t="shared" si="5"/>
        <v>16.670444728706475</v>
      </c>
    </row>
    <row r="7" spans="1:13" ht="15.75" thickBot="1" x14ac:dyDescent="0.3">
      <c r="A7" s="3">
        <v>10</v>
      </c>
      <c r="B7" s="4">
        <v>5</v>
      </c>
      <c r="C7" s="3">
        <v>29115.268</v>
      </c>
      <c r="D7" s="3">
        <v>6.0114089999999996</v>
      </c>
      <c r="E7" s="3">
        <v>2.064693E-4</v>
      </c>
      <c r="F7" s="2">
        <f t="shared" ref="F7:F22" si="7">B7/2</f>
        <v>2.5</v>
      </c>
      <c r="G7" s="2">
        <f t="shared" si="0"/>
        <v>1.031813905263125E-3</v>
      </c>
      <c r="H7" s="2">
        <f t="shared" si="1"/>
        <v>0.99896818609473692</v>
      </c>
      <c r="I7" s="2">
        <f t="shared" si="6"/>
        <v>98494.873242619011</v>
      </c>
      <c r="J7" s="2">
        <f t="shared" si="2"/>
        <v>101.62837980885524</v>
      </c>
      <c r="K7" s="2">
        <f t="shared" si="3"/>
        <v>98652.315812332294</v>
      </c>
      <c r="L7" s="2">
        <f t="shared" si="4"/>
        <v>1544936.4689345295</v>
      </c>
      <c r="M7" s="2">
        <f t="shared" si="5"/>
        <v>15.685450603392736</v>
      </c>
    </row>
    <row r="8" spans="1:13" ht="15.75" thickBot="1" x14ac:dyDescent="0.3">
      <c r="A8" s="3">
        <v>15</v>
      </c>
      <c r="B8" s="4">
        <v>5</v>
      </c>
      <c r="C8" s="3">
        <v>31149.59</v>
      </c>
      <c r="D8" s="3">
        <v>11.026908000000001</v>
      </c>
      <c r="E8" s="3">
        <v>3.5399850000000002E-4</v>
      </c>
      <c r="F8" s="2">
        <f t="shared" si="7"/>
        <v>2.5</v>
      </c>
      <c r="G8" s="2">
        <f t="shared" si="0"/>
        <v>1.7684274483398224E-3</v>
      </c>
      <c r="H8" s="2">
        <f t="shared" si="1"/>
        <v>0.99823157255166017</v>
      </c>
      <c r="I8" s="2">
        <f t="shared" si="6"/>
        <v>98393.244862810156</v>
      </c>
      <c r="J8" s="2">
        <f t="shared" si="2"/>
        <v>174.00131494661036</v>
      </c>
      <c r="K8" s="2">
        <f t="shared" si="3"/>
        <v>98659.246835230064</v>
      </c>
      <c r="L8" s="2">
        <f t="shared" si="4"/>
        <v>1446284.1531221971</v>
      </c>
      <c r="M8" s="2">
        <f t="shared" si="5"/>
        <v>14.699018770432394</v>
      </c>
    </row>
    <row r="9" spans="1:13" ht="15.75" thickBot="1" x14ac:dyDescent="0.3">
      <c r="A9" s="3">
        <v>20</v>
      </c>
      <c r="B9" s="4">
        <v>5</v>
      </c>
      <c r="C9" s="3">
        <v>30950.008999999998</v>
      </c>
      <c r="D9" s="3">
        <v>13.699176</v>
      </c>
      <c r="E9" s="3">
        <v>4.4262270000000001E-4</v>
      </c>
      <c r="F9" s="2">
        <f t="shared" si="7"/>
        <v>2.5</v>
      </c>
      <c r="G9" s="2">
        <f t="shared" si="0"/>
        <v>2.21066727120904E-3</v>
      </c>
      <c r="H9" s="2">
        <f t="shared" si="1"/>
        <v>0.997789332728791</v>
      </c>
      <c r="I9" s="2">
        <f t="shared" si="6"/>
        <v>98219.243547863545</v>
      </c>
      <c r="J9" s="2">
        <f t="shared" si="2"/>
        <v>217.13006711416529</v>
      </c>
      <c r="K9" s="2">
        <f t="shared" si="3"/>
        <v>98549.938648534793</v>
      </c>
      <c r="L9" s="2">
        <f t="shared" si="4"/>
        <v>1347624.906286967</v>
      </c>
      <c r="M9" s="2">
        <f t="shared" si="5"/>
        <v>13.720579161559632</v>
      </c>
    </row>
    <row r="10" spans="1:13" ht="15.75" thickBot="1" x14ac:dyDescent="0.3">
      <c r="A10" s="3">
        <v>25</v>
      </c>
      <c r="B10" s="4">
        <v>5</v>
      </c>
      <c r="C10" s="3">
        <v>27474.145</v>
      </c>
      <c r="D10" s="3">
        <v>19.711333</v>
      </c>
      <c r="E10" s="3">
        <v>7.174503E-4</v>
      </c>
      <c r="F10" s="2">
        <f t="shared" si="7"/>
        <v>2.5</v>
      </c>
      <c r="G10" s="2">
        <f t="shared" si="0"/>
        <v>3.5808288331984333E-3</v>
      </c>
      <c r="H10" s="2">
        <f t="shared" si="1"/>
        <v>0.99641917116680156</v>
      </c>
      <c r="I10" s="2">
        <f t="shared" si="6"/>
        <v>98002.11348074938</v>
      </c>
      <c r="J10" s="2">
        <f t="shared" si="2"/>
        <v>350.92879366625857</v>
      </c>
      <c r="K10" s="2">
        <f t="shared" si="3"/>
        <v>98533.506671248761</v>
      </c>
      <c r="L10" s="2">
        <f t="shared" si="4"/>
        <v>1249074.9676384323</v>
      </c>
      <c r="M10" s="2">
        <f t="shared" si="5"/>
        <v>12.745388066388884</v>
      </c>
    </row>
    <row r="11" spans="1:13" ht="15.75" thickBot="1" x14ac:dyDescent="0.3">
      <c r="A11" s="3">
        <v>30</v>
      </c>
      <c r="B11" s="4">
        <v>5</v>
      </c>
      <c r="C11" s="3">
        <v>26251.414000000001</v>
      </c>
      <c r="D11" s="3">
        <v>26.054908000000001</v>
      </c>
      <c r="E11" s="3">
        <v>9.9251440000000003E-4</v>
      </c>
      <c r="F11" s="2">
        <f t="shared" si="7"/>
        <v>2.5</v>
      </c>
      <c r="G11" s="2">
        <f t="shared" si="0"/>
        <v>4.9502889174132675E-3</v>
      </c>
      <c r="H11" s="2">
        <f t="shared" si="1"/>
        <v>0.99504971108258677</v>
      </c>
      <c r="I11" s="2">
        <f t="shared" si="6"/>
        <v>97651.184687083121</v>
      </c>
      <c r="J11" s="2">
        <f t="shared" si="2"/>
        <v>483.40157732873922</v>
      </c>
      <c r="K11" s="2">
        <f t="shared" si="3"/>
        <v>98381.28705307623</v>
      </c>
      <c r="L11" s="2">
        <f t="shared" si="4"/>
        <v>1150541.4609671836</v>
      </c>
      <c r="M11" s="2">
        <f t="shared" si="5"/>
        <v>11.782155686631135</v>
      </c>
    </row>
    <row r="12" spans="1:13" ht="15.75" thickBot="1" x14ac:dyDescent="0.3">
      <c r="A12" s="3">
        <v>35</v>
      </c>
      <c r="B12" s="4">
        <v>5</v>
      </c>
      <c r="C12" s="3">
        <v>25302.446</v>
      </c>
      <c r="D12" s="3">
        <v>21.045390000000001</v>
      </c>
      <c r="E12" s="3">
        <v>8.3175320000000003E-4</v>
      </c>
      <c r="F12" s="2">
        <f t="shared" si="7"/>
        <v>2.5</v>
      </c>
      <c r="G12" s="2">
        <f t="shared" si="0"/>
        <v>4.1501362771775539E-3</v>
      </c>
      <c r="H12" s="2">
        <f t="shared" si="1"/>
        <v>0.99584986372282247</v>
      </c>
      <c r="I12" s="2">
        <f>I11*H11</f>
        <v>97167.783109754382</v>
      </c>
      <c r="J12" s="2">
        <f t="shared" si="2"/>
        <v>403.25954165670555</v>
      </c>
      <c r="K12" s="2">
        <f t="shared" si="3"/>
        <v>97777.67242223944</v>
      </c>
      <c r="L12" s="2">
        <f t="shared" si="4"/>
        <v>1052160.1739141073</v>
      </c>
      <c r="M12" s="2">
        <f t="shared" si="5"/>
        <v>10.828282175848921</v>
      </c>
    </row>
    <row r="13" spans="1:13" ht="15.75" thickBot="1" x14ac:dyDescent="0.3">
      <c r="A13" s="3">
        <v>40</v>
      </c>
      <c r="B13" s="4">
        <v>5</v>
      </c>
      <c r="C13" s="3">
        <v>21598.026000000002</v>
      </c>
      <c r="D13" s="3">
        <v>30.737314000000001</v>
      </c>
      <c r="E13" s="3">
        <v>1.4231538E-3</v>
      </c>
      <c r="F13" s="2">
        <f t="shared" si="7"/>
        <v>2.5</v>
      </c>
      <c r="G13" s="2">
        <f t="shared" si="0"/>
        <v>7.0905416716896914E-3</v>
      </c>
      <c r="H13" s="2">
        <f t="shared" si="1"/>
        <v>0.99290945832831035</v>
      </c>
      <c r="I13" s="2">
        <f t="shared" si="6"/>
        <v>96764.523568097677</v>
      </c>
      <c r="J13" s="2">
        <f t="shared" si="2"/>
        <v>686.11288670079375</v>
      </c>
      <c r="K13" s="2">
        <f t="shared" si="3"/>
        <v>97798.692898148875</v>
      </c>
      <c r="L13" s="2">
        <f t="shared" si="4"/>
        <v>954382.50149186782</v>
      </c>
      <c r="M13" s="2">
        <f t="shared" si="5"/>
        <v>9.8629380510536446</v>
      </c>
    </row>
    <row r="14" spans="1:13" ht="15.75" thickBot="1" x14ac:dyDescent="0.3">
      <c r="A14" s="3">
        <v>45</v>
      </c>
      <c r="B14" s="4">
        <v>5</v>
      </c>
      <c r="C14" s="3">
        <v>18538.414000000001</v>
      </c>
      <c r="D14" s="3">
        <v>43.095230000000001</v>
      </c>
      <c r="E14" s="3">
        <v>2.3246449000000001E-3</v>
      </c>
      <c r="F14" s="2">
        <f t="shared" si="7"/>
        <v>2.5</v>
      </c>
      <c r="G14" s="2">
        <f t="shared" si="0"/>
        <v>1.1556065130326795E-2</v>
      </c>
      <c r="H14" s="2">
        <f t="shared" si="1"/>
        <v>0.98844393486967319</v>
      </c>
      <c r="I14" s="2">
        <f t="shared" si="6"/>
        <v>96078.410681396883</v>
      </c>
      <c r="J14" s="2">
        <f t="shared" si="2"/>
        <v>1110.2883714525087</v>
      </c>
      <c r="K14" s="2">
        <f t="shared" si="3"/>
        <v>97748.843238575646</v>
      </c>
      <c r="L14" s="2">
        <f t="shared" si="4"/>
        <v>856583.80859371892</v>
      </c>
      <c r="M14" s="2">
        <f t="shared" si="5"/>
        <v>8.9154660502681935</v>
      </c>
    </row>
    <row r="15" spans="1:13" ht="15.75" thickBot="1" x14ac:dyDescent="0.3">
      <c r="A15" s="3">
        <v>50</v>
      </c>
      <c r="B15" s="4">
        <v>5</v>
      </c>
      <c r="C15" s="3">
        <v>15869.633</v>
      </c>
      <c r="D15" s="3">
        <v>50.451303000000003</v>
      </c>
      <c r="E15" s="3">
        <v>3.1791096E-3</v>
      </c>
      <c r="F15" s="2">
        <f t="shared" si="7"/>
        <v>2.5</v>
      </c>
      <c r="G15" s="2">
        <f t="shared" si="0"/>
        <v>1.5770209935500091E-2</v>
      </c>
      <c r="H15" s="2">
        <f t="shared" si="1"/>
        <v>0.98422979006449995</v>
      </c>
      <c r="I15" s="2">
        <f t="shared" si="6"/>
        <v>94968.122309944374</v>
      </c>
      <c r="J15" s="2">
        <f t="shared" si="2"/>
        <v>1497.6672260080668</v>
      </c>
      <c r="K15" s="2">
        <f t="shared" si="3"/>
        <v>97219.623148956482</v>
      </c>
      <c r="L15" s="2">
        <f t="shared" si="4"/>
        <v>758834.9653551433</v>
      </c>
      <c r="M15" s="2">
        <f t="shared" si="5"/>
        <v>7.9904176990944213</v>
      </c>
    </row>
    <row r="16" spans="1:13" ht="15.75" thickBot="1" x14ac:dyDescent="0.3">
      <c r="A16" s="3">
        <v>55</v>
      </c>
      <c r="B16" s="4">
        <v>5</v>
      </c>
      <c r="C16" s="3">
        <v>11872.102000000001</v>
      </c>
      <c r="D16" s="3">
        <v>72.496595999999997</v>
      </c>
      <c r="E16" s="3">
        <v>6.1064669000000004E-3</v>
      </c>
      <c r="F16" s="2">
        <f t="shared" si="7"/>
        <v>2.5</v>
      </c>
      <c r="G16" s="2">
        <f t="shared" si="0"/>
        <v>3.0073231517899771E-2</v>
      </c>
      <c r="H16" s="2">
        <f t="shared" si="1"/>
        <v>0.96992676848210024</v>
      </c>
      <c r="I16" s="2">
        <f t="shared" si="6"/>
        <v>93470.455083936307</v>
      </c>
      <c r="J16" s="2">
        <f t="shared" si="2"/>
        <v>2810.9586358226661</v>
      </c>
      <c r="K16" s="2">
        <f t="shared" si="3"/>
        <v>97691.893037670307</v>
      </c>
      <c r="L16" s="2">
        <f t="shared" si="4"/>
        <v>661615.34220618685</v>
      </c>
      <c r="M16" s="2">
        <f t="shared" si="5"/>
        <v>7.0783365889473568</v>
      </c>
    </row>
    <row r="17" spans="1:13" ht="15.75" thickBot="1" x14ac:dyDescent="0.3">
      <c r="A17" s="3">
        <v>60</v>
      </c>
      <c r="B17" s="4">
        <v>5</v>
      </c>
      <c r="C17" s="3">
        <v>9539.393</v>
      </c>
      <c r="D17" s="3">
        <v>87.188177999999994</v>
      </c>
      <c r="E17" s="3">
        <v>9.1398039E-3</v>
      </c>
      <c r="F17" s="2">
        <f t="shared" si="7"/>
        <v>2.5</v>
      </c>
      <c r="G17" s="2">
        <f t="shared" si="0"/>
        <v>4.4678145772558013E-2</v>
      </c>
      <c r="H17" s="2">
        <f t="shared" si="1"/>
        <v>0.95532185422744198</v>
      </c>
      <c r="I17" s="2">
        <f t="shared" si="6"/>
        <v>90659.496448113641</v>
      </c>
      <c r="J17" s="2">
        <f t="shared" si="2"/>
        <v>4050.4981979755248</v>
      </c>
      <c r="K17" s="2">
        <f t="shared" si="3"/>
        <v>96740.243745076936</v>
      </c>
      <c r="L17" s="2">
        <f t="shared" si="4"/>
        <v>563923.44916851656</v>
      </c>
      <c r="M17" s="2">
        <f t="shared" si="5"/>
        <v>6.2202358413854855</v>
      </c>
    </row>
    <row r="18" spans="1:13" ht="15.75" thickBot="1" x14ac:dyDescent="0.3">
      <c r="A18" s="3">
        <v>65</v>
      </c>
      <c r="B18" s="4">
        <v>5</v>
      </c>
      <c r="C18" s="3">
        <v>7133.2849999999999</v>
      </c>
      <c r="D18" s="3">
        <v>114.257689</v>
      </c>
      <c r="E18" s="3">
        <v>1.60175423E-2</v>
      </c>
      <c r="F18" s="2">
        <f t="shared" si="7"/>
        <v>2.5</v>
      </c>
      <c r="G18" s="2">
        <f t="shared" si="0"/>
        <v>7.7004167715838165E-2</v>
      </c>
      <c r="H18" s="2">
        <f t="shared" si="1"/>
        <v>0.92299583228416182</v>
      </c>
      <c r="I18" s="2">
        <f t="shared" si="6"/>
        <v>86608.998250138116</v>
      </c>
      <c r="J18" s="2">
        <f t="shared" si="2"/>
        <v>6669.2538269543729</v>
      </c>
      <c r="K18" s="2">
        <f t="shared" si="3"/>
        <v>96617.878990569676</v>
      </c>
      <c r="L18" s="2">
        <f t="shared" si="4"/>
        <v>467183.20542343956</v>
      </c>
      <c r="M18" s="2">
        <f t="shared" si="5"/>
        <v>5.3941647503432995</v>
      </c>
    </row>
    <row r="19" spans="1:13" ht="15.75" thickBot="1" x14ac:dyDescent="0.3">
      <c r="A19" s="3">
        <v>70</v>
      </c>
      <c r="B19" s="4">
        <v>5</v>
      </c>
      <c r="C19" s="3">
        <v>5390.3519999999999</v>
      </c>
      <c r="D19" s="3">
        <v>130.957742</v>
      </c>
      <c r="E19" s="3">
        <v>2.42948425E-2</v>
      </c>
      <c r="F19" s="2">
        <f t="shared" si="7"/>
        <v>2.5</v>
      </c>
      <c r="G19" s="2">
        <f t="shared" si="0"/>
        <v>0.11451867930730268</v>
      </c>
      <c r="H19" s="2">
        <f t="shared" si="1"/>
        <v>0.88548132069269736</v>
      </c>
      <c r="I19" s="2">
        <f t="shared" si="6"/>
        <v>79939.744423183743</v>
      </c>
      <c r="J19" s="2">
        <f t="shared" si="2"/>
        <v>9154.5939555063087</v>
      </c>
      <c r="K19" s="2">
        <f t="shared" si="3"/>
        <v>93676.635356443207</v>
      </c>
      <c r="L19" s="2">
        <f t="shared" si="4"/>
        <v>370565.32643286989</v>
      </c>
      <c r="M19" s="2">
        <f t="shared" si="5"/>
        <v>4.6355580582191642</v>
      </c>
    </row>
    <row r="20" spans="1:13" ht="15.75" thickBot="1" x14ac:dyDescent="0.3">
      <c r="A20" s="3">
        <v>75</v>
      </c>
      <c r="B20" s="4">
        <v>5</v>
      </c>
      <c r="C20" s="3">
        <v>3647.9789999999998</v>
      </c>
      <c r="D20" s="3">
        <v>154.337841</v>
      </c>
      <c r="E20" s="3">
        <v>4.2307762300000003E-2</v>
      </c>
      <c r="F20" s="2">
        <f t="shared" si="7"/>
        <v>2.5</v>
      </c>
      <c r="G20" s="2">
        <f t="shared" si="0"/>
        <v>0.19130463404033277</v>
      </c>
      <c r="H20" s="2">
        <f t="shared" si="1"/>
        <v>0.80869536595966718</v>
      </c>
      <c r="I20" s="2">
        <f t="shared" si="6"/>
        <v>70785.150467677435</v>
      </c>
      <c r="J20" s="2">
        <f t="shared" si="2"/>
        <v>13541.527305708929</v>
      </c>
      <c r="K20" s="2">
        <f t="shared" si="3"/>
        <v>91102.441426240839</v>
      </c>
      <c r="L20" s="2">
        <f t="shared" si="4"/>
        <v>276888.69107642665</v>
      </c>
      <c r="M20" s="2">
        <f t="shared" si="5"/>
        <v>3.9116776505668671</v>
      </c>
    </row>
    <row r="21" spans="1:13" ht="15.75" thickBot="1" x14ac:dyDescent="0.3">
      <c r="A21" s="3">
        <v>80</v>
      </c>
      <c r="B21" s="4">
        <v>5</v>
      </c>
      <c r="C21" s="3">
        <v>2547.4960000000001</v>
      </c>
      <c r="D21" s="3">
        <v>148.66619299999999</v>
      </c>
      <c r="E21" s="3">
        <v>5.8357772099999997E-2</v>
      </c>
      <c r="F21" s="2">
        <f t="shared" si="7"/>
        <v>2.5</v>
      </c>
      <c r="G21" s="2">
        <f t="shared" si="0"/>
        <v>0.25463851886978833</v>
      </c>
      <c r="H21" s="2">
        <f t="shared" si="1"/>
        <v>0.74536148113021161</v>
      </c>
      <c r="I21" s="2">
        <f t="shared" si="6"/>
        <v>57243.623161968506</v>
      </c>
      <c r="J21" s="2">
        <f t="shared" si="2"/>
        <v>14576.43141670397</v>
      </c>
      <c r="K21" s="2">
        <f t="shared" si="3"/>
        <v>79113.270287024468</v>
      </c>
      <c r="L21" s="2">
        <f t="shared" si="4"/>
        <v>185786.24965018581</v>
      </c>
      <c r="M21" s="2">
        <f t="shared" si="5"/>
        <v>3.2455361730775003</v>
      </c>
    </row>
    <row r="22" spans="1:13" ht="15.75" thickBot="1" x14ac:dyDescent="0.3">
      <c r="A22" s="3" t="s">
        <v>19</v>
      </c>
      <c r="B22" s="4">
        <v>5</v>
      </c>
      <c r="C22" s="3">
        <v>2644.0329999999999</v>
      </c>
      <c r="D22" s="3">
        <v>347.44681600000001</v>
      </c>
      <c r="E22" s="3">
        <v>0.13140791239999999</v>
      </c>
      <c r="F22" s="2">
        <f t="shared" si="7"/>
        <v>2.5</v>
      </c>
      <c r="G22" s="2">
        <f t="shared" si="0"/>
        <v>0.49456513286195475</v>
      </c>
      <c r="H22" s="2">
        <f>1-G22</f>
        <v>0.50543486713804531</v>
      </c>
      <c r="I22" s="2">
        <f t="shared" si="6"/>
        <v>42667.191745264536</v>
      </c>
      <c r="J22" s="2">
        <f t="shared" si="2"/>
        <v>42667.191745264536</v>
      </c>
      <c r="K22" s="2">
        <f t="shared" si="3"/>
        <v>106672.97936316134</v>
      </c>
      <c r="L22" s="2">
        <f t="shared" si="4"/>
        <v>106672.97936316134</v>
      </c>
      <c r="M22" s="2">
        <f t="shared" si="5"/>
        <v>2.5001171860578464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B61D-5017-4CF4-9B24-B15180213F04}">
  <dimension ref="A1:M22"/>
  <sheetViews>
    <sheetView workbookViewId="0">
      <selection activeCell="I5" sqref="I5"/>
    </sheetView>
  </sheetViews>
  <sheetFormatPr baseColWidth="10" defaultRowHeight="15" x14ac:dyDescent="0.25"/>
  <sheetData>
    <row r="1" spans="1:13" x14ac:dyDescent="0.25">
      <c r="A1" t="s">
        <v>15</v>
      </c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5.75" thickBot="1" x14ac:dyDescent="0.3">
      <c r="A4" s="3">
        <v>0</v>
      </c>
      <c r="B4" s="4">
        <v>1</v>
      </c>
      <c r="C4" s="3">
        <v>4797.6120000000001</v>
      </c>
      <c r="D4" s="3">
        <v>46.083333000000003</v>
      </c>
      <c r="E4" s="3">
        <v>9.6054723000000009E-3</v>
      </c>
      <c r="F4" s="2">
        <f>IF($E$4&gt;=0.107,0.35,0.053+2.8*$E$4)</f>
        <v>7.9895322439999999E-2</v>
      </c>
      <c r="G4" s="2">
        <f>(B4*E4)/(1+(B4-F4)*E4)</f>
        <v>9.5213224712093671E-3</v>
      </c>
      <c r="H4" s="2">
        <f>1-G4</f>
        <v>0.9904786775287906</v>
      </c>
      <c r="I4" s="2">
        <v>100000</v>
      </c>
      <c r="J4" s="2">
        <f>I4-I5</f>
        <v>952.13224712094234</v>
      </c>
      <c r="K4" s="2">
        <f>(B4+I5)+(F4*J4)</f>
        <v>99124.938665768306</v>
      </c>
      <c r="L4" s="2">
        <f>L5+K4</f>
        <v>1694223.4203960437</v>
      </c>
      <c r="M4" s="2">
        <f>L4/I4</f>
        <v>16.942234203960435</v>
      </c>
    </row>
    <row r="5" spans="1:13" ht="15.75" thickBot="1" x14ac:dyDescent="0.3">
      <c r="A5" s="3">
        <v>1</v>
      </c>
      <c r="B5" s="4">
        <v>4</v>
      </c>
      <c r="C5" s="3">
        <v>22039.425999999999</v>
      </c>
      <c r="D5" s="3">
        <v>11.019928</v>
      </c>
      <c r="E5" s="3">
        <v>5.0000969999999996E-4</v>
      </c>
      <c r="F5" s="2">
        <f>IF($E$4&gt;=0.107,1.361,1.522-1.518*$E$4)</f>
        <v>1.5074188930486001</v>
      </c>
      <c r="G5" s="2">
        <f t="shared" ref="G5:G22" si="0">(B5*E5)/(1+(B5-F5)*E5)</f>
        <v>1.9975492249739934E-3</v>
      </c>
      <c r="H5" s="2">
        <f t="shared" ref="H5:H22" si="1">1-G5</f>
        <v>0.99800245077502603</v>
      </c>
      <c r="I5" s="2">
        <f>I4*H4</f>
        <v>99047.867752879058</v>
      </c>
      <c r="J5" s="2">
        <f t="shared" ref="J5:J22" si="2">I5-I6</f>
        <v>197.85299146508623</v>
      </c>
      <c r="K5" s="2">
        <f t="shared" ref="K5:K22" si="3">(B5+I6)+(F5*J5)</f>
        <v>99152.262098794628</v>
      </c>
      <c r="L5" s="2">
        <f t="shared" ref="L5:L21" si="4">L6+K5</f>
        <v>1595098.4817302753</v>
      </c>
      <c r="M5" s="2">
        <f t="shared" ref="M5:M22" si="5">L5/I5</f>
        <v>16.104319233908093</v>
      </c>
    </row>
    <row r="6" spans="1:13" ht="15.75" thickBot="1" x14ac:dyDescent="0.3">
      <c r="A6" s="3">
        <v>5</v>
      </c>
      <c r="B6" s="4">
        <v>5</v>
      </c>
      <c r="C6" s="3">
        <v>30727.577000000001</v>
      </c>
      <c r="D6" s="3">
        <v>6.0108699999999997</v>
      </c>
      <c r="E6" s="3">
        <v>1.956181E-4</v>
      </c>
      <c r="F6" s="2">
        <f>B6/2</f>
        <v>2.5</v>
      </c>
      <c r="G6" s="2">
        <f t="shared" si="0"/>
        <v>9.7761240329782622E-4</v>
      </c>
      <c r="H6" s="2">
        <f t="shared" si="1"/>
        <v>0.99902238759670214</v>
      </c>
      <c r="I6" s="2">
        <f t="shared" ref="I6:I22" si="6">I5*H5</f>
        <v>98850.014761413971</v>
      </c>
      <c r="J6" s="2">
        <f t="shared" si="2"/>
        <v>96.637000496935798</v>
      </c>
      <c r="K6" s="2">
        <f>(B6+I7)+(F6*J6)</f>
        <v>98999.970262159375</v>
      </c>
      <c r="L6" s="2">
        <f t="shared" si="4"/>
        <v>1495946.2196314808</v>
      </c>
      <c r="M6" s="2">
        <f t="shared" si="5"/>
        <v>15.133495156698977</v>
      </c>
    </row>
    <row r="7" spans="1:13" ht="15.75" thickBot="1" x14ac:dyDescent="0.3">
      <c r="A7" s="3">
        <v>10</v>
      </c>
      <c r="B7" s="4">
        <v>5</v>
      </c>
      <c r="C7" s="3">
        <v>31039.514999999999</v>
      </c>
      <c r="D7" s="3">
        <v>7.0126809999999997</v>
      </c>
      <c r="E7" s="3">
        <v>2.2592749999999999E-4</v>
      </c>
      <c r="F7" s="2">
        <f t="shared" ref="F7:F22" si="7">B7/2</f>
        <v>2.5</v>
      </c>
      <c r="G7" s="2">
        <f t="shared" si="0"/>
        <v>1.128999819733068E-3</v>
      </c>
      <c r="H7" s="2">
        <f t="shared" si="1"/>
        <v>0.99887100018026698</v>
      </c>
      <c r="I7" s="2">
        <f t="shared" si="6"/>
        <v>98753.377760917036</v>
      </c>
      <c r="J7" s="2">
        <f t="shared" si="2"/>
        <v>111.49254569009645</v>
      </c>
      <c r="K7" s="2">
        <f t="shared" si="3"/>
        <v>98925.61657945218</v>
      </c>
      <c r="L7" s="2">
        <f t="shared" si="4"/>
        <v>1396946.2493693214</v>
      </c>
      <c r="M7" s="2">
        <f t="shared" si="5"/>
        <v>14.145807273056958</v>
      </c>
    </row>
    <row r="8" spans="1:13" ht="15.75" thickBot="1" x14ac:dyDescent="0.3">
      <c r="A8" s="3">
        <v>15</v>
      </c>
      <c r="B8" s="4">
        <v>5</v>
      </c>
      <c r="C8" s="3">
        <v>30834.02</v>
      </c>
      <c r="D8" s="3">
        <v>56.101449000000002</v>
      </c>
      <c r="E8" s="3">
        <v>1.8194659E-3</v>
      </c>
      <c r="F8" s="2">
        <f t="shared" si="7"/>
        <v>2.5</v>
      </c>
      <c r="G8" s="2">
        <f t="shared" si="0"/>
        <v>9.0561361726204034E-3</v>
      </c>
      <c r="H8" s="2">
        <f t="shared" si="1"/>
        <v>0.99094386382737965</v>
      </c>
      <c r="I8" s="2">
        <f t="shared" si="6"/>
        <v>98641.885215226939</v>
      </c>
      <c r="J8" s="2">
        <f t="shared" si="2"/>
        <v>893.31434483308112</v>
      </c>
      <c r="K8" s="2">
        <f t="shared" si="3"/>
        <v>99986.856732476561</v>
      </c>
      <c r="L8" s="2">
        <f t="shared" si="4"/>
        <v>1298020.6327898693</v>
      </c>
      <c r="M8" s="2">
        <f t="shared" si="5"/>
        <v>13.158919559958889</v>
      </c>
    </row>
    <row r="9" spans="1:13" ht="15.75" thickBot="1" x14ac:dyDescent="0.3">
      <c r="A9" s="3">
        <v>20</v>
      </c>
      <c r="B9" s="4">
        <v>5</v>
      </c>
      <c r="C9" s="3">
        <v>29726.964</v>
      </c>
      <c r="D9" s="3">
        <v>124.224638</v>
      </c>
      <c r="E9" s="3">
        <v>4.1788538E-3</v>
      </c>
      <c r="F9" s="2">
        <f t="shared" si="7"/>
        <v>2.5</v>
      </c>
      <c r="G9" s="2">
        <f t="shared" si="0"/>
        <v>2.0678240638822853E-2</v>
      </c>
      <c r="H9" s="2">
        <f t="shared" si="1"/>
        <v>0.97932175936117716</v>
      </c>
      <c r="I9" s="2">
        <f t="shared" si="6"/>
        <v>97748.570870393858</v>
      </c>
      <c r="J9" s="2">
        <f t="shared" si="2"/>
        <v>2021.2684705590364</v>
      </c>
      <c r="K9" s="2">
        <f t="shared" si="3"/>
        <v>100785.47357623241</v>
      </c>
      <c r="L9" s="2">
        <f t="shared" si="4"/>
        <v>1198033.7760573928</v>
      </c>
      <c r="M9" s="2">
        <f t="shared" si="5"/>
        <v>12.256279200704448</v>
      </c>
    </row>
    <row r="10" spans="1:13" ht="15.75" thickBot="1" x14ac:dyDescent="0.3">
      <c r="A10" s="3">
        <v>25</v>
      </c>
      <c r="B10" s="4">
        <v>5</v>
      </c>
      <c r="C10" s="3">
        <v>28485.205999999998</v>
      </c>
      <c r="D10" s="3">
        <v>146.26449299999999</v>
      </c>
      <c r="E10" s="3">
        <v>5.1347527999999996E-3</v>
      </c>
      <c r="F10" s="2">
        <f t="shared" si="7"/>
        <v>2.5</v>
      </c>
      <c r="G10" s="2">
        <f t="shared" si="0"/>
        <v>2.534836996585596E-2</v>
      </c>
      <c r="H10" s="2">
        <f t="shared" si="1"/>
        <v>0.97465163003414401</v>
      </c>
      <c r="I10" s="2">
        <f t="shared" si="6"/>
        <v>95727.302399834822</v>
      </c>
      <c r="J10" s="2">
        <f t="shared" si="2"/>
        <v>2426.5310770643846</v>
      </c>
      <c r="K10" s="2">
        <f t="shared" si="3"/>
        <v>99372.099015431391</v>
      </c>
      <c r="L10" s="2">
        <f t="shared" si="4"/>
        <v>1097248.3024811605</v>
      </c>
      <c r="M10" s="2">
        <f t="shared" si="5"/>
        <v>11.462229426440558</v>
      </c>
    </row>
    <row r="11" spans="1:13" ht="15.75" thickBot="1" x14ac:dyDescent="0.3">
      <c r="A11" s="3">
        <v>30</v>
      </c>
      <c r="B11" s="4">
        <v>5</v>
      </c>
      <c r="C11" s="3">
        <v>27545.159</v>
      </c>
      <c r="D11" s="3">
        <v>139.251812</v>
      </c>
      <c r="E11" s="3">
        <v>5.0554005000000004E-3</v>
      </c>
      <c r="F11" s="2">
        <f t="shared" si="7"/>
        <v>2.5</v>
      </c>
      <c r="G11" s="2">
        <f t="shared" si="0"/>
        <v>2.4961526219670783E-2</v>
      </c>
      <c r="H11" s="2">
        <f t="shared" si="1"/>
        <v>0.97503847378032926</v>
      </c>
      <c r="I11" s="2">
        <f t="shared" si="6"/>
        <v>93300.771322770437</v>
      </c>
      <c r="J11" s="2">
        <f t="shared" si="2"/>
        <v>2328.9296496888419</v>
      </c>
      <c r="K11" s="2">
        <f t="shared" si="3"/>
        <v>96799.165797303693</v>
      </c>
      <c r="L11" s="2">
        <f t="shared" si="4"/>
        <v>997876.20346572914</v>
      </c>
      <c r="M11" s="2">
        <f t="shared" si="5"/>
        <v>10.69526210039159</v>
      </c>
    </row>
    <row r="12" spans="1:13" ht="15.75" thickBot="1" x14ac:dyDescent="0.3">
      <c r="A12" s="3">
        <v>35</v>
      </c>
      <c r="B12" s="4">
        <v>5</v>
      </c>
      <c r="C12" s="3">
        <v>26513.843000000001</v>
      </c>
      <c r="D12" s="3">
        <v>126.228261</v>
      </c>
      <c r="E12" s="3">
        <v>4.7608436999999997E-3</v>
      </c>
      <c r="F12" s="2">
        <f t="shared" si="7"/>
        <v>2.5</v>
      </c>
      <c r="G12" s="2">
        <f t="shared" si="0"/>
        <v>2.352423053811319E-2</v>
      </c>
      <c r="H12" s="2">
        <f t="shared" si="1"/>
        <v>0.97647576946188686</v>
      </c>
      <c r="I12" s="2">
        <f t="shared" si="6"/>
        <v>90971.841673081595</v>
      </c>
      <c r="J12" s="2">
        <f t="shared" si="2"/>
        <v>2140.0425759943028</v>
      </c>
      <c r="K12" s="2">
        <f t="shared" si="3"/>
        <v>94186.905537073049</v>
      </c>
      <c r="L12" s="2">
        <f t="shared" si="4"/>
        <v>901077.03766842547</v>
      </c>
      <c r="M12" s="2">
        <f t="shared" si="5"/>
        <v>9.9050103976849861</v>
      </c>
    </row>
    <row r="13" spans="1:13" ht="15.75" thickBot="1" x14ac:dyDescent="0.3">
      <c r="A13" s="3">
        <v>40</v>
      </c>
      <c r="B13" s="4">
        <v>5</v>
      </c>
      <c r="C13" s="3">
        <v>24496.870999999999</v>
      </c>
      <c r="D13" s="3">
        <v>154.278986</v>
      </c>
      <c r="E13" s="3">
        <v>6.2979057999999997E-3</v>
      </c>
      <c r="F13" s="2">
        <f t="shared" si="7"/>
        <v>2.5</v>
      </c>
      <c r="G13" s="2">
        <f t="shared" si="0"/>
        <v>3.1001418959319679E-2</v>
      </c>
      <c r="H13" s="2">
        <f t="shared" si="1"/>
        <v>0.96899858104068037</v>
      </c>
      <c r="I13" s="2">
        <f t="shared" si="6"/>
        <v>88831.799097087292</v>
      </c>
      <c r="J13" s="2">
        <f t="shared" si="2"/>
        <v>2753.9118207189167</v>
      </c>
      <c r="K13" s="2">
        <f t="shared" si="3"/>
        <v>92967.666828165675</v>
      </c>
      <c r="L13" s="2">
        <f t="shared" si="4"/>
        <v>806890.13213135244</v>
      </c>
      <c r="M13" s="2">
        <f t="shared" si="5"/>
        <v>9.0833478589066381</v>
      </c>
    </row>
    <row r="14" spans="1:13" ht="15.75" thickBot="1" x14ac:dyDescent="0.3">
      <c r="A14" s="3">
        <v>45</v>
      </c>
      <c r="B14" s="4">
        <v>5</v>
      </c>
      <c r="C14" s="3">
        <v>22761.843000000001</v>
      </c>
      <c r="D14" s="3">
        <v>152.275362</v>
      </c>
      <c r="E14" s="3">
        <v>6.6899400000000001E-3</v>
      </c>
      <c r="F14" s="2">
        <f t="shared" si="7"/>
        <v>2.5</v>
      </c>
      <c r="G14" s="2">
        <f t="shared" si="0"/>
        <v>3.2899461442296801E-2</v>
      </c>
      <c r="H14" s="2">
        <f t="shared" si="1"/>
        <v>0.96710053855770317</v>
      </c>
      <c r="I14" s="2">
        <f t="shared" si="6"/>
        <v>86077.887276368376</v>
      </c>
      <c r="J14" s="2">
        <f t="shared" si="2"/>
        <v>2831.9161334832606</v>
      </c>
      <c r="K14" s="2">
        <f t="shared" si="3"/>
        <v>90330.761476593267</v>
      </c>
      <c r="L14" s="2">
        <f t="shared" si="4"/>
        <v>713922.46530318679</v>
      </c>
      <c r="M14" s="2">
        <f t="shared" si="5"/>
        <v>8.2939125005590775</v>
      </c>
    </row>
    <row r="15" spans="1:13" ht="15.75" thickBot="1" x14ac:dyDescent="0.3">
      <c r="A15" s="3">
        <v>50</v>
      </c>
      <c r="B15" s="4">
        <v>5</v>
      </c>
      <c r="C15" s="3">
        <v>19712.388999999999</v>
      </c>
      <c r="D15" s="3">
        <v>162.29347799999999</v>
      </c>
      <c r="E15" s="3">
        <v>8.2330699000000007E-3</v>
      </c>
      <c r="F15" s="2">
        <f t="shared" si="7"/>
        <v>2.5</v>
      </c>
      <c r="G15" s="2">
        <f t="shared" si="0"/>
        <v>4.0335144342993859E-2</v>
      </c>
      <c r="H15" s="2">
        <f t="shared" si="1"/>
        <v>0.9596648556570061</v>
      </c>
      <c r="I15" s="2">
        <f t="shared" si="6"/>
        <v>83245.971142885115</v>
      </c>
      <c r="J15" s="2">
        <f t="shared" si="2"/>
        <v>3357.7382620209828</v>
      </c>
      <c r="K15" s="2">
        <f t="shared" si="3"/>
        <v>88287.578535916589</v>
      </c>
      <c r="L15" s="2">
        <f t="shared" si="4"/>
        <v>623591.70382659347</v>
      </c>
      <c r="M15" s="2">
        <f t="shared" si="5"/>
        <v>7.4909535592569121</v>
      </c>
    </row>
    <row r="16" spans="1:13" ht="15.75" thickBot="1" x14ac:dyDescent="0.3">
      <c r="A16" s="3">
        <v>55</v>
      </c>
      <c r="B16" s="4">
        <v>5</v>
      </c>
      <c r="C16" s="3">
        <v>16449.263999999999</v>
      </c>
      <c r="D16" s="3">
        <v>202.36594199999999</v>
      </c>
      <c r="E16" s="3">
        <v>1.23024311E-2</v>
      </c>
      <c r="F16" s="2">
        <f t="shared" si="7"/>
        <v>2.5</v>
      </c>
      <c r="G16" s="2">
        <f t="shared" si="0"/>
        <v>5.9676733252228449E-2</v>
      </c>
      <c r="H16" s="2">
        <f t="shared" si="1"/>
        <v>0.94032326674777156</v>
      </c>
      <c r="I16" s="2">
        <f t="shared" si="6"/>
        <v>79888.232880864132</v>
      </c>
      <c r="J16" s="2">
        <f t="shared" si="2"/>
        <v>4767.4687636232411</v>
      </c>
      <c r="K16" s="2">
        <f t="shared" si="3"/>
        <v>87044.436026298994</v>
      </c>
      <c r="L16" s="2">
        <f t="shared" si="4"/>
        <v>535304.12529067683</v>
      </c>
      <c r="M16" s="2">
        <f t="shared" si="5"/>
        <v>6.7006629886151838</v>
      </c>
    </row>
    <row r="17" spans="1:13" ht="15.75" thickBot="1" x14ac:dyDescent="0.3">
      <c r="A17" s="3">
        <v>60</v>
      </c>
      <c r="B17" s="4">
        <v>5</v>
      </c>
      <c r="C17" s="3">
        <v>14025.565000000001</v>
      </c>
      <c r="D17" s="3">
        <v>234.423913</v>
      </c>
      <c r="E17" s="3">
        <v>1.6714044099999999E-2</v>
      </c>
      <c r="F17" s="2">
        <f t="shared" si="7"/>
        <v>2.5</v>
      </c>
      <c r="G17" s="2">
        <f t="shared" si="0"/>
        <v>8.0218290391907615E-2</v>
      </c>
      <c r="H17" s="2">
        <f t="shared" si="1"/>
        <v>0.91978170960809236</v>
      </c>
      <c r="I17" s="2">
        <f t="shared" si="6"/>
        <v>75120.764117240891</v>
      </c>
      <c r="J17" s="2">
        <f t="shared" si="2"/>
        <v>6026.0592704188311</v>
      </c>
      <c r="K17" s="2">
        <f t="shared" si="3"/>
        <v>84164.853022869138</v>
      </c>
      <c r="L17" s="2">
        <f t="shared" si="4"/>
        <v>448259.68926437787</v>
      </c>
      <c r="M17" s="2">
        <f t="shared" si="5"/>
        <v>5.967187561681075</v>
      </c>
    </row>
    <row r="18" spans="1:13" ht="15.75" thickBot="1" x14ac:dyDescent="0.3">
      <c r="A18" s="3">
        <v>65</v>
      </c>
      <c r="B18" s="4">
        <v>5</v>
      </c>
      <c r="C18" s="3">
        <v>10298.441000000001</v>
      </c>
      <c r="D18" s="3">
        <v>194.351449</v>
      </c>
      <c r="E18" s="3">
        <v>1.88719283E-2</v>
      </c>
      <c r="F18" s="2">
        <f t="shared" si="7"/>
        <v>2.5</v>
      </c>
      <c r="G18" s="2">
        <f t="shared" si="0"/>
        <v>9.0108345892703265E-2</v>
      </c>
      <c r="H18" s="2">
        <f t="shared" si="1"/>
        <v>0.90989165410729678</v>
      </c>
      <c r="I18" s="2">
        <f t="shared" si="6"/>
        <v>69094.70484682206</v>
      </c>
      <c r="J18" s="2">
        <f t="shared" si="2"/>
        <v>6226.0095636916813</v>
      </c>
      <c r="K18" s="2">
        <f t="shared" si="3"/>
        <v>78438.719192359582</v>
      </c>
      <c r="L18" s="2">
        <f t="shared" si="4"/>
        <v>364094.83624150872</v>
      </c>
      <c r="M18" s="2">
        <f t="shared" si="5"/>
        <v>5.269504183405668</v>
      </c>
    </row>
    <row r="19" spans="1:13" ht="15.75" thickBot="1" x14ac:dyDescent="0.3">
      <c r="A19" s="3">
        <v>70</v>
      </c>
      <c r="B19" s="4">
        <v>5</v>
      </c>
      <c r="C19" s="3">
        <v>7489.0640000000003</v>
      </c>
      <c r="D19" s="3">
        <v>216.39130399999999</v>
      </c>
      <c r="E19" s="3">
        <v>2.8894305200000001E-2</v>
      </c>
      <c r="F19" s="2">
        <f t="shared" si="7"/>
        <v>2.5</v>
      </c>
      <c r="G19" s="2">
        <f t="shared" si="0"/>
        <v>0.1347385817423066</v>
      </c>
      <c r="H19" s="2">
        <f t="shared" si="1"/>
        <v>0.86526141825769343</v>
      </c>
      <c r="I19" s="2">
        <f t="shared" si="6"/>
        <v>62868.695283130379</v>
      </c>
      <c r="J19" s="2">
        <f t="shared" si="2"/>
        <v>8470.838838438227</v>
      </c>
      <c r="K19" s="2">
        <f t="shared" si="3"/>
        <v>75579.953540787712</v>
      </c>
      <c r="L19" s="2">
        <f t="shared" si="4"/>
        <v>285656.11704914912</v>
      </c>
      <c r="M19" s="2">
        <f t="shared" si="5"/>
        <v>4.5436940557250525</v>
      </c>
    </row>
    <row r="20" spans="1:13" ht="15.75" thickBot="1" x14ac:dyDescent="0.3">
      <c r="A20" s="3">
        <v>75</v>
      </c>
      <c r="B20" s="4">
        <v>5</v>
      </c>
      <c r="C20" s="3">
        <v>4967.9319999999998</v>
      </c>
      <c r="D20" s="3">
        <v>238.43115900000001</v>
      </c>
      <c r="E20" s="3">
        <v>4.7994042799999997E-2</v>
      </c>
      <c r="F20" s="2">
        <f t="shared" si="7"/>
        <v>2.5</v>
      </c>
      <c r="G20" s="2">
        <f t="shared" si="0"/>
        <v>0.21426196875312556</v>
      </c>
      <c r="H20" s="2">
        <f t="shared" si="1"/>
        <v>0.78573803124687447</v>
      </c>
      <c r="I20" s="2">
        <f t="shared" si="6"/>
        <v>54397.856444692152</v>
      </c>
      <c r="J20" s="2">
        <f t="shared" si="2"/>
        <v>11655.391817789641</v>
      </c>
      <c r="K20" s="2">
        <f t="shared" si="3"/>
        <v>71885.944171376614</v>
      </c>
      <c r="L20" s="2">
        <f t="shared" si="4"/>
        <v>210076.16350836138</v>
      </c>
      <c r="M20" s="2">
        <f t="shared" si="5"/>
        <v>3.8618463527501636</v>
      </c>
    </row>
    <row r="21" spans="1:13" ht="15.75" thickBot="1" x14ac:dyDescent="0.3">
      <c r="A21" s="3">
        <v>80</v>
      </c>
      <c r="B21" s="4">
        <v>5</v>
      </c>
      <c r="C21" s="3">
        <v>3021.7289999999998</v>
      </c>
      <c r="D21" s="3">
        <v>186.33695700000001</v>
      </c>
      <c r="E21" s="3">
        <v>6.1665683700000001E-2</v>
      </c>
      <c r="F21" s="2">
        <f t="shared" si="7"/>
        <v>2.5</v>
      </c>
      <c r="G21" s="2">
        <f t="shared" si="0"/>
        <v>0.2671443248966785</v>
      </c>
      <c r="H21" s="2">
        <f t="shared" si="1"/>
        <v>0.7328556751033215</v>
      </c>
      <c r="I21" s="2">
        <f t="shared" si="6"/>
        <v>42742.464626902511</v>
      </c>
      <c r="J21" s="2">
        <f t="shared" si="2"/>
        <v>11418.406857174032</v>
      </c>
      <c r="K21" s="2">
        <f t="shared" si="3"/>
        <v>59875.074912663564</v>
      </c>
      <c r="L21" s="2">
        <f t="shared" si="4"/>
        <v>138190.21933698477</v>
      </c>
      <c r="M21" s="2">
        <f t="shared" si="5"/>
        <v>3.2330896344710673</v>
      </c>
    </row>
    <row r="22" spans="1:13" ht="15.75" thickBot="1" x14ac:dyDescent="0.3">
      <c r="A22" s="3" t="s">
        <v>19</v>
      </c>
      <c r="B22" s="4">
        <v>5</v>
      </c>
      <c r="C22" s="3">
        <v>2488.0949999999998</v>
      </c>
      <c r="D22" s="3">
        <v>361.65398599999997</v>
      </c>
      <c r="E22" s="3">
        <v>0.1453537651</v>
      </c>
      <c r="F22" s="2">
        <f t="shared" si="7"/>
        <v>2.5</v>
      </c>
      <c r="G22" s="2">
        <f t="shared" si="0"/>
        <v>0.53306229607985522</v>
      </c>
      <c r="H22" s="2">
        <f t="shared" si="1"/>
        <v>0.46693770392014478</v>
      </c>
      <c r="I22" s="2">
        <f t="shared" si="6"/>
        <v>31324.057769728479</v>
      </c>
      <c r="J22" s="2">
        <f t="shared" si="2"/>
        <v>31324.057769728479</v>
      </c>
      <c r="K22" s="2">
        <f t="shared" si="3"/>
        <v>78315.144424321203</v>
      </c>
      <c r="L22" s="2">
        <f>L23+K22</f>
        <v>78315.144424321203</v>
      </c>
      <c r="M22" s="2">
        <f t="shared" si="5"/>
        <v>2.5001596217206838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88BB-C4B2-4F8E-8C44-51A37664A7F6}">
  <dimension ref="A1:M23"/>
  <sheetViews>
    <sheetView topLeftCell="A3" workbookViewId="0">
      <selection activeCell="K3" sqref="K3:M22"/>
    </sheetView>
  </sheetViews>
  <sheetFormatPr baseColWidth="10" defaultRowHeight="15" x14ac:dyDescent="0.25"/>
  <sheetData>
    <row r="1" spans="1:13" x14ac:dyDescent="0.25">
      <c r="A1" t="s">
        <v>16</v>
      </c>
    </row>
    <row r="3" spans="1:1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5.75" thickBot="1" x14ac:dyDescent="0.3">
      <c r="A4" s="3">
        <v>0</v>
      </c>
      <c r="B4" s="4">
        <v>1</v>
      </c>
      <c r="C4" s="3">
        <v>4636.1090000000004</v>
      </c>
      <c r="D4" s="3">
        <v>34.076233000000002</v>
      </c>
      <c r="E4" s="3">
        <v>7.3501790999999997E-3</v>
      </c>
      <c r="F4" s="2">
        <f>IF($E$4&gt;=0.107,0.35,0.053+2.8*$E$4)</f>
        <v>7.3580501480000005E-2</v>
      </c>
      <c r="G4" s="2">
        <f>(B4*E4)/(1+(B4-F4)*E4)</f>
        <v>7.3004676660766233E-3</v>
      </c>
      <c r="H4" s="2">
        <f>1-G4</f>
        <v>0.99269953233392338</v>
      </c>
      <c r="I4" s="2">
        <v>100000</v>
      </c>
      <c r="J4" s="2">
        <f>I4-I5</f>
        <v>730.04676660765836</v>
      </c>
      <c r="K4" s="2">
        <f>(B4+I5)+(F4*J4)</f>
        <v>99324.670440583184</v>
      </c>
      <c r="L4" s="2">
        <f>L5+K4</f>
        <v>1847863.5156851509</v>
      </c>
      <c r="M4" s="2">
        <f>L4/I4</f>
        <v>18.47863515685151</v>
      </c>
    </row>
    <row r="5" spans="1:13" ht="15.75" thickBot="1" x14ac:dyDescent="0.3">
      <c r="A5" s="3">
        <v>1</v>
      </c>
      <c r="B5" s="4">
        <v>4</v>
      </c>
      <c r="C5" s="3">
        <v>21423.149000000001</v>
      </c>
      <c r="D5" s="3">
        <v>17.038117</v>
      </c>
      <c r="E5" s="3">
        <v>7.9531329999999996E-4</v>
      </c>
      <c r="F5" s="2">
        <f>IF($E$4&gt;=0.107,1.361,1.522-1.518*$E$4)</f>
        <v>1.5108424281262001</v>
      </c>
      <c r="G5" s="2">
        <f t="shared" ref="G5:G22" si="0">(B5*E5)/(1+(B5-F5)*E5)</f>
        <v>3.1749678427707897E-3</v>
      </c>
      <c r="H5" s="2">
        <f t="shared" ref="H5:H22" si="1">1-G5</f>
        <v>0.99682503215722917</v>
      </c>
      <c r="I5" s="2">
        <f>I4*H4</f>
        <v>99269.953233392342</v>
      </c>
      <c r="J5" s="2">
        <f t="shared" ref="J5:J22" si="2">I5-I6</f>
        <v>315.1789092693798</v>
      </c>
      <c r="K5" s="2">
        <f t="shared" ref="K5:K23" si="3">(B5+I6)+(F5*J5)</f>
        <v>99434.959992697681</v>
      </c>
      <c r="L5" s="2">
        <f t="shared" ref="L5:L22" si="4">L6+K5</f>
        <v>1748538.8452445676</v>
      </c>
      <c r="M5" s="2">
        <f t="shared" ref="M5:M22" si="5">L5/I5</f>
        <v>17.613978734669089</v>
      </c>
    </row>
    <row r="6" spans="1:13" ht="15.75" thickBot="1" x14ac:dyDescent="0.3">
      <c r="A6" s="3">
        <v>5</v>
      </c>
      <c r="B6" s="4">
        <v>5</v>
      </c>
      <c r="C6" s="3">
        <v>29510.485000000001</v>
      </c>
      <c r="D6" s="3">
        <v>8.0179369999999999</v>
      </c>
      <c r="E6" s="3">
        <v>2.7169789999999998E-4</v>
      </c>
      <c r="F6" s="2">
        <f>B6/2</f>
        <v>2.5</v>
      </c>
      <c r="G6" s="2">
        <f t="shared" si="0"/>
        <v>1.3575673794847137E-3</v>
      </c>
      <c r="H6" s="2">
        <f t="shared" si="1"/>
        <v>0.99864243262051533</v>
      </c>
      <c r="I6" s="2">
        <f t="shared" ref="I6:I22" si="6">I5*H5</f>
        <v>98954.774324122962</v>
      </c>
      <c r="J6" s="2">
        <f t="shared" si="2"/>
        <v>134.33777366670256</v>
      </c>
      <c r="K6" s="2">
        <f t="shared" si="3"/>
        <v>99161.280984623008</v>
      </c>
      <c r="L6" s="2">
        <f t="shared" si="4"/>
        <v>1649103.8852518699</v>
      </c>
      <c r="M6" s="2">
        <f t="shared" si="5"/>
        <v>16.665228095516511</v>
      </c>
    </row>
    <row r="7" spans="1:13" ht="15.75" thickBot="1" x14ac:dyDescent="0.3">
      <c r="A7" s="3">
        <v>10</v>
      </c>
      <c r="B7" s="4">
        <v>5</v>
      </c>
      <c r="C7" s="3">
        <v>29868.597000000002</v>
      </c>
      <c r="D7" s="3">
        <v>5.0112110000000003</v>
      </c>
      <c r="E7" s="3">
        <v>1.6777520000000001E-4</v>
      </c>
      <c r="F7" s="2">
        <f t="shared" ref="F7:F22" si="7">B7/2</f>
        <v>2.5</v>
      </c>
      <c r="G7" s="2">
        <f t="shared" si="0"/>
        <v>8.3852429104841139E-4</v>
      </c>
      <c r="H7" s="2">
        <f t="shared" si="1"/>
        <v>0.99916147570895164</v>
      </c>
      <c r="I7" s="2">
        <f t="shared" si="6"/>
        <v>98820.436550456259</v>
      </c>
      <c r="J7" s="2">
        <f t="shared" si="2"/>
        <v>82.863336499562138</v>
      </c>
      <c r="K7" s="2">
        <f t="shared" si="3"/>
        <v>98949.731555205595</v>
      </c>
      <c r="L7" s="2">
        <f t="shared" si="4"/>
        <v>1549942.6042672468</v>
      </c>
      <c r="M7" s="2">
        <f t="shared" si="5"/>
        <v>15.684433892131906</v>
      </c>
    </row>
    <row r="8" spans="1:13" ht="15.75" thickBot="1" x14ac:dyDescent="0.3">
      <c r="A8" s="3">
        <v>15</v>
      </c>
      <c r="B8" s="4">
        <v>5</v>
      </c>
      <c r="C8" s="3">
        <v>30152.047999999999</v>
      </c>
      <c r="D8" s="3">
        <v>14.03139</v>
      </c>
      <c r="E8" s="3">
        <v>4.6535450000000003E-4</v>
      </c>
      <c r="F8" s="2">
        <f t="shared" si="7"/>
        <v>2.5</v>
      </c>
      <c r="G8" s="2">
        <f t="shared" si="0"/>
        <v>2.3240687104182441E-3</v>
      </c>
      <c r="H8" s="2">
        <f t="shared" si="1"/>
        <v>0.99767593128958176</v>
      </c>
      <c r="I8" s="2">
        <f t="shared" si="6"/>
        <v>98737.573213956697</v>
      </c>
      <c r="J8" s="2">
        <f t="shared" si="2"/>
        <v>229.47290444918326</v>
      </c>
      <c r="K8" s="2">
        <f t="shared" si="3"/>
        <v>99086.782570630472</v>
      </c>
      <c r="L8" s="2">
        <f t="shared" si="4"/>
        <v>1450992.8727120413</v>
      </c>
      <c r="M8" s="2">
        <f t="shared" si="5"/>
        <v>14.69544799898871</v>
      </c>
    </row>
    <row r="9" spans="1:13" ht="15.75" thickBot="1" x14ac:dyDescent="0.3">
      <c r="A9" s="3">
        <v>20</v>
      </c>
      <c r="B9" s="4">
        <v>5</v>
      </c>
      <c r="C9" s="3">
        <v>29867.644</v>
      </c>
      <c r="D9" s="3">
        <v>33.073990999999999</v>
      </c>
      <c r="E9" s="3">
        <v>1.1073519E-3</v>
      </c>
      <c r="F9" s="2">
        <f t="shared" si="7"/>
        <v>2.5</v>
      </c>
      <c r="G9" s="2">
        <f t="shared" si="0"/>
        <v>5.5214739632898765E-3</v>
      </c>
      <c r="H9" s="2">
        <f t="shared" si="1"/>
        <v>0.99447852603671016</v>
      </c>
      <c r="I9" s="2">
        <f t="shared" si="6"/>
        <v>98508.100309507514</v>
      </c>
      <c r="J9" s="2">
        <f t="shared" si="2"/>
        <v>543.90991103208216</v>
      </c>
      <c r="K9" s="2">
        <f t="shared" si="3"/>
        <v>99328.965176055644</v>
      </c>
      <c r="L9" s="2">
        <f t="shared" si="4"/>
        <v>1351906.0901414107</v>
      </c>
      <c r="M9" s="2">
        <f t="shared" si="5"/>
        <v>13.723806325508152</v>
      </c>
    </row>
    <row r="10" spans="1:13" ht="15.75" thickBot="1" x14ac:dyDescent="0.3">
      <c r="A10" s="3">
        <v>25</v>
      </c>
      <c r="B10" s="4">
        <v>5</v>
      </c>
      <c r="C10" s="3">
        <v>29375.375</v>
      </c>
      <c r="D10" s="3">
        <v>36.080717</v>
      </c>
      <c r="E10" s="3">
        <v>1.228264E-3</v>
      </c>
      <c r="F10" s="2">
        <f t="shared" si="7"/>
        <v>2.5</v>
      </c>
      <c r="G10" s="2">
        <f t="shared" si="0"/>
        <v>6.1225198232794488E-3</v>
      </c>
      <c r="H10" s="2">
        <f t="shared" si="1"/>
        <v>0.99387748017672051</v>
      </c>
      <c r="I10" s="2">
        <f t="shared" si="6"/>
        <v>97964.190398475432</v>
      </c>
      <c r="J10" s="2">
        <f t="shared" si="2"/>
        <v>599.78769768618804</v>
      </c>
      <c r="K10" s="2">
        <f t="shared" si="3"/>
        <v>98868.871945004707</v>
      </c>
      <c r="L10" s="2">
        <f t="shared" si="4"/>
        <v>1252577.124965355</v>
      </c>
      <c r="M10" s="2">
        <f t="shared" si="5"/>
        <v>12.786071317186614</v>
      </c>
    </row>
    <row r="11" spans="1:13" ht="15.75" thickBot="1" x14ac:dyDescent="0.3">
      <c r="A11" s="3">
        <v>30</v>
      </c>
      <c r="B11" s="4">
        <v>5</v>
      </c>
      <c r="C11" s="3">
        <v>29552.541000000001</v>
      </c>
      <c r="D11" s="3">
        <v>30.067264999999999</v>
      </c>
      <c r="E11" s="3">
        <v>1.0174171999999999E-3</v>
      </c>
      <c r="F11" s="2">
        <f t="shared" si="7"/>
        <v>2.5</v>
      </c>
      <c r="G11" s="2">
        <f t="shared" si="0"/>
        <v>5.0741796059824594E-3</v>
      </c>
      <c r="H11" s="2">
        <f t="shared" si="1"/>
        <v>0.99492582039401756</v>
      </c>
      <c r="I11" s="2">
        <f t="shared" si="6"/>
        <v>97364.402700789244</v>
      </c>
      <c r="J11" s="2">
        <f t="shared" si="2"/>
        <v>494.04446653299965</v>
      </c>
      <c r="K11" s="2">
        <f t="shared" si="3"/>
        <v>98110.469400588743</v>
      </c>
      <c r="L11" s="2">
        <f t="shared" si="4"/>
        <v>1153708.2530203504</v>
      </c>
      <c r="M11" s="2">
        <f t="shared" si="5"/>
        <v>11.849384590442297</v>
      </c>
    </row>
    <row r="12" spans="1:13" ht="15.75" thickBot="1" x14ac:dyDescent="0.3">
      <c r="A12" s="3">
        <v>35</v>
      </c>
      <c r="B12" s="4">
        <v>5</v>
      </c>
      <c r="C12" s="3">
        <v>27801.079000000002</v>
      </c>
      <c r="D12" s="3">
        <v>31.069507000000002</v>
      </c>
      <c r="E12" s="3">
        <v>1.1175648E-3</v>
      </c>
      <c r="F12" s="2">
        <f t="shared" si="7"/>
        <v>2.5</v>
      </c>
      <c r="G12" s="2">
        <f t="shared" si="0"/>
        <v>5.5722556081892125E-3</v>
      </c>
      <c r="H12" s="2">
        <f t="shared" si="1"/>
        <v>0.99442774439181081</v>
      </c>
      <c r="I12" s="2">
        <f t="shared" si="6"/>
        <v>96870.358234256244</v>
      </c>
      <c r="J12" s="2">
        <f t="shared" si="2"/>
        <v>539.78639693812875</v>
      </c>
      <c r="K12" s="2">
        <f t="shared" si="3"/>
        <v>97685.03782966343</v>
      </c>
      <c r="L12" s="2">
        <f t="shared" si="4"/>
        <v>1055597.7836197617</v>
      </c>
      <c r="M12" s="2">
        <f t="shared" si="5"/>
        <v>10.897015380773835</v>
      </c>
    </row>
    <row r="13" spans="1:13" ht="15.75" thickBot="1" x14ac:dyDescent="0.3">
      <c r="A13" s="3">
        <v>40</v>
      </c>
      <c r="B13" s="4">
        <v>5</v>
      </c>
      <c r="C13" s="3">
        <v>26076.791000000001</v>
      </c>
      <c r="D13" s="3">
        <v>44.098655000000001</v>
      </c>
      <c r="E13" s="3">
        <v>1.6911074E-3</v>
      </c>
      <c r="F13" s="2">
        <f t="shared" si="7"/>
        <v>2.5</v>
      </c>
      <c r="G13" s="2">
        <f t="shared" si="0"/>
        <v>8.4199394452414995E-3</v>
      </c>
      <c r="H13" s="2">
        <f t="shared" si="1"/>
        <v>0.99158006055475845</v>
      </c>
      <c r="I13" s="2">
        <f t="shared" si="6"/>
        <v>96330.571837318115</v>
      </c>
      <c r="J13" s="2">
        <f t="shared" si="2"/>
        <v>811.09758159570629</v>
      </c>
      <c r="K13" s="2">
        <f t="shared" si="3"/>
        <v>97552.218209711675</v>
      </c>
      <c r="L13" s="2">
        <f t="shared" si="4"/>
        <v>957912.74579009821</v>
      </c>
      <c r="M13" s="2">
        <f t="shared" si="5"/>
        <v>9.9440159808021225</v>
      </c>
    </row>
    <row r="14" spans="1:13" ht="15.75" thickBot="1" x14ac:dyDescent="0.3">
      <c r="A14" s="3">
        <v>45</v>
      </c>
      <c r="B14" s="4">
        <v>5</v>
      </c>
      <c r="C14" s="3">
        <v>23600.846000000001</v>
      </c>
      <c r="D14" s="3">
        <v>74.165919000000002</v>
      </c>
      <c r="E14" s="3">
        <v>3.1425110000000002E-3</v>
      </c>
      <c r="F14" s="2">
        <f t="shared" si="7"/>
        <v>2.5</v>
      </c>
      <c r="G14" s="2">
        <f t="shared" si="0"/>
        <v>1.5590075044206887E-2</v>
      </c>
      <c r="H14" s="2">
        <f t="shared" si="1"/>
        <v>0.98440992495579316</v>
      </c>
      <c r="I14" s="2">
        <f t="shared" si="6"/>
        <v>95519.474255722409</v>
      </c>
      <c r="J14" s="2">
        <f t="shared" si="2"/>
        <v>1489.1557718299009</v>
      </c>
      <c r="K14" s="2">
        <f t="shared" si="3"/>
        <v>97758.207913467253</v>
      </c>
      <c r="L14" s="2">
        <f t="shared" si="4"/>
        <v>860360.52758038649</v>
      </c>
      <c r="M14" s="2">
        <f t="shared" si="5"/>
        <v>9.007174026911521</v>
      </c>
    </row>
    <row r="15" spans="1:13" ht="15.75" thickBot="1" x14ac:dyDescent="0.3">
      <c r="A15" s="3">
        <v>50</v>
      </c>
      <c r="B15" s="4">
        <v>5</v>
      </c>
      <c r="C15" s="3">
        <v>21088.062000000002</v>
      </c>
      <c r="D15" s="3">
        <v>80.179372000000001</v>
      </c>
      <c r="E15" s="3">
        <v>3.8021215000000001E-3</v>
      </c>
      <c r="F15" s="2">
        <f t="shared" si="7"/>
        <v>2.5</v>
      </c>
      <c r="G15" s="2">
        <f t="shared" si="0"/>
        <v>1.8831607352018331E-2</v>
      </c>
      <c r="H15" s="2">
        <f t="shared" si="1"/>
        <v>0.98116839264798172</v>
      </c>
      <c r="I15" s="2">
        <f t="shared" si="6"/>
        <v>94030.318483892508</v>
      </c>
      <c r="J15" s="2">
        <f t="shared" si="2"/>
        <v>1770.7420368738967</v>
      </c>
      <c r="K15" s="2">
        <f t="shared" si="3"/>
        <v>96691.43153920336</v>
      </c>
      <c r="L15" s="2">
        <f t="shared" si="4"/>
        <v>762602.31966691918</v>
      </c>
      <c r="M15" s="2">
        <f t="shared" si="5"/>
        <v>8.1101748027956937</v>
      </c>
    </row>
    <row r="16" spans="1:13" ht="15.75" thickBot="1" x14ac:dyDescent="0.3">
      <c r="A16" s="3">
        <v>55</v>
      </c>
      <c r="B16" s="4">
        <v>5</v>
      </c>
      <c r="C16" s="3">
        <v>17487.233</v>
      </c>
      <c r="D16" s="3">
        <v>92.206277999999998</v>
      </c>
      <c r="E16" s="3">
        <v>5.2727768999999997E-3</v>
      </c>
      <c r="F16" s="2">
        <f t="shared" si="7"/>
        <v>2.5</v>
      </c>
      <c r="G16" s="2">
        <f t="shared" si="0"/>
        <v>2.6020878778645642E-2</v>
      </c>
      <c r="H16" s="2">
        <f t="shared" si="1"/>
        <v>0.97397912122135433</v>
      </c>
      <c r="I16" s="2">
        <f t="shared" si="6"/>
        <v>92259.576447018611</v>
      </c>
      <c r="J16" s="2">
        <f t="shared" si="2"/>
        <v>2400.675254897069</v>
      </c>
      <c r="K16" s="2">
        <f t="shared" si="3"/>
        <v>95865.589329364215</v>
      </c>
      <c r="L16" s="2">
        <f t="shared" si="4"/>
        <v>665910.88812771579</v>
      </c>
      <c r="M16" s="2">
        <f t="shared" si="5"/>
        <v>7.2177969352604245</v>
      </c>
    </row>
    <row r="17" spans="1:13" ht="15.75" thickBot="1" x14ac:dyDescent="0.3">
      <c r="A17" s="3">
        <v>60</v>
      </c>
      <c r="B17" s="4">
        <v>5</v>
      </c>
      <c r="C17" s="3">
        <v>14841.869000000001</v>
      </c>
      <c r="D17" s="3">
        <v>133.29820599999999</v>
      </c>
      <c r="E17" s="3">
        <v>8.9812276000000007E-3</v>
      </c>
      <c r="F17" s="2">
        <f t="shared" si="7"/>
        <v>2.5</v>
      </c>
      <c r="G17" s="2">
        <f t="shared" si="0"/>
        <v>4.3919999226878947E-2</v>
      </c>
      <c r="H17" s="2">
        <f t="shared" si="1"/>
        <v>0.95608000077312105</v>
      </c>
      <c r="I17" s="2">
        <f t="shared" si="6"/>
        <v>89858.901192121542</v>
      </c>
      <c r="J17" s="2">
        <f t="shared" si="2"/>
        <v>3946.6028708861704</v>
      </c>
      <c r="K17" s="2">
        <f t="shared" si="3"/>
        <v>95783.805498450791</v>
      </c>
      <c r="L17" s="2">
        <f t="shared" si="4"/>
        <v>570045.29879835155</v>
      </c>
      <c r="M17" s="2">
        <f t="shared" si="5"/>
        <v>6.3437822100625771</v>
      </c>
    </row>
    <row r="18" spans="1:13" ht="15.75" thickBot="1" x14ac:dyDescent="0.3">
      <c r="A18" s="3">
        <v>65</v>
      </c>
      <c r="B18" s="4">
        <v>5</v>
      </c>
      <c r="C18" s="3">
        <v>11108.79</v>
      </c>
      <c r="D18" s="3">
        <v>158.35426000000001</v>
      </c>
      <c r="E18" s="3">
        <v>1.42548611E-2</v>
      </c>
      <c r="F18" s="2">
        <f t="shared" si="7"/>
        <v>2.5</v>
      </c>
      <c r="G18" s="2">
        <f t="shared" si="0"/>
        <v>6.8821696200006291E-2</v>
      </c>
      <c r="H18" s="2">
        <f t="shared" si="1"/>
        <v>0.93117830379999367</v>
      </c>
      <c r="I18" s="2">
        <f t="shared" si="6"/>
        <v>85912.298321235372</v>
      </c>
      <c r="J18" s="2">
        <f t="shared" si="2"/>
        <v>5912.6300949083816</v>
      </c>
      <c r="K18" s="2">
        <f t="shared" si="3"/>
        <v>94786.243463597944</v>
      </c>
      <c r="L18" s="2">
        <f t="shared" si="4"/>
        <v>474261.49329990079</v>
      </c>
      <c r="M18" s="2">
        <f t="shared" si="5"/>
        <v>5.5202980547276921</v>
      </c>
    </row>
    <row r="19" spans="1:13" ht="15.75" thickBot="1" x14ac:dyDescent="0.3">
      <c r="A19" s="3">
        <v>70</v>
      </c>
      <c r="B19" s="4">
        <v>5</v>
      </c>
      <c r="C19" s="3">
        <v>8132.9889999999996</v>
      </c>
      <c r="D19" s="3">
        <v>154.345291</v>
      </c>
      <c r="E19" s="3">
        <v>1.8977682900000001E-2</v>
      </c>
      <c r="F19" s="2">
        <f t="shared" si="7"/>
        <v>2.5</v>
      </c>
      <c r="G19" s="2">
        <f t="shared" si="0"/>
        <v>9.0590423664782732E-2</v>
      </c>
      <c r="H19" s="2">
        <f t="shared" si="1"/>
        <v>0.90940957633521724</v>
      </c>
      <c r="I19" s="2">
        <f t="shared" si="6"/>
        <v>79999.66822632699</v>
      </c>
      <c r="J19" s="2">
        <f t="shared" si="2"/>
        <v>7247.2038376650162</v>
      </c>
      <c r="K19" s="2">
        <f t="shared" si="3"/>
        <v>90875.473982824507</v>
      </c>
      <c r="L19" s="2">
        <f t="shared" si="4"/>
        <v>379475.24983630283</v>
      </c>
      <c r="M19" s="2">
        <f t="shared" si="5"/>
        <v>4.7434602948943452</v>
      </c>
    </row>
    <row r="20" spans="1:13" ht="15.75" thickBot="1" x14ac:dyDescent="0.3">
      <c r="A20" s="3">
        <v>75</v>
      </c>
      <c r="B20" s="4">
        <v>5</v>
      </c>
      <c r="C20" s="3">
        <v>5534.2120000000004</v>
      </c>
      <c r="D20" s="3">
        <v>197.44170399999999</v>
      </c>
      <c r="E20" s="3">
        <v>3.5676568899999997E-2</v>
      </c>
      <c r="F20" s="2">
        <f t="shared" si="7"/>
        <v>2.5</v>
      </c>
      <c r="G20" s="2">
        <f t="shared" si="0"/>
        <v>0.16377547679498353</v>
      </c>
      <c r="H20" s="2">
        <f t="shared" si="1"/>
        <v>0.8362245232050165</v>
      </c>
      <c r="I20" s="2">
        <f t="shared" si="6"/>
        <v>72752.464388661974</v>
      </c>
      <c r="J20" s="2">
        <f t="shared" si="2"/>
        <v>11915.069543263169</v>
      </c>
      <c r="K20" s="2">
        <f t="shared" si="3"/>
        <v>90630.068703556724</v>
      </c>
      <c r="L20" s="2">
        <f t="shared" si="4"/>
        <v>288599.77585347829</v>
      </c>
      <c r="M20" s="2">
        <f t="shared" si="5"/>
        <v>3.9668728513676959</v>
      </c>
    </row>
    <row r="21" spans="1:13" ht="15.75" thickBot="1" x14ac:dyDescent="0.3">
      <c r="A21" s="3">
        <v>80</v>
      </c>
      <c r="B21" s="4">
        <v>5</v>
      </c>
      <c r="C21" s="3">
        <v>3660.9160000000002</v>
      </c>
      <c r="D21" s="3">
        <v>205.459641</v>
      </c>
      <c r="E21" s="3">
        <v>5.61224653E-2</v>
      </c>
      <c r="F21" s="2">
        <f t="shared" si="7"/>
        <v>2.5</v>
      </c>
      <c r="G21" s="2">
        <f t="shared" si="0"/>
        <v>0.24608507394209247</v>
      </c>
      <c r="H21" s="2">
        <f t="shared" si="1"/>
        <v>0.75391492605790755</v>
      </c>
      <c r="I21" s="2">
        <f t="shared" si="6"/>
        <v>60837.394845398805</v>
      </c>
      <c r="J21" s="2">
        <f t="shared" si="2"/>
        <v>14971.17480897424</v>
      </c>
      <c r="K21" s="2">
        <f t="shared" si="3"/>
        <v>83299.157058860161</v>
      </c>
      <c r="L21" s="2">
        <f t="shared" si="4"/>
        <v>197969.70714992157</v>
      </c>
      <c r="M21" s="2">
        <f t="shared" si="5"/>
        <v>3.254079298645284</v>
      </c>
    </row>
    <row r="22" spans="1:13" ht="15.75" thickBot="1" x14ac:dyDescent="0.3">
      <c r="A22" s="3" t="s">
        <v>19</v>
      </c>
      <c r="B22" s="4">
        <v>5</v>
      </c>
      <c r="C22" s="3">
        <v>3381.5810000000001</v>
      </c>
      <c r="D22" s="3">
        <v>439.98430500000001</v>
      </c>
      <c r="E22" s="3">
        <v>0.1301120274</v>
      </c>
      <c r="F22" s="2">
        <f t="shared" si="7"/>
        <v>2.5</v>
      </c>
      <c r="G22" s="2">
        <f t="shared" si="0"/>
        <v>0.49088502307012549</v>
      </c>
      <c r="H22" s="2">
        <f t="shared" si="1"/>
        <v>0.50911497692987451</v>
      </c>
      <c r="I22" s="2">
        <f t="shared" si="6"/>
        <v>45866.220036424565</v>
      </c>
      <c r="J22" s="2">
        <f t="shared" si="2"/>
        <v>45866.220036424565</v>
      </c>
      <c r="K22" s="2">
        <f t="shared" si="3"/>
        <v>114670.55009106142</v>
      </c>
      <c r="L22" s="2">
        <f t="shared" si="4"/>
        <v>114670.55009106142</v>
      </c>
      <c r="M22" s="2">
        <f t="shared" si="5"/>
        <v>2.5001090126894265</v>
      </c>
    </row>
    <row r="23" spans="1:13" x14ac:dyDescent="0.25">
      <c r="K2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1BD1-A967-4260-95A8-A0356899930E}">
  <dimension ref="A1:M22"/>
  <sheetViews>
    <sheetView topLeftCell="A4" workbookViewId="0">
      <selection activeCell="K3" sqref="K3:M22"/>
    </sheetView>
  </sheetViews>
  <sheetFormatPr baseColWidth="10" defaultRowHeight="15" x14ac:dyDescent="0.25"/>
  <sheetData>
    <row r="1" spans="1:13" x14ac:dyDescent="0.25">
      <c r="A1" t="s">
        <v>17</v>
      </c>
    </row>
    <row r="3" spans="1:1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5.75" thickBot="1" x14ac:dyDescent="0.3">
      <c r="A4" s="3">
        <v>0</v>
      </c>
      <c r="B4" s="4">
        <v>1</v>
      </c>
      <c r="C4" s="3">
        <v>4598.6040000000003</v>
      </c>
      <c r="D4" s="3">
        <v>49.688096999999999</v>
      </c>
      <c r="E4" s="3">
        <v>1.08050391E-2</v>
      </c>
      <c r="F4" s="2">
        <f>IF($E$4&gt;=0.107,0.35,0.053+2.8*$E$4)</f>
        <v>8.3254109480000005E-2</v>
      </c>
      <c r="G4" s="2">
        <f>(B4*E4)/(1+(B4-F4)*E4)</f>
        <v>1.069905982829489E-2</v>
      </c>
      <c r="H4" s="2">
        <f>1-G4</f>
        <v>0.98930094017170511</v>
      </c>
      <c r="I4" s="2">
        <v>100000</v>
      </c>
      <c r="J4" s="2">
        <f>I4-I5</f>
        <v>1069.9059828294849</v>
      </c>
      <c r="K4" s="2">
        <f>(B4+I5)+(F4*J4)</f>
        <v>99020.16808699831</v>
      </c>
      <c r="L4" s="2">
        <f>L5+K4</f>
        <v>1606974.1079945411</v>
      </c>
      <c r="M4" s="2">
        <f>L4/I4</f>
        <v>16.069741079945409</v>
      </c>
    </row>
    <row r="5" spans="1:13" ht="15.75" thickBot="1" x14ac:dyDescent="0.3">
      <c r="A5" s="3">
        <v>1</v>
      </c>
      <c r="B5" s="4">
        <v>4</v>
      </c>
      <c r="C5" s="3">
        <v>21580.358</v>
      </c>
      <c r="D5" s="3">
        <v>11.023242</v>
      </c>
      <c r="E5" s="3">
        <v>5.1079979999999999E-4</v>
      </c>
      <c r="F5" s="2">
        <f>IF($E$4&gt;=0.107,1.361,1.522-1.518*$E$4)</f>
        <v>1.5055979506462001</v>
      </c>
      <c r="G5" s="2">
        <f t="shared" ref="G5:G22" si="0">(B5*E5)/(1+(B5-F5)*E5)</f>
        <v>2.0405991908084065E-3</v>
      </c>
      <c r="H5" s="2">
        <f t="shared" ref="H5:H22" si="1">1-G5</f>
        <v>0.99795940080919154</v>
      </c>
      <c r="I5" s="2">
        <f>I4*H4</f>
        <v>98930.094017170515</v>
      </c>
      <c r="J5" s="2">
        <f t="shared" ref="J5:J22" si="2">I5-I6</f>
        <v>201.87666979804635</v>
      </c>
      <c r="K5" s="2">
        <f t="shared" ref="K5:K22" si="3">(B5+I6)+(F5*J5)</f>
        <v>99036.162447703682</v>
      </c>
      <c r="L5" s="2">
        <f t="shared" ref="L5:L22" si="4">L6+K5</f>
        <v>1507953.9399075427</v>
      </c>
      <c r="M5" s="2">
        <f t="shared" ref="M5:M22" si="5">L5/I5</f>
        <v>15.24262111431754</v>
      </c>
    </row>
    <row r="6" spans="1:13" ht="15.75" thickBot="1" x14ac:dyDescent="0.3">
      <c r="A6" s="3">
        <v>5</v>
      </c>
      <c r="B6" s="4">
        <v>5</v>
      </c>
      <c r="C6" s="3">
        <v>30731.862000000001</v>
      </c>
      <c r="D6" s="3">
        <v>9.0190160000000006</v>
      </c>
      <c r="E6" s="3">
        <v>2.9347439999999998E-4</v>
      </c>
      <c r="F6">
        <f>B6/2</f>
        <v>2.5</v>
      </c>
      <c r="G6" s="2">
        <f t="shared" si="0"/>
        <v>1.4662961990069352E-3</v>
      </c>
      <c r="H6" s="2">
        <f t="shared" si="1"/>
        <v>0.99853370380099304</v>
      </c>
      <c r="I6" s="2">
        <f t="shared" ref="I6:I22" si="6">I5*H5</f>
        <v>98728.217347372469</v>
      </c>
      <c r="J6" s="2">
        <f t="shared" si="2"/>
        <v>144.76480983119109</v>
      </c>
      <c r="K6" s="2">
        <f t="shared" si="3"/>
        <v>98950.364562119255</v>
      </c>
      <c r="L6" s="2">
        <f t="shared" si="4"/>
        <v>1408917.7774598389</v>
      </c>
      <c r="M6" s="2">
        <f t="shared" si="5"/>
        <v>14.270669675950909</v>
      </c>
    </row>
    <row r="7" spans="1:13" ht="15.75" thickBot="1" x14ac:dyDescent="0.3">
      <c r="A7" s="3">
        <v>10</v>
      </c>
      <c r="B7" s="4">
        <v>5</v>
      </c>
      <c r="C7" s="3">
        <v>31029.25</v>
      </c>
      <c r="D7" s="3">
        <v>8.0169029999999992</v>
      </c>
      <c r="E7" s="3">
        <v>2.58366E-4</v>
      </c>
      <c r="F7">
        <f t="shared" ref="F7:F22" si="7">B7/2</f>
        <v>2.5</v>
      </c>
      <c r="G7" s="2">
        <f t="shared" si="0"/>
        <v>1.2909961262371214E-3</v>
      </c>
      <c r="H7" s="2">
        <f t="shared" si="1"/>
        <v>0.99870900387376282</v>
      </c>
      <c r="I7" s="2">
        <f t="shared" si="6"/>
        <v>98583.452537541278</v>
      </c>
      <c r="J7" s="2">
        <f t="shared" si="2"/>
        <v>127.27085533704667</v>
      </c>
      <c r="K7" s="2">
        <f t="shared" si="3"/>
        <v>98779.358820546855</v>
      </c>
      <c r="L7" s="2">
        <f t="shared" si="4"/>
        <v>1309967.4128977195</v>
      </c>
      <c r="M7" s="2">
        <f t="shared" si="5"/>
        <v>13.287903590096672</v>
      </c>
    </row>
    <row r="8" spans="1:13" ht="15.75" thickBot="1" x14ac:dyDescent="0.3">
      <c r="A8" s="3">
        <v>15</v>
      </c>
      <c r="B8" s="4">
        <v>5</v>
      </c>
      <c r="C8" s="3">
        <v>30595.703000000001</v>
      </c>
      <c r="D8" s="3">
        <v>50.105643999999998</v>
      </c>
      <c r="E8" s="3">
        <v>1.6376692999999999E-3</v>
      </c>
      <c r="F8">
        <f t="shared" si="7"/>
        <v>2.5</v>
      </c>
      <c r="G8" s="2">
        <f t="shared" si="0"/>
        <v>8.1549586862917287E-3</v>
      </c>
      <c r="H8" s="2">
        <f t="shared" si="1"/>
        <v>0.99184504131370832</v>
      </c>
      <c r="I8" s="2">
        <f t="shared" si="6"/>
        <v>98456.181682204231</v>
      </c>
      <c r="J8" s="2">
        <f t="shared" si="2"/>
        <v>802.90609402839618</v>
      </c>
      <c r="K8" s="2">
        <f t="shared" si="3"/>
        <v>99665.540823246818</v>
      </c>
      <c r="L8" s="2">
        <f t="shared" si="4"/>
        <v>1211188.0540771727</v>
      </c>
      <c r="M8" s="2">
        <f t="shared" si="5"/>
        <v>12.301797950956823</v>
      </c>
    </row>
    <row r="9" spans="1:13" ht="15.75" thickBot="1" x14ac:dyDescent="0.3">
      <c r="A9" s="3">
        <v>20</v>
      </c>
      <c r="B9" s="4">
        <v>5</v>
      </c>
      <c r="C9" s="3">
        <v>29699.576000000001</v>
      </c>
      <c r="D9" s="3">
        <v>123.259885</v>
      </c>
      <c r="E9" s="3">
        <v>4.1502237000000004E-3</v>
      </c>
      <c r="F9">
        <f t="shared" si="7"/>
        <v>2.5</v>
      </c>
      <c r="G9" s="2">
        <f t="shared" si="0"/>
        <v>2.0538025004685899E-2</v>
      </c>
      <c r="H9" s="2">
        <f t="shared" si="1"/>
        <v>0.97946197499531407</v>
      </c>
      <c r="I9" s="2">
        <f t="shared" si="6"/>
        <v>97653.275588175835</v>
      </c>
      <c r="J9" s="2">
        <f t="shared" si="2"/>
        <v>2005.6054158194456</v>
      </c>
      <c r="K9" s="2">
        <f t="shared" si="3"/>
        <v>100666.683711905</v>
      </c>
      <c r="L9" s="2">
        <f t="shared" si="4"/>
        <v>1111522.5132539258</v>
      </c>
      <c r="M9" s="2">
        <f t="shared" si="5"/>
        <v>11.382337218686319</v>
      </c>
    </row>
    <row r="10" spans="1:13" ht="15.75" thickBot="1" x14ac:dyDescent="0.3">
      <c r="A10" s="3">
        <v>25</v>
      </c>
      <c r="B10" s="4">
        <v>5</v>
      </c>
      <c r="C10" s="3">
        <v>28990.186000000002</v>
      </c>
      <c r="D10" s="3">
        <v>158.33383499999999</v>
      </c>
      <c r="E10" s="3">
        <v>5.4616357000000001E-3</v>
      </c>
      <c r="F10">
        <f t="shared" si="7"/>
        <v>2.5</v>
      </c>
      <c r="G10" s="2">
        <f t="shared" si="0"/>
        <v>2.694033279163827E-2</v>
      </c>
      <c r="H10" s="2">
        <f t="shared" si="1"/>
        <v>0.97305966720836168</v>
      </c>
      <c r="I10" s="2">
        <f t="shared" si="6"/>
        <v>95647.670172356389</v>
      </c>
      <c r="J10" s="2">
        <f t="shared" si="2"/>
        <v>2576.7800651881407</v>
      </c>
      <c r="K10" s="2">
        <f t="shared" si="3"/>
        <v>99517.840270138608</v>
      </c>
      <c r="L10" s="2">
        <f t="shared" si="4"/>
        <v>1010855.8295420208</v>
      </c>
      <c r="M10" s="2">
        <f t="shared" si="5"/>
        <v>10.56853583281711</v>
      </c>
    </row>
    <row r="11" spans="1:13" ht="15.75" thickBot="1" x14ac:dyDescent="0.3">
      <c r="A11" s="3">
        <v>30</v>
      </c>
      <c r="B11" s="4">
        <v>5</v>
      </c>
      <c r="C11" s="3">
        <v>28170.348000000002</v>
      </c>
      <c r="D11" s="3">
        <v>155.32749699999999</v>
      </c>
      <c r="E11" s="3">
        <v>5.5138651000000002E-3</v>
      </c>
      <c r="F11">
        <f t="shared" si="7"/>
        <v>2.5</v>
      </c>
      <c r="G11" s="2">
        <f t="shared" si="0"/>
        <v>2.7194459053281828E-2</v>
      </c>
      <c r="H11" s="2">
        <f t="shared" si="1"/>
        <v>0.97280554094671823</v>
      </c>
      <c r="I11" s="2">
        <f t="shared" si="6"/>
        <v>93070.890107168249</v>
      </c>
      <c r="J11" s="2">
        <f t="shared" si="2"/>
        <v>2531.0125100718724</v>
      </c>
      <c r="K11" s="2">
        <f t="shared" si="3"/>
        <v>96872.40887227605</v>
      </c>
      <c r="L11" s="2">
        <f t="shared" si="4"/>
        <v>911337.98927188222</v>
      </c>
      <c r="M11" s="2">
        <f t="shared" si="5"/>
        <v>9.7918692753717593</v>
      </c>
    </row>
    <row r="12" spans="1:13" ht="15.75" thickBot="1" x14ac:dyDescent="0.3">
      <c r="A12" s="3">
        <v>35</v>
      </c>
      <c r="B12" s="4">
        <v>5</v>
      </c>
      <c r="C12" s="3">
        <v>27065.418000000001</v>
      </c>
      <c r="D12" s="3">
        <v>187.39510899999999</v>
      </c>
      <c r="E12" s="3">
        <v>6.9237839999999997E-3</v>
      </c>
      <c r="F12">
        <f t="shared" si="7"/>
        <v>2.5</v>
      </c>
      <c r="G12" s="2">
        <f t="shared" si="0"/>
        <v>3.4029881133711269E-2</v>
      </c>
      <c r="H12" s="2">
        <f t="shared" si="1"/>
        <v>0.9659701188662887</v>
      </c>
      <c r="I12" s="2">
        <f t="shared" si="6"/>
        <v>90539.877597096376</v>
      </c>
      <c r="J12" s="2">
        <f t="shared" si="2"/>
        <v>3081.0612724899547</v>
      </c>
      <c r="K12" s="2">
        <f t="shared" si="3"/>
        <v>95166.469505831308</v>
      </c>
      <c r="L12" s="2">
        <f t="shared" si="4"/>
        <v>814465.58039960614</v>
      </c>
      <c r="M12" s="2">
        <f t="shared" si="5"/>
        <v>8.9956558592224791</v>
      </c>
    </row>
    <row r="13" spans="1:13" ht="15.75" thickBot="1" x14ac:dyDescent="0.3">
      <c r="A13" s="3">
        <v>40</v>
      </c>
      <c r="B13" s="4">
        <v>5</v>
      </c>
      <c r="C13" s="3">
        <v>25525.468000000001</v>
      </c>
      <c r="D13" s="3">
        <v>200.42257699999999</v>
      </c>
      <c r="E13" s="3">
        <v>7.8518669000000006E-3</v>
      </c>
      <c r="F13">
        <f t="shared" si="7"/>
        <v>2.5</v>
      </c>
      <c r="G13" s="2">
        <f t="shared" si="0"/>
        <v>3.850352315256253E-2</v>
      </c>
      <c r="H13" s="2">
        <f t="shared" si="1"/>
        <v>0.96149647684743744</v>
      </c>
      <c r="I13" s="2">
        <f t="shared" si="6"/>
        <v>87458.816324606421</v>
      </c>
      <c r="J13" s="2">
        <f t="shared" si="2"/>
        <v>3367.4725592501927</v>
      </c>
      <c r="K13" s="2">
        <f t="shared" si="3"/>
        <v>92515.02516348171</v>
      </c>
      <c r="L13" s="2">
        <f t="shared" si="4"/>
        <v>719299.11089377478</v>
      </c>
      <c r="M13" s="2">
        <f t="shared" si="5"/>
        <v>8.2244322656285593</v>
      </c>
    </row>
    <row r="14" spans="1:13" ht="15.75" thickBot="1" x14ac:dyDescent="0.3">
      <c r="A14" s="3">
        <v>45</v>
      </c>
      <c r="B14" s="4">
        <v>5</v>
      </c>
      <c r="C14" s="3">
        <v>24060.925999999999</v>
      </c>
      <c r="D14" s="3">
        <v>205.43314100000001</v>
      </c>
      <c r="E14" s="3">
        <v>8.5380395000000005E-3</v>
      </c>
      <c r="F14">
        <f t="shared" si="7"/>
        <v>2.5</v>
      </c>
      <c r="G14" s="2">
        <f t="shared" si="0"/>
        <v>4.1798014747657299E-2</v>
      </c>
      <c r="H14" s="2">
        <f t="shared" si="1"/>
        <v>0.95820198525234268</v>
      </c>
      <c r="I14" s="2">
        <f t="shared" si="6"/>
        <v>84091.343765356229</v>
      </c>
      <c r="J14" s="2">
        <f t="shared" si="2"/>
        <v>3514.8512268546765</v>
      </c>
      <c r="K14" s="2">
        <f t="shared" si="3"/>
        <v>89368.620605638251</v>
      </c>
      <c r="L14" s="2">
        <f t="shared" si="4"/>
        <v>626784.08573029307</v>
      </c>
      <c r="M14" s="2">
        <f t="shared" si="5"/>
        <v>7.4536100585957605</v>
      </c>
    </row>
    <row r="15" spans="1:13" ht="15.75" thickBot="1" x14ac:dyDescent="0.3">
      <c r="A15" s="3">
        <v>50</v>
      </c>
      <c r="B15" s="4">
        <v>5</v>
      </c>
      <c r="C15" s="3">
        <v>20810.955999999998</v>
      </c>
      <c r="D15" s="3">
        <v>277.58526899999998</v>
      </c>
      <c r="E15" s="3">
        <v>1.333842E-2</v>
      </c>
      <c r="F15">
        <f t="shared" si="7"/>
        <v>2.5</v>
      </c>
      <c r="G15" s="2">
        <f t="shared" si="0"/>
        <v>6.4539947677740683E-2</v>
      </c>
      <c r="H15" s="2">
        <f t="shared" si="1"/>
        <v>0.93546005232225937</v>
      </c>
      <c r="I15" s="2">
        <f t="shared" si="6"/>
        <v>80576.492538501552</v>
      </c>
      <c r="J15" s="2">
        <f t="shared" si="2"/>
        <v>5200.4026124907541</v>
      </c>
      <c r="K15" s="2">
        <f t="shared" si="3"/>
        <v>88382.096457237683</v>
      </c>
      <c r="L15" s="2">
        <f t="shared" si="4"/>
        <v>537415.46512465482</v>
      </c>
      <c r="M15" s="2">
        <f t="shared" si="5"/>
        <v>6.6696309083925893</v>
      </c>
    </row>
    <row r="16" spans="1:13" ht="15.75" thickBot="1" x14ac:dyDescent="0.3">
      <c r="A16" s="3">
        <v>55</v>
      </c>
      <c r="B16" s="4">
        <v>5</v>
      </c>
      <c r="C16" s="3">
        <v>17731.902999999998</v>
      </c>
      <c r="D16" s="3">
        <v>315.66555799999998</v>
      </c>
      <c r="E16" s="3">
        <v>1.7802124999999999E-2</v>
      </c>
      <c r="F16">
        <f t="shared" si="7"/>
        <v>2.5</v>
      </c>
      <c r="G16" s="2">
        <f t="shared" si="0"/>
        <v>8.521797250313172E-2</v>
      </c>
      <c r="H16" s="2">
        <f t="shared" si="1"/>
        <v>0.91478202749686832</v>
      </c>
      <c r="I16" s="2">
        <f t="shared" si="6"/>
        <v>75376.089926010798</v>
      </c>
      <c r="J16" s="2">
        <f t="shared" si="2"/>
        <v>6423.3975587083696</v>
      </c>
      <c r="K16" s="2">
        <f t="shared" si="3"/>
        <v>85016.18626407336</v>
      </c>
      <c r="L16" s="2">
        <f t="shared" si="4"/>
        <v>449033.36866741715</v>
      </c>
      <c r="M16" s="2">
        <f t="shared" si="5"/>
        <v>5.9572388154942564</v>
      </c>
    </row>
    <row r="17" spans="1:13" ht="15.75" thickBot="1" x14ac:dyDescent="0.3">
      <c r="A17" s="3">
        <v>60</v>
      </c>
      <c r="B17" s="4">
        <v>5</v>
      </c>
      <c r="C17" s="3">
        <v>15456.61</v>
      </c>
      <c r="D17" s="3">
        <v>389.821911</v>
      </c>
      <c r="E17" s="3">
        <v>2.52204018E-2</v>
      </c>
      <c r="F17">
        <f t="shared" si="7"/>
        <v>2.5</v>
      </c>
      <c r="G17" s="2">
        <f t="shared" si="0"/>
        <v>0.11862272691168883</v>
      </c>
      <c r="H17" s="2">
        <f t="shared" si="1"/>
        <v>0.88137727308831115</v>
      </c>
      <c r="I17" s="2">
        <f t="shared" si="6"/>
        <v>68952.692367302428</v>
      </c>
      <c r="J17" s="2">
        <f t="shared" si="2"/>
        <v>8179.3563965122084</v>
      </c>
      <c r="K17" s="2">
        <f t="shared" si="3"/>
        <v>81226.726962070737</v>
      </c>
      <c r="L17" s="2">
        <f t="shared" si="4"/>
        <v>364017.18240334379</v>
      </c>
      <c r="M17" s="2">
        <f t="shared" si="5"/>
        <v>5.2792308741806551</v>
      </c>
    </row>
    <row r="18" spans="1:13" ht="15.75" thickBot="1" x14ac:dyDescent="0.3">
      <c r="A18" s="3">
        <v>65</v>
      </c>
      <c r="B18" s="4">
        <v>5</v>
      </c>
      <c r="C18" s="3">
        <v>11273.396000000001</v>
      </c>
      <c r="D18" s="3">
        <v>436.92121700000001</v>
      </c>
      <c r="E18" s="3">
        <v>3.8756841600000001E-2</v>
      </c>
      <c r="F18">
        <f t="shared" si="7"/>
        <v>2.5</v>
      </c>
      <c r="G18" s="2">
        <f t="shared" si="0"/>
        <v>0.17666660858742039</v>
      </c>
      <c r="H18" s="2">
        <f t="shared" si="1"/>
        <v>0.82333339141257955</v>
      </c>
      <c r="I18" s="2">
        <f t="shared" si="6"/>
        <v>60773.33597079022</v>
      </c>
      <c r="J18" s="2">
        <f t="shared" si="2"/>
        <v>10736.619158503396</v>
      </c>
      <c r="K18" s="2">
        <f t="shared" si="3"/>
        <v>76883.264708545321</v>
      </c>
      <c r="L18" s="2">
        <f t="shared" si="4"/>
        <v>282790.45544127305</v>
      </c>
      <c r="M18" s="2">
        <f t="shared" si="5"/>
        <v>4.6531994817133615</v>
      </c>
    </row>
    <row r="19" spans="1:13" ht="15.75" thickBot="1" x14ac:dyDescent="0.3">
      <c r="A19" s="3">
        <v>70</v>
      </c>
      <c r="B19" s="4">
        <v>5</v>
      </c>
      <c r="C19" s="3">
        <v>8198.6209999999992</v>
      </c>
      <c r="D19" s="3">
        <v>421.88952399999999</v>
      </c>
      <c r="E19" s="3">
        <v>5.1458596600000003E-2</v>
      </c>
      <c r="F19">
        <f t="shared" si="7"/>
        <v>2.5</v>
      </c>
      <c r="G19" s="2">
        <f t="shared" si="0"/>
        <v>0.22796596182924475</v>
      </c>
      <c r="H19" s="2">
        <f t="shared" si="1"/>
        <v>0.77203403817075522</v>
      </c>
      <c r="I19" s="2">
        <f t="shared" si="6"/>
        <v>50036.716812286824</v>
      </c>
      <c r="J19" s="2">
        <f t="shared" si="2"/>
        <v>11406.668274890508</v>
      </c>
      <c r="K19" s="2">
        <f t="shared" si="3"/>
        <v>67151.71922462259</v>
      </c>
      <c r="L19" s="2">
        <f t="shared" si="4"/>
        <v>205907.19073272773</v>
      </c>
      <c r="M19" s="2">
        <f t="shared" si="5"/>
        <v>4.115121931464655</v>
      </c>
    </row>
    <row r="20" spans="1:13" ht="15.75" thickBot="1" x14ac:dyDescent="0.3">
      <c r="A20" s="3">
        <v>75</v>
      </c>
      <c r="B20" s="4">
        <v>5</v>
      </c>
      <c r="C20" s="3">
        <v>5397.8580000000002</v>
      </c>
      <c r="D20" s="3">
        <v>388.81979799999999</v>
      </c>
      <c r="E20" s="3">
        <v>7.2032236299999997E-2</v>
      </c>
      <c r="F20">
        <f t="shared" si="7"/>
        <v>2.5</v>
      </c>
      <c r="G20" s="2">
        <f t="shared" si="0"/>
        <v>0.30520049590096182</v>
      </c>
      <c r="H20" s="2">
        <f t="shared" si="1"/>
        <v>0.69479950409903823</v>
      </c>
      <c r="I20" s="2">
        <f t="shared" si="6"/>
        <v>38630.048537396317</v>
      </c>
      <c r="J20" s="2">
        <f t="shared" si="2"/>
        <v>11789.909970291577</v>
      </c>
      <c r="K20" s="2">
        <f t="shared" si="3"/>
        <v>56319.913492833686</v>
      </c>
      <c r="L20" s="2">
        <f t="shared" si="4"/>
        <v>138755.47150810514</v>
      </c>
      <c r="M20" s="2">
        <f t="shared" si="5"/>
        <v>3.591905181630334</v>
      </c>
    </row>
    <row r="21" spans="1:13" ht="15.75" thickBot="1" x14ac:dyDescent="0.3">
      <c r="A21" s="3">
        <v>80</v>
      </c>
      <c r="B21" s="4">
        <v>5</v>
      </c>
      <c r="C21" s="3">
        <v>3284.2350000000001</v>
      </c>
      <c r="D21" s="3">
        <v>358.75641200000001</v>
      </c>
      <c r="E21" s="3">
        <v>0.1092359193</v>
      </c>
      <c r="F21">
        <f t="shared" si="7"/>
        <v>2.5</v>
      </c>
      <c r="G21" s="2">
        <f t="shared" si="0"/>
        <v>0.42901890915376362</v>
      </c>
      <c r="H21" s="2">
        <f t="shared" si="1"/>
        <v>0.57098109084623638</v>
      </c>
      <c r="I21" s="2">
        <f t="shared" si="6"/>
        <v>26840.138567104739</v>
      </c>
      <c r="J21" s="2">
        <f t="shared" si="2"/>
        <v>11514.926969595135</v>
      </c>
      <c r="K21" s="2">
        <f t="shared" si="3"/>
        <v>44117.529021497445</v>
      </c>
      <c r="L21" s="2">
        <f t="shared" si="4"/>
        <v>82435.558015271454</v>
      </c>
      <c r="M21" s="2">
        <f t="shared" si="5"/>
        <v>3.0713536671641641</v>
      </c>
    </row>
    <row r="22" spans="1:13" ht="15.75" thickBot="1" x14ac:dyDescent="0.3">
      <c r="A22" s="3" t="s">
        <v>19</v>
      </c>
      <c r="B22" s="4">
        <v>5</v>
      </c>
      <c r="C22" s="3">
        <v>2556.183</v>
      </c>
      <c r="D22" s="3">
        <v>521.09869900000001</v>
      </c>
      <c r="E22" s="3">
        <v>0.20385815970000001</v>
      </c>
      <c r="F22">
        <f t="shared" si="7"/>
        <v>2.5</v>
      </c>
      <c r="G22" s="2">
        <f t="shared" si="0"/>
        <v>0.67518557603420593</v>
      </c>
      <c r="H22" s="2">
        <f t="shared" si="1"/>
        <v>0.32481442396579407</v>
      </c>
      <c r="I22" s="2">
        <f>I21*H21</f>
        <v>15325.211597509604</v>
      </c>
      <c r="J22" s="2">
        <f t="shared" si="2"/>
        <v>15325.211597509604</v>
      </c>
      <c r="K22" s="2">
        <f t="shared" si="3"/>
        <v>38318.028993774009</v>
      </c>
      <c r="L22" s="2">
        <f t="shared" si="4"/>
        <v>38318.028993774009</v>
      </c>
      <c r="M22" s="2">
        <f t="shared" si="5"/>
        <v>2.5003262597692819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A725-4B70-400D-B6E5-E239A09AB6FE}">
  <dimension ref="A1:M24"/>
  <sheetViews>
    <sheetView topLeftCell="A4" workbookViewId="0">
      <selection activeCell="K3" sqref="K3:M22"/>
    </sheetView>
  </sheetViews>
  <sheetFormatPr baseColWidth="10" defaultRowHeight="15" x14ac:dyDescent="0.25"/>
  <sheetData>
    <row r="1" spans="1:13" x14ac:dyDescent="0.25">
      <c r="A1" t="s">
        <v>18</v>
      </c>
    </row>
    <row r="3" spans="1:13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5.75" thickBot="1" x14ac:dyDescent="0.3">
      <c r="A4" s="3">
        <v>0</v>
      </c>
      <c r="B4" s="4">
        <v>1</v>
      </c>
      <c r="C4" s="3">
        <v>4453.3209999999999</v>
      </c>
      <c r="D4" s="3">
        <v>35.416666999999997</v>
      </c>
      <c r="E4" s="3">
        <v>7.9528659999999994E-3</v>
      </c>
      <c r="F4" s="2">
        <f>IF($E$4&gt;=0.107,0.35,0.053+2.8*$E$4)</f>
        <v>7.52680248E-2</v>
      </c>
      <c r="G4" s="2">
        <f>(B4*E4)/(1+(B4-F4)*E4)</f>
        <v>7.8948054730222598E-3</v>
      </c>
      <c r="H4" s="2">
        <f>1-G4</f>
        <v>0.99210519452697776</v>
      </c>
      <c r="I4" s="2">
        <v>100000</v>
      </c>
      <c r="J4" s="2">
        <f>I4-I5</f>
        <v>789.48054730222793</v>
      </c>
      <c r="K4" s="2">
        <f>(B4+I5)+(F4*J4)</f>
        <v>99270.942094111233</v>
      </c>
      <c r="L4" s="2">
        <f>L5+K4</f>
        <v>1776019.3718971335</v>
      </c>
      <c r="M4" s="2">
        <f>L4/I4</f>
        <v>17.760193718971337</v>
      </c>
    </row>
    <row r="5" spans="1:13" ht="15.75" thickBot="1" x14ac:dyDescent="0.3">
      <c r="A5" s="3">
        <v>1</v>
      </c>
      <c r="B5" s="4">
        <v>4</v>
      </c>
      <c r="C5" s="3">
        <v>21013.152999999998</v>
      </c>
      <c r="D5" s="3">
        <v>5</v>
      </c>
      <c r="E5" s="3">
        <v>2.3794619999999999E-4</v>
      </c>
      <c r="F5" s="2">
        <f>IF($E$4&gt;=0.107,1.361,1.522-1.518*$E$4)</f>
        <v>1.5099275494119999</v>
      </c>
      <c r="G5" s="2">
        <f t="shared" ref="G5:G22" si="0">(B5*E5)/(1+(B5-F5)*E5)</f>
        <v>9.5122119832251654E-4</v>
      </c>
      <c r="H5" s="2">
        <f t="shared" ref="H5:H22" si="1">1-G5</f>
        <v>0.99904877880167753</v>
      </c>
      <c r="I5" s="2">
        <f>I4*H4</f>
        <v>99210.519452697772</v>
      </c>
      <c r="J5" s="2">
        <f t="shared" ref="J5:J22" si="2">I5-I6</f>
        <v>94.371149199985666</v>
      </c>
      <c r="K5" s="2">
        <f t="shared" ref="K5:K22" si="3">(B5+I6)+(F5*J5)</f>
        <v>99262.641901544514</v>
      </c>
      <c r="L5" s="2">
        <f t="shared" ref="L5:L22" si="4">L6+K5</f>
        <v>1676748.4298030224</v>
      </c>
      <c r="M5" s="2">
        <f t="shared" ref="M5:M22" si="5">L5/I5</f>
        <v>16.900913724199107</v>
      </c>
    </row>
    <row r="6" spans="1:13" ht="15.75" thickBot="1" x14ac:dyDescent="0.3">
      <c r="A6" s="3">
        <v>5</v>
      </c>
      <c r="B6" s="4">
        <v>5</v>
      </c>
      <c r="C6" s="3">
        <v>29426.589</v>
      </c>
      <c r="D6" s="3">
        <v>10</v>
      </c>
      <c r="E6" s="3">
        <v>3.3982869999999999E-4</v>
      </c>
      <c r="F6" s="2">
        <f>B6/2</f>
        <v>2.5</v>
      </c>
      <c r="G6" s="2">
        <f t="shared" si="0"/>
        <v>1.6977011810366497E-3</v>
      </c>
      <c r="H6" s="2">
        <f t="shared" si="1"/>
        <v>0.99830229881896337</v>
      </c>
      <c r="I6" s="2">
        <f t="shared" ref="I6:I22" si="6">I5*H5</f>
        <v>99116.148303497786</v>
      </c>
      <c r="J6" s="2">
        <f t="shared" si="2"/>
        <v>168.26960203464841</v>
      </c>
      <c r="K6" s="2">
        <f t="shared" si="3"/>
        <v>99373.552706549759</v>
      </c>
      <c r="L6" s="2">
        <f t="shared" si="4"/>
        <v>1577485.7879014779</v>
      </c>
      <c r="M6" s="2">
        <f t="shared" si="5"/>
        <v>15.915527539177072</v>
      </c>
    </row>
    <row r="7" spans="1:13" ht="15.75" thickBot="1" x14ac:dyDescent="0.3">
      <c r="A7" s="3">
        <v>10</v>
      </c>
      <c r="B7" s="4">
        <v>5</v>
      </c>
      <c r="C7" s="3">
        <v>30038.633000000002</v>
      </c>
      <c r="D7" s="3">
        <v>10</v>
      </c>
      <c r="E7" s="3">
        <v>3.3290460000000001E-4</v>
      </c>
      <c r="F7" s="2">
        <f t="shared" ref="F7:F22" si="7">B7/2</f>
        <v>2.5</v>
      </c>
      <c r="G7" s="2">
        <f t="shared" si="0"/>
        <v>1.6631388335796567E-3</v>
      </c>
      <c r="H7" s="2">
        <f t="shared" si="1"/>
        <v>0.9983368611664204</v>
      </c>
      <c r="I7" s="2">
        <f t="shared" si="6"/>
        <v>98947.878701463138</v>
      </c>
      <c r="J7" s="2">
        <f t="shared" si="2"/>
        <v>164.56405956872914</v>
      </c>
      <c r="K7" s="2">
        <f t="shared" si="3"/>
        <v>99199.724790816224</v>
      </c>
      <c r="L7" s="2">
        <f t="shared" si="4"/>
        <v>1478112.2351949282</v>
      </c>
      <c r="M7" s="2">
        <f t="shared" si="5"/>
        <v>14.938291296315294</v>
      </c>
    </row>
    <row r="8" spans="1:13" ht="15.75" thickBot="1" x14ac:dyDescent="0.3">
      <c r="A8" s="3">
        <v>15</v>
      </c>
      <c r="B8" s="4">
        <v>5</v>
      </c>
      <c r="C8" s="3">
        <v>29934.745999999999</v>
      </c>
      <c r="D8" s="3">
        <v>18</v>
      </c>
      <c r="E8" s="3">
        <v>6.0130790000000002E-4</v>
      </c>
      <c r="F8" s="2">
        <f t="shared" si="7"/>
        <v>2.5</v>
      </c>
      <c r="G8" s="2">
        <f t="shared" si="0"/>
        <v>3.0020266441571448E-3</v>
      </c>
      <c r="H8" s="2">
        <f t="shared" si="1"/>
        <v>0.99699797335584284</v>
      </c>
      <c r="I8" s="2">
        <f t="shared" si="6"/>
        <v>98783.314641894409</v>
      </c>
      <c r="J8" s="2">
        <f t="shared" si="2"/>
        <v>296.55014255312562</v>
      </c>
      <c r="K8" s="2">
        <f t="shared" si="3"/>
        <v>99233.13985572409</v>
      </c>
      <c r="L8" s="2">
        <f t="shared" si="4"/>
        <v>1378912.5104041121</v>
      </c>
      <c r="M8" s="2">
        <f t="shared" si="5"/>
        <v>13.958961747769797</v>
      </c>
    </row>
    <row r="9" spans="1:13" ht="15.75" thickBot="1" x14ac:dyDescent="0.3">
      <c r="A9" s="3">
        <v>20</v>
      </c>
      <c r="B9" s="4">
        <v>5</v>
      </c>
      <c r="C9" s="3">
        <v>29632.306</v>
      </c>
      <c r="D9" s="3">
        <v>20</v>
      </c>
      <c r="E9" s="3">
        <v>6.7493900000000005E-4</v>
      </c>
      <c r="F9" s="2">
        <f t="shared" si="7"/>
        <v>2.5</v>
      </c>
      <c r="G9" s="2">
        <f t="shared" si="0"/>
        <v>3.3690103088778408E-3</v>
      </c>
      <c r="H9" s="2">
        <f t="shared" si="1"/>
        <v>0.99663098969112218</v>
      </c>
      <c r="I9" s="2">
        <f t="shared" si="6"/>
        <v>98486.764499341283</v>
      </c>
      <c r="J9" s="2">
        <f t="shared" si="2"/>
        <v>331.80292488630221</v>
      </c>
      <c r="K9" s="2">
        <f t="shared" si="3"/>
        <v>98989.468886670744</v>
      </c>
      <c r="L9" s="2">
        <f t="shared" si="4"/>
        <v>1279679.370548388</v>
      </c>
      <c r="M9" s="2">
        <f t="shared" si="5"/>
        <v>12.99341466900303</v>
      </c>
    </row>
    <row r="10" spans="1:13" ht="15.75" thickBot="1" x14ac:dyDescent="0.3">
      <c r="A10" s="3">
        <v>25</v>
      </c>
      <c r="B10" s="4">
        <v>5</v>
      </c>
      <c r="C10" s="3">
        <v>29815.427</v>
      </c>
      <c r="D10" s="3">
        <v>35</v>
      </c>
      <c r="E10" s="3">
        <v>1.1738889E-3</v>
      </c>
      <c r="F10" s="2">
        <f t="shared" si="7"/>
        <v>2.5</v>
      </c>
      <c r="G10" s="2">
        <f t="shared" si="0"/>
        <v>5.8522697138577396E-3</v>
      </c>
      <c r="H10" s="2">
        <f t="shared" si="1"/>
        <v>0.99414773028614223</v>
      </c>
      <c r="I10" s="2">
        <f t="shared" si="6"/>
        <v>98154.961574454981</v>
      </c>
      <c r="J10" s="2">
        <f t="shared" si="2"/>
        <v>574.42930888706178</v>
      </c>
      <c r="K10" s="2">
        <f t="shared" si="3"/>
        <v>99021.605537785566</v>
      </c>
      <c r="L10" s="2">
        <f t="shared" si="4"/>
        <v>1180689.9016617173</v>
      </c>
      <c r="M10" s="2">
        <f t="shared" si="5"/>
        <v>12.028835656627614</v>
      </c>
    </row>
    <row r="11" spans="1:13" ht="15.75" thickBot="1" x14ac:dyDescent="0.3">
      <c r="A11" s="3">
        <v>30</v>
      </c>
      <c r="B11" s="4">
        <v>5</v>
      </c>
      <c r="C11" s="3">
        <v>30340.757000000001</v>
      </c>
      <c r="D11" s="3">
        <v>47</v>
      </c>
      <c r="E11" s="3">
        <v>1.5490714000000001E-3</v>
      </c>
      <c r="F11" s="2">
        <f t="shared" si="7"/>
        <v>2.5</v>
      </c>
      <c r="G11" s="2">
        <f t="shared" si="0"/>
        <v>7.7154774364147612E-3</v>
      </c>
      <c r="H11" s="2">
        <f t="shared" si="1"/>
        <v>0.99228452256358524</v>
      </c>
      <c r="I11" s="2">
        <f t="shared" si="6"/>
        <v>97580.532265567919</v>
      </c>
      <c r="J11" s="2">
        <f t="shared" si="2"/>
        <v>752.88039492833195</v>
      </c>
      <c r="K11" s="2">
        <f t="shared" si="3"/>
        <v>98714.852857960417</v>
      </c>
      <c r="L11" s="2">
        <f t="shared" si="4"/>
        <v>1081668.2961239319</v>
      </c>
      <c r="M11" s="2">
        <f t="shared" si="5"/>
        <v>11.084878008045129</v>
      </c>
    </row>
    <row r="12" spans="1:13" ht="15.75" thickBot="1" x14ac:dyDescent="0.3">
      <c r="A12" s="3">
        <v>35</v>
      </c>
      <c r="B12" s="4">
        <v>5</v>
      </c>
      <c r="C12" s="3">
        <v>28389.017</v>
      </c>
      <c r="D12" s="3">
        <v>59</v>
      </c>
      <c r="E12" s="3">
        <v>2.0782685E-3</v>
      </c>
      <c r="F12" s="2">
        <f t="shared" si="7"/>
        <v>2.5</v>
      </c>
      <c r="G12" s="2">
        <f t="shared" si="0"/>
        <v>1.0337631564885234E-2</v>
      </c>
      <c r="H12" s="2">
        <f t="shared" si="1"/>
        <v>0.98966236843511479</v>
      </c>
      <c r="I12" s="2">
        <f t="shared" si="6"/>
        <v>96827.651870639587</v>
      </c>
      <c r="J12" s="2">
        <f t="shared" si="2"/>
        <v>1000.9685903316422</v>
      </c>
      <c r="K12" s="2">
        <f t="shared" si="3"/>
        <v>98334.104756137051</v>
      </c>
      <c r="L12" s="2">
        <f t="shared" si="4"/>
        <v>982953.44326597138</v>
      </c>
      <c r="M12" s="2">
        <f t="shared" si="5"/>
        <v>10.15157782178983</v>
      </c>
    </row>
    <row r="13" spans="1:13" ht="15.75" thickBot="1" x14ac:dyDescent="0.3">
      <c r="A13" s="3">
        <v>40</v>
      </c>
      <c r="B13" s="4">
        <v>5</v>
      </c>
      <c r="C13" s="3">
        <v>27191.98</v>
      </c>
      <c r="D13" s="3">
        <v>65</v>
      </c>
      <c r="E13" s="3">
        <v>2.3904107000000002E-3</v>
      </c>
      <c r="F13" s="2">
        <f t="shared" si="7"/>
        <v>2.5</v>
      </c>
      <c r="G13" s="2">
        <f t="shared" si="0"/>
        <v>1.1881052015338199E-2</v>
      </c>
      <c r="H13" s="2">
        <f t="shared" si="1"/>
        <v>0.98811894798466182</v>
      </c>
      <c r="I13" s="2">
        <f t="shared" si="6"/>
        <v>95826.683280307945</v>
      </c>
      <c r="J13" s="2">
        <f t="shared" si="2"/>
        <v>1138.5218085106753</v>
      </c>
      <c r="K13" s="2">
        <f t="shared" si="3"/>
        <v>97539.465993073958</v>
      </c>
      <c r="L13" s="2">
        <f t="shared" si="4"/>
        <v>884619.33850983437</v>
      </c>
      <c r="M13" s="2">
        <f t="shared" si="5"/>
        <v>9.2314510763373221</v>
      </c>
    </row>
    <row r="14" spans="1:13" ht="15.75" thickBot="1" x14ac:dyDescent="0.3">
      <c r="A14" s="3">
        <v>45</v>
      </c>
      <c r="B14" s="4">
        <v>5</v>
      </c>
      <c r="C14" s="3">
        <v>24901.682000000001</v>
      </c>
      <c r="D14" s="3">
        <v>114</v>
      </c>
      <c r="E14" s="3">
        <v>4.5780038999999996E-3</v>
      </c>
      <c r="F14" s="2">
        <f t="shared" si="7"/>
        <v>2.5</v>
      </c>
      <c r="G14" s="2">
        <f t="shared" si="0"/>
        <v>2.2631007399658582E-2</v>
      </c>
      <c r="H14" s="2">
        <f t="shared" si="1"/>
        <v>0.97736899260034138</v>
      </c>
      <c r="I14" s="2">
        <f t="shared" si="6"/>
        <v>94688.16147179727</v>
      </c>
      <c r="J14" s="2">
        <f t="shared" si="2"/>
        <v>2142.8884829283197</v>
      </c>
      <c r="K14" s="2">
        <f t="shared" si="3"/>
        <v>97907.494196189742</v>
      </c>
      <c r="L14" s="2">
        <f t="shared" si="4"/>
        <v>787079.87251676037</v>
      </c>
      <c r="M14" s="2">
        <f t="shared" si="5"/>
        <v>8.3123366245862851</v>
      </c>
    </row>
    <row r="15" spans="1:13" ht="15.75" thickBot="1" x14ac:dyDescent="0.3">
      <c r="A15" s="3">
        <v>50</v>
      </c>
      <c r="B15" s="4">
        <v>5</v>
      </c>
      <c r="C15" s="3">
        <v>22463.343000000001</v>
      </c>
      <c r="D15" s="3">
        <v>149</v>
      </c>
      <c r="E15" s="3">
        <v>6.6330286999999998E-3</v>
      </c>
      <c r="F15" s="2">
        <f t="shared" si="7"/>
        <v>2.5</v>
      </c>
      <c r="G15" s="2">
        <f t="shared" si="0"/>
        <v>3.2624151172400813E-2</v>
      </c>
      <c r="H15" s="2">
        <f t="shared" si="1"/>
        <v>0.96737584882759919</v>
      </c>
      <c r="I15" s="2">
        <f t="shared" si="6"/>
        <v>92545.27298886895</v>
      </c>
      <c r="J15" s="2">
        <f t="shared" si="2"/>
        <v>3019.2109762799664</v>
      </c>
      <c r="K15" s="2">
        <f t="shared" si="3"/>
        <v>97079.089453288907</v>
      </c>
      <c r="L15" s="2">
        <f t="shared" si="4"/>
        <v>689172.37832057057</v>
      </c>
      <c r="M15" s="2">
        <f t="shared" si="5"/>
        <v>7.4468674202675054</v>
      </c>
    </row>
    <row r="16" spans="1:13" ht="15.75" thickBot="1" x14ac:dyDescent="0.3">
      <c r="A16" s="3">
        <v>55</v>
      </c>
      <c r="B16" s="4">
        <v>5</v>
      </c>
      <c r="C16" s="3">
        <v>19058.882000000001</v>
      </c>
      <c r="D16" s="3">
        <v>199</v>
      </c>
      <c r="E16" s="3">
        <v>1.04413258E-2</v>
      </c>
      <c r="F16" s="2">
        <f t="shared" si="7"/>
        <v>2.5</v>
      </c>
      <c r="G16" s="2">
        <f t="shared" si="0"/>
        <v>5.0878530711538791E-2</v>
      </c>
      <c r="H16" s="2">
        <f t="shared" si="1"/>
        <v>0.94912146928846119</v>
      </c>
      <c r="I16" s="2">
        <f t="shared" si="6"/>
        <v>89526.062012588984</v>
      </c>
      <c r="J16" s="2">
        <f t="shared" si="2"/>
        <v>4554.9544955906313</v>
      </c>
      <c r="K16" s="2">
        <f t="shared" si="3"/>
        <v>96363.493755974923</v>
      </c>
      <c r="L16" s="2">
        <f t="shared" si="4"/>
        <v>592093.28886728163</v>
      </c>
      <c r="M16" s="2">
        <f t="shared" si="5"/>
        <v>6.6136416095686483</v>
      </c>
    </row>
    <row r="17" spans="1:13" ht="15.75" thickBot="1" x14ac:dyDescent="0.3">
      <c r="A17" s="3">
        <v>60</v>
      </c>
      <c r="B17" s="4">
        <v>5</v>
      </c>
      <c r="C17" s="3">
        <v>16373.749</v>
      </c>
      <c r="D17" s="3">
        <v>231</v>
      </c>
      <c r="E17" s="3">
        <v>1.4107948E-2</v>
      </c>
      <c r="F17" s="2">
        <f t="shared" si="7"/>
        <v>2.5</v>
      </c>
      <c r="G17" s="2">
        <f t="shared" si="0"/>
        <v>6.8136571964564172E-2</v>
      </c>
      <c r="H17" s="2">
        <f t="shared" si="1"/>
        <v>0.93186342803543587</v>
      </c>
      <c r="I17" s="2">
        <f t="shared" si="6"/>
        <v>84971.107516998352</v>
      </c>
      <c r="J17" s="2">
        <f t="shared" si="2"/>
        <v>5789.6399822406675</v>
      </c>
      <c r="K17" s="2">
        <f t="shared" si="3"/>
        <v>93660.567490359361</v>
      </c>
      <c r="L17" s="2">
        <f t="shared" si="4"/>
        <v>495729.79511130671</v>
      </c>
      <c r="M17" s="2">
        <f t="shared" si="5"/>
        <v>5.834098314090312</v>
      </c>
    </row>
    <row r="18" spans="1:13" ht="15.75" thickBot="1" x14ac:dyDescent="0.3">
      <c r="A18" s="3">
        <v>65</v>
      </c>
      <c r="B18" s="4">
        <v>5</v>
      </c>
      <c r="C18" s="3">
        <v>12257.933000000001</v>
      </c>
      <c r="D18" s="3">
        <v>290</v>
      </c>
      <c r="E18" s="3">
        <v>2.3658148100000002E-2</v>
      </c>
      <c r="F18" s="2">
        <f t="shared" si="7"/>
        <v>2.5</v>
      </c>
      <c r="G18" s="2">
        <f t="shared" si="0"/>
        <v>0.11168508480764895</v>
      </c>
      <c r="H18" s="2">
        <f t="shared" si="1"/>
        <v>0.88831491519235106</v>
      </c>
      <c r="I18" s="2">
        <f t="shared" si="6"/>
        <v>79181.467534757685</v>
      </c>
      <c r="J18" s="2">
        <f t="shared" si="2"/>
        <v>8843.3889168135065</v>
      </c>
      <c r="K18" s="2">
        <f t="shared" si="3"/>
        <v>92451.550909977945</v>
      </c>
      <c r="L18" s="2">
        <f t="shared" si="4"/>
        <v>402069.22762094735</v>
      </c>
      <c r="M18" s="2">
        <f t="shared" si="5"/>
        <v>5.0778198502629932</v>
      </c>
    </row>
    <row r="19" spans="1:13" ht="15.75" thickBot="1" x14ac:dyDescent="0.3">
      <c r="A19" s="3">
        <v>70</v>
      </c>
      <c r="B19" s="4">
        <v>5</v>
      </c>
      <c r="C19" s="3">
        <v>8911.41</v>
      </c>
      <c r="D19" s="3">
        <v>326</v>
      </c>
      <c r="E19" s="3">
        <v>3.6582312300000003E-2</v>
      </c>
      <c r="F19" s="2">
        <f t="shared" si="7"/>
        <v>2.5</v>
      </c>
      <c r="G19" s="2">
        <f t="shared" si="0"/>
        <v>0.16758494913491712</v>
      </c>
      <c r="H19" s="2">
        <f t="shared" si="1"/>
        <v>0.83241505086508294</v>
      </c>
      <c r="I19" s="2">
        <f t="shared" si="6"/>
        <v>70338.078617944178</v>
      </c>
      <c r="J19" s="2">
        <f t="shared" si="2"/>
        <v>11787.603327435972</v>
      </c>
      <c r="K19" s="2">
        <f t="shared" si="3"/>
        <v>88024.483609098141</v>
      </c>
      <c r="L19" s="2">
        <f t="shared" si="4"/>
        <v>309617.67671096942</v>
      </c>
      <c r="M19" s="2">
        <f t="shared" si="5"/>
        <v>4.4018500760124804</v>
      </c>
    </row>
    <row r="20" spans="1:13" ht="15.75" thickBot="1" x14ac:dyDescent="0.3">
      <c r="A20" s="3">
        <v>75</v>
      </c>
      <c r="B20" s="4">
        <v>5</v>
      </c>
      <c r="C20" s="3">
        <v>6071.26</v>
      </c>
      <c r="D20" s="3">
        <v>318</v>
      </c>
      <c r="E20" s="3">
        <v>5.2377928999999997E-2</v>
      </c>
      <c r="F20" s="2">
        <f t="shared" si="7"/>
        <v>2.5</v>
      </c>
      <c r="G20" s="2">
        <f t="shared" si="0"/>
        <v>0.23156712846616351</v>
      </c>
      <c r="H20" s="2">
        <f t="shared" si="1"/>
        <v>0.76843287153383644</v>
      </c>
      <c r="I20" s="2">
        <f t="shared" si="6"/>
        <v>58550.475290508206</v>
      </c>
      <c r="J20" s="2">
        <f t="shared" si="2"/>
        <v>13558.365433352046</v>
      </c>
      <c r="K20" s="2">
        <f t="shared" si="3"/>
        <v>78893.023440536272</v>
      </c>
      <c r="L20" s="2">
        <f t="shared" si="4"/>
        <v>221593.19310187129</v>
      </c>
      <c r="M20" s="2">
        <f t="shared" si="5"/>
        <v>3.7846523363371301</v>
      </c>
    </row>
    <row r="21" spans="1:13" ht="15.75" thickBot="1" x14ac:dyDescent="0.3">
      <c r="A21" s="3">
        <v>80</v>
      </c>
      <c r="B21" s="4">
        <v>5</v>
      </c>
      <c r="C21" s="3">
        <v>3968.1170000000002</v>
      </c>
      <c r="D21" s="3">
        <v>312</v>
      </c>
      <c r="E21" s="3">
        <v>7.8626706099999999E-2</v>
      </c>
      <c r="F21" s="2">
        <f t="shared" si="7"/>
        <v>2.5</v>
      </c>
      <c r="G21" s="2">
        <f t="shared" si="0"/>
        <v>0.32855127011476221</v>
      </c>
      <c r="H21" s="2">
        <f t="shared" si="1"/>
        <v>0.67144872988523785</v>
      </c>
      <c r="I21" s="2">
        <f t="shared" si="6"/>
        <v>44992.10985715616</v>
      </c>
      <c r="J21" s="2">
        <f t="shared" si="2"/>
        <v>14782.214838711567</v>
      </c>
      <c r="K21" s="2">
        <f t="shared" si="3"/>
        <v>67170.432115223521</v>
      </c>
      <c r="L21" s="2">
        <f t="shared" si="4"/>
        <v>142700.16966133501</v>
      </c>
      <c r="M21" s="2">
        <f t="shared" si="5"/>
        <v>3.1716709910779617</v>
      </c>
    </row>
    <row r="22" spans="1:13" ht="15.75" thickBot="1" x14ac:dyDescent="0.3">
      <c r="A22" s="3" t="s">
        <v>19</v>
      </c>
      <c r="B22" s="4">
        <v>5</v>
      </c>
      <c r="C22" s="3">
        <v>3571.6170000000002</v>
      </c>
      <c r="D22" s="3">
        <v>603</v>
      </c>
      <c r="E22" s="3">
        <v>0.1688311109</v>
      </c>
      <c r="F22" s="2">
        <f t="shared" si="7"/>
        <v>2.5</v>
      </c>
      <c r="G22" s="2">
        <f t="shared" si="0"/>
        <v>0.59360716270555869</v>
      </c>
      <c r="H22" s="2">
        <f t="shared" si="1"/>
        <v>0.40639283729444131</v>
      </c>
      <c r="I22" s="2">
        <f t="shared" si="6"/>
        <v>30209.895018444593</v>
      </c>
      <c r="J22" s="2">
        <f t="shared" si="2"/>
        <v>30209.895018444593</v>
      </c>
      <c r="K22" s="2">
        <f t="shared" si="3"/>
        <v>75529.737546111486</v>
      </c>
      <c r="L22" s="2">
        <f t="shared" si="4"/>
        <v>75529.737546111486</v>
      </c>
      <c r="M22" s="2">
        <f t="shared" si="5"/>
        <v>2.5001655086850501</v>
      </c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2B96-94FE-4331-9384-DB761803897C}">
  <dimension ref="B2:T21"/>
  <sheetViews>
    <sheetView tabSelected="1" zoomScale="80" zoomScaleNormal="80" workbookViewId="0">
      <selection activeCell="W16" sqref="W16"/>
    </sheetView>
  </sheetViews>
  <sheetFormatPr baseColWidth="10" defaultRowHeight="15" x14ac:dyDescent="0.25"/>
  <sheetData>
    <row r="2" spans="2:20" x14ac:dyDescent="0.25">
      <c r="B2" s="1" t="s">
        <v>0</v>
      </c>
      <c r="C2" s="1" t="s">
        <v>20</v>
      </c>
      <c r="D2" s="1" t="s">
        <v>21</v>
      </c>
      <c r="F2" s="1" t="s">
        <v>0</v>
      </c>
      <c r="G2" s="1" t="s">
        <v>22</v>
      </c>
      <c r="H2" s="1" t="s">
        <v>23</v>
      </c>
      <c r="J2" s="1" t="s">
        <v>0</v>
      </c>
      <c r="K2" s="1" t="s">
        <v>24</v>
      </c>
      <c r="L2" s="1" t="s">
        <v>25</v>
      </c>
      <c r="N2" s="1" t="s">
        <v>0</v>
      </c>
      <c r="O2" s="1" t="s">
        <v>26</v>
      </c>
      <c r="P2" s="1" t="s">
        <v>27</v>
      </c>
      <c r="R2" s="1" t="s">
        <v>0</v>
      </c>
      <c r="S2" s="1" t="s">
        <v>28</v>
      </c>
      <c r="T2" s="1" t="s">
        <v>29</v>
      </c>
    </row>
    <row r="3" spans="2:20" ht="15.75" thickBot="1" x14ac:dyDescent="0.3">
      <c r="B3" s="3">
        <v>0</v>
      </c>
      <c r="C3" s="3">
        <v>1.3634999599999999E-2</v>
      </c>
      <c r="D3" s="3">
        <v>9.6054723000000009E-3</v>
      </c>
      <c r="F3" s="3">
        <v>0</v>
      </c>
      <c r="G3">
        <f>'2010H'!G4</f>
        <v>1.3468105694565762E-2</v>
      </c>
      <c r="H3">
        <f>'2019H'!G4</f>
        <v>9.5213224712093671E-3</v>
      </c>
      <c r="J3" s="3">
        <v>0</v>
      </c>
      <c r="K3">
        <f>'2010H'!I4</f>
        <v>100000</v>
      </c>
      <c r="L3">
        <f>'2019H'!I4</f>
        <v>100000</v>
      </c>
      <c r="N3" s="3">
        <v>0</v>
      </c>
      <c r="O3">
        <f>'2010H'!J4</f>
        <v>1346.8105694565747</v>
      </c>
      <c r="P3">
        <f>'2019H'!J4</f>
        <v>952.13224712094234</v>
      </c>
      <c r="R3" s="3">
        <v>0</v>
      </c>
      <c r="S3">
        <f>'2010H'!M4</f>
        <v>17.34929431401574</v>
      </c>
      <c r="T3">
        <f>'2019H'!M4</f>
        <v>16.942234203960435</v>
      </c>
    </row>
    <row r="4" spans="2:20" ht="15.75" thickBot="1" x14ac:dyDescent="0.3">
      <c r="B4" s="3">
        <v>1</v>
      </c>
      <c r="C4" s="3">
        <v>5.4556319999999995E-4</v>
      </c>
      <c r="D4" s="3">
        <v>5.0000969999999996E-4</v>
      </c>
      <c r="F4" s="3">
        <v>1</v>
      </c>
      <c r="G4">
        <f>'2010H'!G5</f>
        <v>2.1792820079138552E-3</v>
      </c>
      <c r="H4">
        <f>'2019H'!G5</f>
        <v>1.9975492249739934E-3</v>
      </c>
      <c r="J4" s="3">
        <v>1</v>
      </c>
      <c r="K4">
        <f>'2010H'!I5</f>
        <v>98653.189430543425</v>
      </c>
      <c r="L4">
        <f>'2019H'!I5</f>
        <v>99047.867752879058</v>
      </c>
      <c r="N4" s="3">
        <v>1</v>
      </c>
      <c r="O4">
        <f>'2010H'!J5</f>
        <v>214.9931207493064</v>
      </c>
      <c r="P4">
        <f>'2019H'!J5</f>
        <v>197.85299146508623</v>
      </c>
      <c r="R4" s="3">
        <v>1</v>
      </c>
      <c r="S4">
        <f>'2010H'!M5</f>
        <v>16.584891496390668</v>
      </c>
      <c r="T4">
        <f>'2019H'!M5</f>
        <v>16.104319233908093</v>
      </c>
    </row>
    <row r="5" spans="2:20" ht="15.75" thickBot="1" x14ac:dyDescent="0.3">
      <c r="B5" s="3">
        <v>5</v>
      </c>
      <c r="C5" s="3">
        <v>2.5375009999999999E-4</v>
      </c>
      <c r="D5" s="3">
        <v>1.956181E-4</v>
      </c>
      <c r="F5" s="3">
        <v>5</v>
      </c>
      <c r="G5">
        <f>'2010H'!G6</f>
        <v>1.267946146346425E-3</v>
      </c>
      <c r="H5">
        <f>'2019H'!G6</f>
        <v>9.7761240329782622E-4</v>
      </c>
      <c r="J5" s="3">
        <v>5</v>
      </c>
      <c r="K5">
        <f>'2010H'!I6</f>
        <v>98438.196309794119</v>
      </c>
      <c r="L5">
        <f>'2019H'!I6</f>
        <v>98850.014761413971</v>
      </c>
      <c r="N5" s="3">
        <v>5</v>
      </c>
      <c r="O5">
        <f>'2010H'!J6</f>
        <v>124.81433166429633</v>
      </c>
      <c r="P5">
        <f>'2019H'!J6</f>
        <v>96.637000496935798</v>
      </c>
      <c r="R5" s="3">
        <v>5</v>
      </c>
      <c r="S5">
        <f>'2010H'!M6</f>
        <v>15.61779404930374</v>
      </c>
      <c r="T5">
        <f>'2019H'!M6</f>
        <v>15.133495156698977</v>
      </c>
    </row>
    <row r="6" spans="2:20" ht="15.75" thickBot="1" x14ac:dyDescent="0.3">
      <c r="B6" s="3">
        <v>10</v>
      </c>
      <c r="C6" s="3">
        <v>1.853201E-4</v>
      </c>
      <c r="D6" s="3">
        <v>2.2592749999999999E-4</v>
      </c>
      <c r="F6" s="3">
        <v>10</v>
      </c>
      <c r="G6">
        <f>'2010H'!G7</f>
        <v>9.2617140455672595E-4</v>
      </c>
      <c r="H6">
        <f>'2019H'!G7</f>
        <v>1.128999819733068E-3</v>
      </c>
      <c r="J6" s="3">
        <v>10</v>
      </c>
      <c r="K6">
        <f>'2010H'!I7</f>
        <v>98313.381978129823</v>
      </c>
      <c r="L6">
        <f>'2019H'!I7</f>
        <v>98753.377760917036</v>
      </c>
      <c r="N6" s="3">
        <v>10</v>
      </c>
      <c r="O6">
        <f>'2010H'!J7</f>
        <v>91.055043073414708</v>
      </c>
      <c r="P6">
        <f>'2019H'!J7</f>
        <v>111.49254569009645</v>
      </c>
      <c r="R6" s="3">
        <v>10</v>
      </c>
      <c r="S6">
        <f>'2010H'!M7</f>
        <v>14.634396964027362</v>
      </c>
      <c r="T6">
        <f>'2019H'!M7</f>
        <v>14.145807273056958</v>
      </c>
    </row>
    <row r="7" spans="2:20" ht="15.75" thickBot="1" x14ac:dyDescent="0.3">
      <c r="B7" s="3">
        <v>15</v>
      </c>
      <c r="C7" s="3">
        <v>1.0190929E-3</v>
      </c>
      <c r="D7" s="3">
        <v>1.8194659E-3</v>
      </c>
      <c r="F7" s="3">
        <v>15</v>
      </c>
      <c r="G7">
        <f>'2010H'!G8</f>
        <v>5.0825156110665569E-3</v>
      </c>
      <c r="H7">
        <f>'2019H'!G8</f>
        <v>9.0561361726204034E-3</v>
      </c>
      <c r="J7" s="3">
        <v>15</v>
      </c>
      <c r="K7">
        <f>'2010H'!I8</f>
        <v>98222.326935056408</v>
      </c>
      <c r="L7">
        <f>'2019H'!I8</f>
        <v>98641.885215226939</v>
      </c>
      <c r="N7" s="3">
        <v>15</v>
      </c>
      <c r="O7">
        <f>'2010H'!J8</f>
        <v>499.21651000270504</v>
      </c>
      <c r="P7">
        <f>'2019H'!J8</f>
        <v>893.31434483308112</v>
      </c>
      <c r="R7" s="3">
        <v>15</v>
      </c>
      <c r="S7">
        <f>'2010H'!M8</f>
        <v>13.645595009039639</v>
      </c>
      <c r="T7">
        <f>'2019H'!M8</f>
        <v>13.158919559958889</v>
      </c>
    </row>
    <row r="8" spans="2:20" ht="15.75" thickBot="1" x14ac:dyDescent="0.3">
      <c r="B8" s="3">
        <v>20</v>
      </c>
      <c r="C8" s="3">
        <v>1.5214147E-3</v>
      </c>
      <c r="D8" s="3">
        <v>4.1788538E-3</v>
      </c>
      <c r="F8" s="3">
        <v>20</v>
      </c>
      <c r="G8">
        <f>'2010H'!G9</f>
        <v>7.5782493500962458E-3</v>
      </c>
      <c r="H8">
        <f>'2019H'!G9</f>
        <v>2.0678240638822853E-2</v>
      </c>
      <c r="J8" s="3">
        <v>20</v>
      </c>
      <c r="K8">
        <f>'2010H'!I9</f>
        <v>97723.110425053703</v>
      </c>
      <c r="L8">
        <f>'2019H'!I9</f>
        <v>97748.570870393858</v>
      </c>
      <c r="N8" s="3">
        <v>20</v>
      </c>
      <c r="O8">
        <f>'2010H'!J9</f>
        <v>740.57009806804126</v>
      </c>
      <c r="P8">
        <f>'2019H'!J9</f>
        <v>2021.2684705590364</v>
      </c>
      <c r="R8" s="3">
        <v>20</v>
      </c>
      <c r="S8">
        <f>'2010H'!M9</f>
        <v>12.702480888113039</v>
      </c>
      <c r="T8">
        <f>'2019H'!M9</f>
        <v>12.256279200704448</v>
      </c>
    </row>
    <row r="9" spans="2:20" ht="15.75" thickBot="1" x14ac:dyDescent="0.3">
      <c r="B9" s="3">
        <v>25</v>
      </c>
      <c r="C9" s="3">
        <v>2.0734015000000001E-3</v>
      </c>
      <c r="D9" s="3">
        <v>5.1347527999999996E-3</v>
      </c>
      <c r="F9" s="3">
        <v>25</v>
      </c>
      <c r="G9">
        <f>'2010H'!G10</f>
        <v>1.0313547189467592E-2</v>
      </c>
      <c r="H9">
        <f>'2019H'!G10</f>
        <v>2.534836996585596E-2</v>
      </c>
      <c r="J9" s="3">
        <v>25</v>
      </c>
      <c r="K9">
        <f>'2010H'!I10</f>
        <v>96982.540326985662</v>
      </c>
      <c r="L9">
        <f>'2019H'!I10</f>
        <v>95727.302399834822</v>
      </c>
      <c r="N9" s="3">
        <v>25</v>
      </c>
      <c r="O9">
        <f>'2010H'!J10</f>
        <v>1000.2340062168223</v>
      </c>
      <c r="P9">
        <f>'2019H'!J10</f>
        <v>2426.5310770643846</v>
      </c>
      <c r="R9" s="3">
        <v>25</v>
      </c>
      <c r="S9">
        <f>'2010H'!M10</f>
        <v>11.780336677891173</v>
      </c>
      <c r="T9">
        <f>'2019H'!M10</f>
        <v>11.462229426440558</v>
      </c>
    </row>
    <row r="10" spans="2:20" ht="15.75" thickBot="1" x14ac:dyDescent="0.3">
      <c r="B10" s="3">
        <v>30</v>
      </c>
      <c r="C10" s="3">
        <v>2.5591994E-3</v>
      </c>
      <c r="D10" s="3">
        <v>5.0554005000000004E-3</v>
      </c>
      <c r="F10" s="3">
        <v>30</v>
      </c>
      <c r="G10">
        <f>'2010H'!G11</f>
        <v>1.2714648696710421E-2</v>
      </c>
      <c r="H10">
        <f>'2019H'!G11</f>
        <v>2.4961526219670783E-2</v>
      </c>
      <c r="J10" s="3">
        <v>30</v>
      </c>
      <c r="K10">
        <f>'2010H'!I11</f>
        <v>95982.306320768839</v>
      </c>
      <c r="L10">
        <f>'2019H'!I11</f>
        <v>93300.771322770437</v>
      </c>
      <c r="N10" s="3">
        <v>30</v>
      </c>
      <c r="O10">
        <f>'2010H'!J11</f>
        <v>1220.3813059686217</v>
      </c>
      <c r="P10">
        <f>'2019H'!J11</f>
        <v>2328.9296496888419</v>
      </c>
      <c r="R10" s="3">
        <v>30</v>
      </c>
      <c r="S10">
        <f>'2010H'!M11</f>
        <v>10.876995204759272</v>
      </c>
      <c r="T10">
        <f>'2019H'!M11</f>
        <v>10.69526210039159</v>
      </c>
    </row>
    <row r="11" spans="2:20" ht="15.75" thickBot="1" x14ac:dyDescent="0.3">
      <c r="B11" s="3">
        <v>35</v>
      </c>
      <c r="C11" s="3">
        <v>3.4778306000000001E-3</v>
      </c>
      <c r="D11" s="3">
        <v>4.7608436999999997E-3</v>
      </c>
      <c r="F11" s="3">
        <v>35</v>
      </c>
      <c r="G11">
        <f>'2010H'!G12</f>
        <v>1.7239264892587633E-2</v>
      </c>
      <c r="H11">
        <f>'2019H'!G12</f>
        <v>2.352423053811319E-2</v>
      </c>
      <c r="J11" s="3">
        <v>35</v>
      </c>
      <c r="K11">
        <f>'2010H'!I12</f>
        <v>94761.925014800217</v>
      </c>
      <c r="L11">
        <f>'2019H'!I12</f>
        <v>90971.841673081595</v>
      </c>
      <c r="N11" s="3">
        <v>35</v>
      </c>
      <c r="O11">
        <f>'2010H'!J12</f>
        <v>1633.625927061672</v>
      </c>
      <c r="P11">
        <f>'2019H'!J12</f>
        <v>2140.0425759943028</v>
      </c>
      <c r="R11" s="3">
        <v>35</v>
      </c>
      <c r="S11">
        <f>'2010H'!M12</f>
        <v>9.9848246768439832</v>
      </c>
      <c r="T11">
        <f>'2019H'!M12</f>
        <v>9.9050103976849861</v>
      </c>
    </row>
    <row r="12" spans="2:20" ht="15.75" thickBot="1" x14ac:dyDescent="0.3">
      <c r="B12" s="3">
        <v>40</v>
      </c>
      <c r="C12" s="3">
        <v>4.2950211E-3</v>
      </c>
      <c r="D12" s="3">
        <v>6.2979057999999997E-3</v>
      </c>
      <c r="F12" s="3">
        <v>40</v>
      </c>
      <c r="G12">
        <f>'2010H'!G13</f>
        <v>2.1246965091552054E-2</v>
      </c>
      <c r="H12">
        <f>'2019H'!G13</f>
        <v>3.1001418959319679E-2</v>
      </c>
      <c r="J12" s="3">
        <v>40</v>
      </c>
      <c r="K12">
        <f>'2010H'!I13</f>
        <v>93128.299087738545</v>
      </c>
      <c r="L12">
        <f>'2019H'!I13</f>
        <v>88831.799097087292</v>
      </c>
      <c r="N12" s="3">
        <v>40</v>
      </c>
      <c r="O12">
        <f>'2010H'!J13</f>
        <v>1978.6937197528023</v>
      </c>
      <c r="P12">
        <f>'2019H'!J13</f>
        <v>2753.9118207189167</v>
      </c>
      <c r="R12" s="3">
        <v>40</v>
      </c>
      <c r="S12">
        <f>'2010H'!M13</f>
        <v>9.116067314917812</v>
      </c>
      <c r="T12">
        <f>'2019H'!M13</f>
        <v>9.0833478589066381</v>
      </c>
    </row>
    <row r="13" spans="2:20" ht="15.75" thickBot="1" x14ac:dyDescent="0.3">
      <c r="B13" s="3">
        <v>45</v>
      </c>
      <c r="C13" s="3">
        <v>5.3717898000000004E-3</v>
      </c>
      <c r="D13" s="3">
        <v>6.6899400000000001E-3</v>
      </c>
      <c r="F13" s="3">
        <v>45</v>
      </c>
      <c r="G13">
        <f>'2010H'!G14</f>
        <v>2.650302727109009E-2</v>
      </c>
      <c r="H13">
        <f>'2019H'!G14</f>
        <v>3.2899461442296801E-2</v>
      </c>
      <c r="J13" s="3">
        <v>45</v>
      </c>
      <c r="K13">
        <f>'2010H'!I14</f>
        <v>91149.605367985743</v>
      </c>
      <c r="L13">
        <f>'2019H'!I14</f>
        <v>86077.887276368376</v>
      </c>
      <c r="N13" s="3">
        <v>45</v>
      </c>
      <c r="O13">
        <f>'2010H'!J14</f>
        <v>2415.7404768168344</v>
      </c>
      <c r="P13">
        <f>'2019H'!J14</f>
        <v>2831.9161334832606</v>
      </c>
      <c r="R13" s="3">
        <v>45</v>
      </c>
      <c r="S13">
        <f>'2010H'!M14</f>
        <v>8.2596353621151497</v>
      </c>
      <c r="T13">
        <f>'2019H'!M14</f>
        <v>8.2939125005590775</v>
      </c>
    </row>
    <row r="14" spans="2:20" ht="15.75" thickBot="1" x14ac:dyDescent="0.3">
      <c r="B14" s="3">
        <v>50</v>
      </c>
      <c r="C14" s="3">
        <v>7.1097827999999997E-3</v>
      </c>
      <c r="D14" s="3">
        <v>8.2330699000000007E-3</v>
      </c>
      <c r="F14" s="3">
        <v>50</v>
      </c>
      <c r="G14">
        <f>'2010H'!G15</f>
        <v>3.492808623315647E-2</v>
      </c>
      <c r="H14">
        <f>'2019H'!G15</f>
        <v>4.0335144342993859E-2</v>
      </c>
      <c r="J14" s="3">
        <v>50</v>
      </c>
      <c r="K14">
        <f>'2010H'!I15</f>
        <v>88733.864891168909</v>
      </c>
      <c r="L14">
        <f>'2019H'!I15</f>
        <v>83245.971142885115</v>
      </c>
      <c r="N14" s="3">
        <v>50</v>
      </c>
      <c r="O14">
        <f>'2010H'!J15</f>
        <v>3099.3040847200027</v>
      </c>
      <c r="P14">
        <f>'2019H'!J15</f>
        <v>3357.7382620209828</v>
      </c>
      <c r="R14" s="3">
        <v>50</v>
      </c>
      <c r="S14">
        <f>'2010H'!M15</f>
        <v>7.4163825554558889</v>
      </c>
      <c r="T14">
        <f>'2019H'!M15</f>
        <v>7.4909535592569121</v>
      </c>
    </row>
    <row r="15" spans="2:20" ht="15.75" thickBot="1" x14ac:dyDescent="0.3">
      <c r="B15" s="3">
        <v>55</v>
      </c>
      <c r="C15" s="3">
        <v>1.0341804899999999E-2</v>
      </c>
      <c r="D15" s="3">
        <v>1.23024311E-2</v>
      </c>
      <c r="F15" s="3">
        <v>55</v>
      </c>
      <c r="G15">
        <f>'2010H'!G16</f>
        <v>5.040580694682225E-2</v>
      </c>
      <c r="H15">
        <f>'2019H'!G16</f>
        <v>5.9676733252228449E-2</v>
      </c>
      <c r="J15" s="3">
        <v>55</v>
      </c>
      <c r="K15">
        <f>'2010H'!I16</f>
        <v>85634.560806448906</v>
      </c>
      <c r="L15">
        <f>'2019H'!I16</f>
        <v>79888.232880864132</v>
      </c>
      <c r="N15" s="3">
        <v>55</v>
      </c>
      <c r="O15">
        <f>'2010H'!J16</f>
        <v>4316.4791399857786</v>
      </c>
      <c r="P15">
        <f>'2019H'!J16</f>
        <v>4767.4687636232411</v>
      </c>
      <c r="R15" s="3">
        <v>55</v>
      </c>
      <c r="S15">
        <f>'2010H'!M16</f>
        <v>6.5942589221088195</v>
      </c>
      <c r="T15">
        <f>'2019H'!M16</f>
        <v>6.7006629886151838</v>
      </c>
    </row>
    <row r="16" spans="2:20" ht="15.75" thickBot="1" x14ac:dyDescent="0.3">
      <c r="B16" s="3">
        <v>60</v>
      </c>
      <c r="C16" s="3">
        <v>1.6573804500000001E-2</v>
      </c>
      <c r="D16" s="3">
        <v>1.6714044099999999E-2</v>
      </c>
      <c r="F16" s="3">
        <v>60</v>
      </c>
      <c r="G16">
        <f>'2010H'!G17</f>
        <v>7.9571995747034538E-2</v>
      </c>
      <c r="H16">
        <f>'2019H'!G17</f>
        <v>8.0218290391907615E-2</v>
      </c>
      <c r="J16" s="3">
        <v>60</v>
      </c>
      <c r="K16">
        <f>'2010H'!I17</f>
        <v>81318.081666463127</v>
      </c>
      <c r="L16">
        <f>'2019H'!I17</f>
        <v>75120.764117240891</v>
      </c>
      <c r="N16" s="3">
        <v>60</v>
      </c>
      <c r="O16">
        <f>'2010H'!J17</f>
        <v>6470.6420485208073</v>
      </c>
      <c r="P16">
        <f>'2019H'!J17</f>
        <v>6026.0592704188311</v>
      </c>
      <c r="R16" s="3">
        <v>60</v>
      </c>
      <c r="S16">
        <f>'2010H'!M17</f>
        <v>5.8115265072376729</v>
      </c>
      <c r="T16">
        <f>'2019H'!M17</f>
        <v>5.967187561681075</v>
      </c>
    </row>
    <row r="17" spans="2:20" ht="15.75" thickBot="1" x14ac:dyDescent="0.3">
      <c r="B17" s="3">
        <v>65</v>
      </c>
      <c r="C17" s="3">
        <v>2.43255346E-2</v>
      </c>
      <c r="D17" s="3">
        <v>1.88719283E-2</v>
      </c>
      <c r="F17" s="3">
        <v>65</v>
      </c>
      <c r="G17">
        <f>'2010H'!G18</f>
        <v>0.11465505898875972</v>
      </c>
      <c r="H17">
        <f>'2019H'!G18</f>
        <v>9.0108345892703265E-2</v>
      </c>
      <c r="J17" s="3">
        <v>65</v>
      </c>
      <c r="K17">
        <f>'2010H'!I18</f>
        <v>74847.43961794232</v>
      </c>
      <c r="L17">
        <f>'2019H'!I18</f>
        <v>69094.70484682206</v>
      </c>
      <c r="N17" s="3">
        <v>65</v>
      </c>
      <c r="O17">
        <f>'2010H'!J18</f>
        <v>8581.6376045528013</v>
      </c>
      <c r="P17">
        <f>'2019H'!J18</f>
        <v>6226.0095636916813</v>
      </c>
      <c r="R17" s="3">
        <v>65</v>
      </c>
      <c r="S17">
        <f>'2010H'!M18</f>
        <v>5.0977447502647584</v>
      </c>
      <c r="T17">
        <f>'2019H'!M18</f>
        <v>5.269504183405668</v>
      </c>
    </row>
    <row r="18" spans="2:20" ht="15.75" thickBot="1" x14ac:dyDescent="0.3">
      <c r="B18" s="3">
        <v>70</v>
      </c>
      <c r="C18" s="3">
        <v>3.3936631100000003E-2</v>
      </c>
      <c r="D18" s="3">
        <v>2.8894305200000001E-2</v>
      </c>
      <c r="F18" s="3">
        <v>70</v>
      </c>
      <c r="G18">
        <f>'2010H'!G19</f>
        <v>0.15641284311016998</v>
      </c>
      <c r="H18">
        <f>'2019H'!G19</f>
        <v>0.1347385817423066</v>
      </c>
      <c r="J18" s="3">
        <v>70</v>
      </c>
      <c r="K18">
        <f>'2010H'!I19</f>
        <v>66265.802013389519</v>
      </c>
      <c r="L18">
        <f>'2019H'!I19</f>
        <v>62868.695283130379</v>
      </c>
      <c r="N18" s="3">
        <v>70</v>
      </c>
      <c r="O18">
        <f>'2010H'!J19</f>
        <v>10364.822493889886</v>
      </c>
      <c r="P18">
        <f>'2019H'!J19</f>
        <v>8470.838838438227</v>
      </c>
      <c r="R18" s="3">
        <v>70</v>
      </c>
      <c r="S18">
        <f>'2010H'!M19</f>
        <v>4.434085718889845</v>
      </c>
      <c r="T18">
        <f>'2019H'!M19</f>
        <v>4.5436940557250525</v>
      </c>
    </row>
    <row r="19" spans="2:20" ht="15.75" thickBot="1" x14ac:dyDescent="0.3">
      <c r="B19" s="3">
        <v>75</v>
      </c>
      <c r="C19" s="3">
        <v>5.2031315799999998E-2</v>
      </c>
      <c r="D19" s="3">
        <v>4.7994042799999997E-2</v>
      </c>
      <c r="F19" s="3">
        <v>75</v>
      </c>
      <c r="G19">
        <f>'2010H'!G20</f>
        <v>0.23021111140459616</v>
      </c>
      <c r="H19">
        <f>'2019H'!G20</f>
        <v>0.21426196875312556</v>
      </c>
      <c r="J19" s="3">
        <v>75</v>
      </c>
      <c r="K19">
        <f>'2010H'!I20</f>
        <v>55900.979519499633</v>
      </c>
      <c r="L19">
        <f>'2019H'!I20</f>
        <v>54397.856444692152</v>
      </c>
      <c r="N19" s="3">
        <v>75</v>
      </c>
      <c r="O19">
        <f>'2010H'!J20</f>
        <v>12869.026623789578</v>
      </c>
      <c r="P19">
        <f>'2019H'!J20</f>
        <v>11655.391817789641</v>
      </c>
      <c r="R19" s="3">
        <v>75</v>
      </c>
      <c r="S19">
        <f>'2010H'!M20</f>
        <v>3.7926027848970647</v>
      </c>
      <c r="T19">
        <f>'2019H'!M20</f>
        <v>3.8618463527501636</v>
      </c>
    </row>
    <row r="20" spans="2:20" ht="15.75" thickBot="1" x14ac:dyDescent="0.3">
      <c r="B20" s="3">
        <v>80</v>
      </c>
      <c r="C20" s="3">
        <v>7.6526110800000005E-2</v>
      </c>
      <c r="D20" s="3">
        <v>6.1665683700000001E-2</v>
      </c>
      <c r="F20" s="3">
        <v>80</v>
      </c>
      <c r="G20">
        <f>'2010H'!G21</f>
        <v>0.32118328488454367</v>
      </c>
      <c r="H20">
        <f>'2019H'!G21</f>
        <v>0.2671443248966785</v>
      </c>
      <c r="J20" s="3">
        <v>80</v>
      </c>
      <c r="K20">
        <f>'2010H'!I21</f>
        <v>43031.952895710056</v>
      </c>
      <c r="L20">
        <f>'2019H'!I21</f>
        <v>42742.464626902511</v>
      </c>
      <c r="N20" s="3">
        <v>80</v>
      </c>
      <c r="O20">
        <f>'2010H'!J21</f>
        <v>13821.143986041108</v>
      </c>
      <c r="P20">
        <f>'2019H'!J21</f>
        <v>11418.406857174032</v>
      </c>
      <c r="R20" s="3">
        <v>80</v>
      </c>
      <c r="S20">
        <f>'2010H'!M21</f>
        <v>3.1790491005715436</v>
      </c>
      <c r="T20">
        <f>'2019H'!M21</f>
        <v>3.2330896344710673</v>
      </c>
    </row>
    <row r="21" spans="2:20" ht="15.75" thickBot="1" x14ac:dyDescent="0.3">
      <c r="B21" s="3" t="s">
        <v>19</v>
      </c>
      <c r="C21" s="3">
        <v>0.13412595460000001</v>
      </c>
      <c r="D21" s="3">
        <v>0.1453537651</v>
      </c>
      <c r="F21" s="3" t="s">
        <v>19</v>
      </c>
      <c r="G21">
        <f>'2010H'!G22</f>
        <v>0.50222593919984737</v>
      </c>
      <c r="H21">
        <f>'2019H'!G22</f>
        <v>0.53306229607985522</v>
      </c>
      <c r="J21" s="3" t="s">
        <v>19</v>
      </c>
      <c r="K21">
        <f>'2010H'!I22</f>
        <v>29210.808909668947</v>
      </c>
      <c r="L21">
        <f>'2019H'!I22</f>
        <v>31324.057769728479</v>
      </c>
      <c r="N21" s="3" t="s">
        <v>19</v>
      </c>
      <c r="O21">
        <f>'2010H'!J22</f>
        <v>29210.808909668947</v>
      </c>
      <c r="P21">
        <f>'2019H'!J22</f>
        <v>31324.057769728479</v>
      </c>
      <c r="R21" s="3" t="s">
        <v>19</v>
      </c>
      <c r="S21">
        <f>'2010H'!M22</f>
        <v>2.5001711695152116</v>
      </c>
      <c r="T21">
        <f>'2019H'!M22</f>
        <v>2.5001596217206838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93A7-8D17-4BB7-BE0A-D7BE5F2D900B}">
  <dimension ref="B2:T21"/>
  <sheetViews>
    <sheetView zoomScale="80" zoomScaleNormal="80" workbookViewId="0">
      <selection activeCell="V17" sqref="V17"/>
    </sheetView>
  </sheetViews>
  <sheetFormatPr baseColWidth="10" defaultRowHeight="15" x14ac:dyDescent="0.25"/>
  <sheetData>
    <row r="2" spans="2:20" x14ac:dyDescent="0.25">
      <c r="B2" s="1" t="s">
        <v>0</v>
      </c>
      <c r="C2" s="1" t="s">
        <v>30</v>
      </c>
      <c r="D2" s="1" t="s">
        <v>31</v>
      </c>
      <c r="F2" s="1" t="s">
        <v>0</v>
      </c>
      <c r="G2" s="1" t="s">
        <v>23</v>
      </c>
      <c r="H2" s="1" t="s">
        <v>32</v>
      </c>
      <c r="J2" s="1" t="s">
        <v>0</v>
      </c>
      <c r="K2" s="1" t="s">
        <v>25</v>
      </c>
      <c r="L2" s="1" t="s">
        <v>33</v>
      </c>
      <c r="N2" s="1" t="s">
        <v>0</v>
      </c>
      <c r="O2" s="1" t="s">
        <v>27</v>
      </c>
      <c r="P2" s="1" t="s">
        <v>34</v>
      </c>
      <c r="R2" s="1" t="s">
        <v>0</v>
      </c>
      <c r="S2" s="1" t="s">
        <v>29</v>
      </c>
      <c r="T2" s="1" t="s">
        <v>35</v>
      </c>
    </row>
    <row r="3" spans="2:20" ht="15.75" thickBot="1" x14ac:dyDescent="0.3">
      <c r="B3" s="3">
        <v>0</v>
      </c>
      <c r="C3" s="3">
        <f>'2019H'!E4</f>
        <v>9.6054723000000009E-3</v>
      </c>
      <c r="D3" s="3">
        <f>'2021H'!E4</f>
        <v>1.08050391E-2</v>
      </c>
      <c r="F3" s="3">
        <v>0</v>
      </c>
      <c r="G3">
        <f>'2019H'!G4</f>
        <v>9.5213224712093671E-3</v>
      </c>
      <c r="H3">
        <f>'2021H'!G4</f>
        <v>1.069905982829489E-2</v>
      </c>
      <c r="J3" s="3">
        <v>0</v>
      </c>
      <c r="K3">
        <f>'2019H'!I4</f>
        <v>100000</v>
      </c>
      <c r="L3">
        <f>'2021H'!I4</f>
        <v>100000</v>
      </c>
      <c r="N3" s="3">
        <v>0</v>
      </c>
      <c r="O3">
        <f>'2019H'!J4</f>
        <v>952.13224712094234</v>
      </c>
      <c r="P3">
        <f>'2021H'!J4</f>
        <v>1069.9059828294849</v>
      </c>
      <c r="R3" s="3">
        <v>0</v>
      </c>
      <c r="S3">
        <f>'2019H'!M4</f>
        <v>16.942234203960435</v>
      </c>
      <c r="T3">
        <f>'2021H'!M4</f>
        <v>16.069741079945409</v>
      </c>
    </row>
    <row r="4" spans="2:20" ht="15.75" thickBot="1" x14ac:dyDescent="0.3">
      <c r="B4" s="3">
        <v>1</v>
      </c>
      <c r="C4" s="3">
        <f>'2019H'!E5</f>
        <v>5.0000969999999996E-4</v>
      </c>
      <c r="D4" s="3">
        <f>'2021H'!E5</f>
        <v>5.1079979999999999E-4</v>
      </c>
      <c r="F4" s="3">
        <v>1</v>
      </c>
      <c r="G4">
        <f>'2019H'!G5</f>
        <v>1.9975492249739934E-3</v>
      </c>
      <c r="H4">
        <f>'2021H'!G5</f>
        <v>2.0405991908084065E-3</v>
      </c>
      <c r="J4" s="3">
        <v>1</v>
      </c>
      <c r="K4">
        <f>'2019H'!I5</f>
        <v>99047.867752879058</v>
      </c>
      <c r="L4">
        <f>'2021H'!I5</f>
        <v>98930.094017170515</v>
      </c>
      <c r="N4" s="3">
        <v>1</v>
      </c>
      <c r="O4">
        <f>'2019H'!J5</f>
        <v>197.85299146508623</v>
      </c>
      <c r="P4">
        <f>'2021H'!J5</f>
        <v>201.87666979804635</v>
      </c>
      <c r="R4" s="3">
        <v>1</v>
      </c>
      <c r="S4">
        <f>'2019H'!M5</f>
        <v>16.104319233908093</v>
      </c>
      <c r="T4">
        <f>'2021H'!M5</f>
        <v>15.24262111431754</v>
      </c>
    </row>
    <row r="5" spans="2:20" ht="15.75" thickBot="1" x14ac:dyDescent="0.3">
      <c r="B5" s="3">
        <v>5</v>
      </c>
      <c r="C5" s="3">
        <f>'2019H'!E6</f>
        <v>1.956181E-4</v>
      </c>
      <c r="D5" s="3">
        <f>'2021H'!E6</f>
        <v>2.9347439999999998E-4</v>
      </c>
      <c r="F5" s="3">
        <v>5</v>
      </c>
      <c r="G5">
        <f>'2019H'!G6</f>
        <v>9.7761240329782622E-4</v>
      </c>
      <c r="H5">
        <f>'2021H'!G6</f>
        <v>1.4662961990069352E-3</v>
      </c>
      <c r="J5" s="3">
        <v>5</v>
      </c>
      <c r="K5">
        <f>'2019H'!I6</f>
        <v>98850.014761413971</v>
      </c>
      <c r="L5">
        <f>'2021H'!I6</f>
        <v>98728.217347372469</v>
      </c>
      <c r="N5" s="3">
        <v>5</v>
      </c>
      <c r="O5">
        <f>'2019H'!J6</f>
        <v>96.637000496935798</v>
      </c>
      <c r="P5">
        <f>'2021H'!J6</f>
        <v>144.76480983119109</v>
      </c>
      <c r="R5" s="3">
        <v>5</v>
      </c>
      <c r="S5">
        <f>'2019H'!M6</f>
        <v>15.133495156698977</v>
      </c>
      <c r="T5">
        <f>'2021H'!M6</f>
        <v>14.270669675950909</v>
      </c>
    </row>
    <row r="6" spans="2:20" ht="15.75" thickBot="1" x14ac:dyDescent="0.3">
      <c r="B6" s="3">
        <v>10</v>
      </c>
      <c r="C6" s="3">
        <f>'2019H'!E7</f>
        <v>2.2592749999999999E-4</v>
      </c>
      <c r="D6" s="3">
        <f>'2021H'!E7</f>
        <v>2.58366E-4</v>
      </c>
      <c r="F6" s="3">
        <v>10</v>
      </c>
      <c r="G6">
        <f>'2019H'!G7</f>
        <v>1.128999819733068E-3</v>
      </c>
      <c r="H6">
        <f>'2021H'!G7</f>
        <v>1.2909961262371214E-3</v>
      </c>
      <c r="J6" s="3">
        <v>10</v>
      </c>
      <c r="K6">
        <f>'2019H'!I7</f>
        <v>98753.377760917036</v>
      </c>
      <c r="L6">
        <f>'2021H'!I7</f>
        <v>98583.452537541278</v>
      </c>
      <c r="N6" s="3">
        <v>10</v>
      </c>
      <c r="O6">
        <f>'2019H'!J7</f>
        <v>111.49254569009645</v>
      </c>
      <c r="P6">
        <f>'2021H'!J7</f>
        <v>127.27085533704667</v>
      </c>
      <c r="R6" s="3">
        <v>10</v>
      </c>
      <c r="S6">
        <f>'2019H'!M7</f>
        <v>14.145807273056958</v>
      </c>
      <c r="T6">
        <f>'2021H'!M7</f>
        <v>13.287903590096672</v>
      </c>
    </row>
    <row r="7" spans="2:20" ht="15.75" thickBot="1" x14ac:dyDescent="0.3">
      <c r="B7" s="3">
        <v>15</v>
      </c>
      <c r="C7" s="3">
        <f>'2019H'!E8</f>
        <v>1.8194659E-3</v>
      </c>
      <c r="D7" s="3">
        <f>'2021H'!E8</f>
        <v>1.6376692999999999E-3</v>
      </c>
      <c r="F7" s="3">
        <v>15</v>
      </c>
      <c r="G7">
        <f>'2019H'!G8</f>
        <v>9.0561361726204034E-3</v>
      </c>
      <c r="H7">
        <f>'2021H'!G8</f>
        <v>8.1549586862917287E-3</v>
      </c>
      <c r="J7" s="3">
        <v>15</v>
      </c>
      <c r="K7">
        <f>'2019H'!I8</f>
        <v>98641.885215226939</v>
      </c>
      <c r="L7">
        <f>'2021H'!I8</f>
        <v>98456.181682204231</v>
      </c>
      <c r="N7" s="3">
        <v>15</v>
      </c>
      <c r="O7">
        <f>'2019H'!J8</f>
        <v>893.31434483308112</v>
      </c>
      <c r="P7">
        <f>'2021H'!J8</f>
        <v>802.90609402839618</v>
      </c>
      <c r="R7" s="3">
        <v>15</v>
      </c>
      <c r="S7">
        <f>'2019H'!M8</f>
        <v>13.158919559958889</v>
      </c>
      <c r="T7">
        <f>'2021H'!M8</f>
        <v>12.301797950956823</v>
      </c>
    </row>
    <row r="8" spans="2:20" ht="15.75" thickBot="1" x14ac:dyDescent="0.3">
      <c r="B8" s="3">
        <v>20</v>
      </c>
      <c r="C8" s="3">
        <f>'2019H'!E9</f>
        <v>4.1788538E-3</v>
      </c>
      <c r="D8" s="3">
        <f>'2021H'!E9</f>
        <v>4.1502237000000004E-3</v>
      </c>
      <c r="F8" s="3">
        <v>20</v>
      </c>
      <c r="G8">
        <f>'2019H'!G9</f>
        <v>2.0678240638822853E-2</v>
      </c>
      <c r="H8">
        <f>'2021H'!G9</f>
        <v>2.0538025004685899E-2</v>
      </c>
      <c r="J8" s="3">
        <v>20</v>
      </c>
      <c r="K8">
        <f>'2019H'!I9</f>
        <v>97748.570870393858</v>
      </c>
      <c r="L8">
        <f>'2021H'!I9</f>
        <v>97653.275588175835</v>
      </c>
      <c r="N8" s="3">
        <v>20</v>
      </c>
      <c r="O8">
        <f>'2019H'!J9</f>
        <v>2021.2684705590364</v>
      </c>
      <c r="P8">
        <f>'2021H'!J9</f>
        <v>2005.6054158194456</v>
      </c>
      <c r="R8" s="3">
        <v>20</v>
      </c>
      <c r="S8">
        <f>'2019H'!M9</f>
        <v>12.256279200704448</v>
      </c>
      <c r="T8">
        <f>'2021H'!M9</f>
        <v>11.382337218686319</v>
      </c>
    </row>
    <row r="9" spans="2:20" ht="15.75" thickBot="1" x14ac:dyDescent="0.3">
      <c r="B9" s="3">
        <v>25</v>
      </c>
      <c r="C9" s="3">
        <f>'2019H'!E10</f>
        <v>5.1347527999999996E-3</v>
      </c>
      <c r="D9" s="3">
        <f>'2021H'!E10</f>
        <v>5.4616357000000001E-3</v>
      </c>
      <c r="F9" s="3">
        <v>25</v>
      </c>
      <c r="G9">
        <f>'2019H'!G10</f>
        <v>2.534836996585596E-2</v>
      </c>
      <c r="H9">
        <f>'2021H'!G10</f>
        <v>2.694033279163827E-2</v>
      </c>
      <c r="J9" s="3">
        <v>25</v>
      </c>
      <c r="K9">
        <f>'2019H'!I10</f>
        <v>95727.302399834822</v>
      </c>
      <c r="L9">
        <f>'2021H'!I10</f>
        <v>95647.670172356389</v>
      </c>
      <c r="N9" s="3">
        <v>25</v>
      </c>
      <c r="O9">
        <f>'2019H'!J10</f>
        <v>2426.5310770643846</v>
      </c>
      <c r="P9">
        <f>'2021H'!J10</f>
        <v>2576.7800651881407</v>
      </c>
      <c r="R9" s="3">
        <v>25</v>
      </c>
      <c r="S9">
        <f>'2019H'!M10</f>
        <v>11.462229426440558</v>
      </c>
      <c r="T9">
        <f>'2021H'!M10</f>
        <v>10.56853583281711</v>
      </c>
    </row>
    <row r="10" spans="2:20" ht="15.75" thickBot="1" x14ac:dyDescent="0.3">
      <c r="B10" s="3">
        <v>30</v>
      </c>
      <c r="C10" s="3">
        <f>'2019H'!E11</f>
        <v>5.0554005000000004E-3</v>
      </c>
      <c r="D10" s="3">
        <f>'2021H'!E11</f>
        <v>5.5138651000000002E-3</v>
      </c>
      <c r="F10" s="3">
        <v>30</v>
      </c>
      <c r="G10">
        <f>'2019H'!G11</f>
        <v>2.4961526219670783E-2</v>
      </c>
      <c r="H10">
        <f>'2021H'!G11</f>
        <v>2.7194459053281828E-2</v>
      </c>
      <c r="J10" s="3">
        <v>30</v>
      </c>
      <c r="K10">
        <f>'2019H'!I11</f>
        <v>93300.771322770437</v>
      </c>
      <c r="L10">
        <f>'2021H'!I11</f>
        <v>93070.890107168249</v>
      </c>
      <c r="N10" s="3">
        <v>30</v>
      </c>
      <c r="O10">
        <f>'2019H'!J11</f>
        <v>2328.9296496888419</v>
      </c>
      <c r="P10">
        <f>'2021H'!J11</f>
        <v>2531.0125100718724</v>
      </c>
      <c r="R10" s="3">
        <v>30</v>
      </c>
      <c r="S10">
        <f>'2019H'!M11</f>
        <v>10.69526210039159</v>
      </c>
      <c r="T10">
        <f>'2021H'!M11</f>
        <v>9.7918692753717593</v>
      </c>
    </row>
    <row r="11" spans="2:20" ht="15.75" thickBot="1" x14ac:dyDescent="0.3">
      <c r="B11" s="3">
        <v>35</v>
      </c>
      <c r="C11" s="3">
        <f>'2019H'!E12</f>
        <v>4.7608436999999997E-3</v>
      </c>
      <c r="D11" s="3">
        <f>'2021H'!E12</f>
        <v>6.9237839999999997E-3</v>
      </c>
      <c r="F11" s="3">
        <v>35</v>
      </c>
      <c r="G11">
        <f>'2019H'!G12</f>
        <v>2.352423053811319E-2</v>
      </c>
      <c r="H11">
        <f>'2021H'!G12</f>
        <v>3.4029881133711269E-2</v>
      </c>
      <c r="J11" s="3">
        <v>35</v>
      </c>
      <c r="K11">
        <f>'2019H'!I12</f>
        <v>90971.841673081595</v>
      </c>
      <c r="L11">
        <f>'2021H'!I12</f>
        <v>90539.877597096376</v>
      </c>
      <c r="N11" s="3">
        <v>35</v>
      </c>
      <c r="O11">
        <f>'2019H'!J12</f>
        <v>2140.0425759943028</v>
      </c>
      <c r="P11">
        <f>'2021H'!J12</f>
        <v>3081.0612724899547</v>
      </c>
      <c r="R11" s="3">
        <v>35</v>
      </c>
      <c r="S11">
        <f>'2019H'!M12</f>
        <v>9.9050103976849861</v>
      </c>
      <c r="T11">
        <f>'2021H'!M12</f>
        <v>8.9956558592224791</v>
      </c>
    </row>
    <row r="12" spans="2:20" ht="15.75" thickBot="1" x14ac:dyDescent="0.3">
      <c r="B12" s="3">
        <v>40</v>
      </c>
      <c r="C12" s="3">
        <f>'2019H'!E13</f>
        <v>6.2979057999999997E-3</v>
      </c>
      <c r="D12" s="3">
        <f>'2021H'!E13</f>
        <v>7.8518669000000006E-3</v>
      </c>
      <c r="F12" s="3">
        <v>40</v>
      </c>
      <c r="G12">
        <f>'2019H'!G13</f>
        <v>3.1001418959319679E-2</v>
      </c>
      <c r="H12">
        <f>'2021H'!G13</f>
        <v>3.850352315256253E-2</v>
      </c>
      <c r="J12" s="3">
        <v>40</v>
      </c>
      <c r="K12">
        <f>'2019H'!I13</f>
        <v>88831.799097087292</v>
      </c>
      <c r="L12">
        <f>'2021H'!I13</f>
        <v>87458.816324606421</v>
      </c>
      <c r="N12" s="3">
        <v>40</v>
      </c>
      <c r="O12">
        <f>'2019H'!J13</f>
        <v>2753.9118207189167</v>
      </c>
      <c r="P12">
        <f>'2021H'!J13</f>
        <v>3367.4725592501927</v>
      </c>
      <c r="R12" s="3">
        <v>40</v>
      </c>
      <c r="S12">
        <f>'2019H'!M13</f>
        <v>9.0833478589066381</v>
      </c>
      <c r="T12">
        <f>'2021H'!M13</f>
        <v>8.2244322656285593</v>
      </c>
    </row>
    <row r="13" spans="2:20" ht="15.75" thickBot="1" x14ac:dyDescent="0.3">
      <c r="B13" s="3">
        <v>45</v>
      </c>
      <c r="C13" s="3">
        <f>'2019H'!E14</f>
        <v>6.6899400000000001E-3</v>
      </c>
      <c r="D13" s="3">
        <f>'2021H'!E14</f>
        <v>8.5380395000000005E-3</v>
      </c>
      <c r="F13" s="3">
        <v>45</v>
      </c>
      <c r="G13">
        <f>'2019H'!G14</f>
        <v>3.2899461442296801E-2</v>
      </c>
      <c r="H13">
        <f>'2021H'!G14</f>
        <v>4.1798014747657299E-2</v>
      </c>
      <c r="J13" s="3">
        <v>45</v>
      </c>
      <c r="K13">
        <f>'2019H'!I14</f>
        <v>86077.887276368376</v>
      </c>
      <c r="L13">
        <f>'2021H'!I14</f>
        <v>84091.343765356229</v>
      </c>
      <c r="N13" s="3">
        <v>45</v>
      </c>
      <c r="O13">
        <f>'2019H'!J14</f>
        <v>2831.9161334832606</v>
      </c>
      <c r="P13">
        <f>'2021H'!J14</f>
        <v>3514.8512268546765</v>
      </c>
      <c r="R13" s="3">
        <v>45</v>
      </c>
      <c r="S13">
        <f>'2019H'!M14</f>
        <v>8.2939125005590775</v>
      </c>
      <c r="T13">
        <f>'2021H'!M14</f>
        <v>7.4536100585957605</v>
      </c>
    </row>
    <row r="14" spans="2:20" ht="15.75" thickBot="1" x14ac:dyDescent="0.3">
      <c r="B14" s="3">
        <v>50</v>
      </c>
      <c r="C14" s="3">
        <f>'2019H'!E15</f>
        <v>8.2330699000000007E-3</v>
      </c>
      <c r="D14" s="3">
        <f>'2021H'!E15</f>
        <v>1.333842E-2</v>
      </c>
      <c r="F14" s="3">
        <v>50</v>
      </c>
      <c r="G14">
        <f>'2019H'!G15</f>
        <v>4.0335144342993859E-2</v>
      </c>
      <c r="H14">
        <f>'2021H'!G15</f>
        <v>6.4539947677740683E-2</v>
      </c>
      <c r="J14" s="3">
        <v>50</v>
      </c>
      <c r="K14">
        <f>'2019H'!I15</f>
        <v>83245.971142885115</v>
      </c>
      <c r="L14">
        <f>'2021H'!I15</f>
        <v>80576.492538501552</v>
      </c>
      <c r="N14" s="3">
        <v>50</v>
      </c>
      <c r="O14">
        <f>'2019H'!J15</f>
        <v>3357.7382620209828</v>
      </c>
      <c r="P14">
        <f>'2021H'!J15</f>
        <v>5200.4026124907541</v>
      </c>
      <c r="R14" s="3">
        <v>50</v>
      </c>
      <c r="S14">
        <f>'2019H'!M15</f>
        <v>7.4909535592569121</v>
      </c>
      <c r="T14">
        <f>'2021H'!M15</f>
        <v>6.6696309083925893</v>
      </c>
    </row>
    <row r="15" spans="2:20" ht="15.75" thickBot="1" x14ac:dyDescent="0.3">
      <c r="B15" s="3">
        <v>55</v>
      </c>
      <c r="C15" s="3">
        <f>'2019H'!E16</f>
        <v>1.23024311E-2</v>
      </c>
      <c r="D15" s="3">
        <f>'2021H'!E16</f>
        <v>1.7802124999999999E-2</v>
      </c>
      <c r="F15" s="3">
        <v>55</v>
      </c>
      <c r="G15">
        <f>'2019H'!G16</f>
        <v>5.9676733252228449E-2</v>
      </c>
      <c r="H15">
        <f>'2021H'!G16</f>
        <v>8.521797250313172E-2</v>
      </c>
      <c r="J15" s="3">
        <v>55</v>
      </c>
      <c r="K15">
        <f>'2019H'!I16</f>
        <v>79888.232880864132</v>
      </c>
      <c r="L15">
        <f>'2021H'!I16</f>
        <v>75376.089926010798</v>
      </c>
      <c r="N15" s="3">
        <v>55</v>
      </c>
      <c r="O15">
        <f>'2019H'!J16</f>
        <v>4767.4687636232411</v>
      </c>
      <c r="P15">
        <f>'2021H'!J16</f>
        <v>6423.3975587083696</v>
      </c>
      <c r="R15" s="3">
        <v>55</v>
      </c>
      <c r="S15">
        <f>'2019H'!M16</f>
        <v>6.7006629886151838</v>
      </c>
      <c r="T15">
        <f>'2021H'!M16</f>
        <v>5.9572388154942564</v>
      </c>
    </row>
    <row r="16" spans="2:20" ht="15.75" thickBot="1" x14ac:dyDescent="0.3">
      <c r="B16" s="3">
        <v>60</v>
      </c>
      <c r="C16" s="3">
        <f>'2019H'!E17</f>
        <v>1.6714044099999999E-2</v>
      </c>
      <c r="D16" s="3">
        <f>'2021H'!E17</f>
        <v>2.52204018E-2</v>
      </c>
      <c r="F16" s="3">
        <v>60</v>
      </c>
      <c r="G16">
        <f>'2019H'!G17</f>
        <v>8.0218290391907615E-2</v>
      </c>
      <c r="H16">
        <f>'2021H'!G17</f>
        <v>0.11862272691168883</v>
      </c>
      <c r="J16" s="3">
        <v>60</v>
      </c>
      <c r="K16">
        <f>'2019H'!I17</f>
        <v>75120.764117240891</v>
      </c>
      <c r="L16">
        <f>'2021H'!I17</f>
        <v>68952.692367302428</v>
      </c>
      <c r="N16" s="3">
        <v>60</v>
      </c>
      <c r="O16">
        <f>'2019H'!J17</f>
        <v>6026.0592704188311</v>
      </c>
      <c r="P16">
        <f>'2021H'!J17</f>
        <v>8179.3563965122084</v>
      </c>
      <c r="R16" s="3">
        <v>60</v>
      </c>
      <c r="S16">
        <f>'2019H'!M17</f>
        <v>5.967187561681075</v>
      </c>
      <c r="T16">
        <f>'2021H'!M17</f>
        <v>5.2792308741806551</v>
      </c>
    </row>
    <row r="17" spans="2:20" ht="15.75" thickBot="1" x14ac:dyDescent="0.3">
      <c r="B17" s="3">
        <v>65</v>
      </c>
      <c r="C17" s="3">
        <f>'2019H'!E18</f>
        <v>1.88719283E-2</v>
      </c>
      <c r="D17" s="3">
        <f>'2021H'!E18</f>
        <v>3.8756841600000001E-2</v>
      </c>
      <c r="F17" s="3">
        <v>65</v>
      </c>
      <c r="G17">
        <f>'2019H'!G18</f>
        <v>9.0108345892703265E-2</v>
      </c>
      <c r="H17">
        <f>'2021H'!G18</f>
        <v>0.17666660858742039</v>
      </c>
      <c r="J17" s="3">
        <v>65</v>
      </c>
      <c r="K17">
        <f>'2019H'!I18</f>
        <v>69094.70484682206</v>
      </c>
      <c r="L17">
        <f>'2021H'!I18</f>
        <v>60773.33597079022</v>
      </c>
      <c r="N17" s="3">
        <v>65</v>
      </c>
      <c r="O17">
        <f>'2019H'!J18</f>
        <v>6226.0095636916813</v>
      </c>
      <c r="P17">
        <f>'2021H'!J18</f>
        <v>10736.619158503396</v>
      </c>
      <c r="R17" s="3">
        <v>65</v>
      </c>
      <c r="S17">
        <f>'2019H'!M18</f>
        <v>5.269504183405668</v>
      </c>
      <c r="T17">
        <f>'2021H'!M18</f>
        <v>4.6531994817133615</v>
      </c>
    </row>
    <row r="18" spans="2:20" ht="15.75" thickBot="1" x14ac:dyDescent="0.3">
      <c r="B18" s="3">
        <v>70</v>
      </c>
      <c r="C18" s="3">
        <f>'2019H'!E19</f>
        <v>2.8894305200000001E-2</v>
      </c>
      <c r="D18" s="3">
        <f>'2021H'!E19</f>
        <v>5.1458596600000003E-2</v>
      </c>
      <c r="F18" s="3">
        <v>70</v>
      </c>
      <c r="G18">
        <f>'2019H'!G19</f>
        <v>0.1347385817423066</v>
      </c>
      <c r="H18">
        <f>'2021H'!G19</f>
        <v>0.22796596182924475</v>
      </c>
      <c r="J18" s="3">
        <v>70</v>
      </c>
      <c r="K18">
        <f>'2019H'!I19</f>
        <v>62868.695283130379</v>
      </c>
      <c r="L18">
        <f>'2021H'!I19</f>
        <v>50036.716812286824</v>
      </c>
      <c r="N18" s="3">
        <v>70</v>
      </c>
      <c r="O18">
        <f>'2019H'!J19</f>
        <v>8470.838838438227</v>
      </c>
      <c r="P18">
        <f>'2021H'!J19</f>
        <v>11406.668274890508</v>
      </c>
      <c r="R18" s="3">
        <v>70</v>
      </c>
      <c r="S18">
        <f>'2019H'!M19</f>
        <v>4.5436940557250525</v>
      </c>
      <c r="T18">
        <f>'2021H'!M19</f>
        <v>4.115121931464655</v>
      </c>
    </row>
    <row r="19" spans="2:20" ht="15.75" thickBot="1" x14ac:dyDescent="0.3">
      <c r="B19" s="3">
        <v>75</v>
      </c>
      <c r="C19" s="3">
        <f>'2019H'!E20</f>
        <v>4.7994042799999997E-2</v>
      </c>
      <c r="D19" s="3">
        <f>'2021H'!E20</f>
        <v>7.2032236299999997E-2</v>
      </c>
      <c r="F19" s="3">
        <v>75</v>
      </c>
      <c r="G19">
        <f>'2019H'!G20</f>
        <v>0.21426196875312556</v>
      </c>
      <c r="H19">
        <f>'2021H'!G20</f>
        <v>0.30520049590096182</v>
      </c>
      <c r="J19" s="3">
        <v>75</v>
      </c>
      <c r="K19">
        <f>'2019H'!I20</f>
        <v>54397.856444692152</v>
      </c>
      <c r="L19">
        <f>'2021H'!I20</f>
        <v>38630.048537396317</v>
      </c>
      <c r="N19" s="3">
        <v>75</v>
      </c>
      <c r="O19">
        <f>'2019H'!J20</f>
        <v>11655.391817789641</v>
      </c>
      <c r="P19">
        <f>'2021H'!J20</f>
        <v>11789.909970291577</v>
      </c>
      <c r="R19" s="3">
        <v>75</v>
      </c>
      <c r="S19">
        <f>'2019H'!M20</f>
        <v>3.8618463527501636</v>
      </c>
      <c r="T19">
        <f>'2021H'!M20</f>
        <v>3.591905181630334</v>
      </c>
    </row>
    <row r="20" spans="2:20" ht="15.75" thickBot="1" x14ac:dyDescent="0.3">
      <c r="B20" s="3">
        <v>80</v>
      </c>
      <c r="C20" s="3">
        <f>'2019H'!E21</f>
        <v>6.1665683700000001E-2</v>
      </c>
      <c r="D20" s="3">
        <f>'2021H'!E21</f>
        <v>0.1092359193</v>
      </c>
      <c r="F20" s="3">
        <v>80</v>
      </c>
      <c r="G20">
        <f>'2019H'!G21</f>
        <v>0.2671443248966785</v>
      </c>
      <c r="H20">
        <f>'2021H'!G21</f>
        <v>0.42901890915376362</v>
      </c>
      <c r="J20" s="3">
        <v>80</v>
      </c>
      <c r="K20">
        <f>'2019H'!I21</f>
        <v>42742.464626902511</v>
      </c>
      <c r="L20">
        <f>'2021H'!I21</f>
        <v>26840.138567104739</v>
      </c>
      <c r="N20" s="3">
        <v>80</v>
      </c>
      <c r="O20">
        <f>'2019H'!J21</f>
        <v>11418.406857174032</v>
      </c>
      <c r="P20">
        <f>'2021H'!J21</f>
        <v>11514.926969595135</v>
      </c>
      <c r="R20" s="3">
        <v>80</v>
      </c>
      <c r="S20">
        <f>'2019H'!M21</f>
        <v>3.2330896344710673</v>
      </c>
      <c r="T20">
        <f>'2021H'!M21</f>
        <v>3.0713536671641641</v>
      </c>
    </row>
    <row r="21" spans="2:20" ht="15.75" thickBot="1" x14ac:dyDescent="0.3">
      <c r="B21" s="3" t="s">
        <v>19</v>
      </c>
      <c r="C21" s="3">
        <f>'2019H'!E22</f>
        <v>0.1453537651</v>
      </c>
      <c r="D21" s="3">
        <f>'2021H'!E22</f>
        <v>0.20385815970000001</v>
      </c>
      <c r="F21" s="3" t="s">
        <v>19</v>
      </c>
      <c r="G21">
        <f>'2019H'!G22</f>
        <v>0.53306229607985522</v>
      </c>
      <c r="H21">
        <f>'2021H'!G22</f>
        <v>0.67518557603420593</v>
      </c>
      <c r="J21" s="3" t="s">
        <v>19</v>
      </c>
      <c r="K21">
        <f>'2019H'!I22</f>
        <v>31324.057769728479</v>
      </c>
      <c r="L21">
        <f>'2021H'!I22</f>
        <v>15325.211597509604</v>
      </c>
      <c r="N21" s="3" t="s">
        <v>19</v>
      </c>
      <c r="O21">
        <f>'2019H'!J22</f>
        <v>31324.057769728479</v>
      </c>
      <c r="P21">
        <f>'2021H'!J22</f>
        <v>15325.211597509604</v>
      </c>
      <c r="R21" s="3" t="s">
        <v>19</v>
      </c>
      <c r="S21">
        <f>'2019H'!M22</f>
        <v>2.5001596217206838</v>
      </c>
      <c r="T21">
        <f>'2021H'!M22</f>
        <v>2.5003262597692819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B18D-B8DE-48E3-9D11-2FC3AC713DCB}">
  <dimension ref="B2:T21"/>
  <sheetViews>
    <sheetView zoomScale="80" zoomScaleNormal="80" workbookViewId="0">
      <selection activeCell="V18" sqref="V18"/>
    </sheetView>
  </sheetViews>
  <sheetFormatPr baseColWidth="10" defaultRowHeight="15" x14ac:dyDescent="0.25"/>
  <sheetData>
    <row r="2" spans="2:20" x14ac:dyDescent="0.25">
      <c r="B2" s="1" t="s">
        <v>0</v>
      </c>
      <c r="C2" s="1" t="s">
        <v>20</v>
      </c>
      <c r="D2" s="1" t="s">
        <v>21</v>
      </c>
      <c r="F2" s="1" t="s">
        <v>0</v>
      </c>
      <c r="G2" s="1" t="s">
        <v>22</v>
      </c>
      <c r="H2" s="1" t="s">
        <v>23</v>
      </c>
      <c r="J2" s="1" t="s">
        <v>0</v>
      </c>
      <c r="K2" s="1" t="s">
        <v>24</v>
      </c>
      <c r="L2" s="1" t="s">
        <v>25</v>
      </c>
      <c r="N2" s="1" t="s">
        <v>0</v>
      </c>
      <c r="O2" s="1" t="s">
        <v>26</v>
      </c>
      <c r="P2" s="1" t="s">
        <v>27</v>
      </c>
      <c r="R2" s="1" t="s">
        <v>0</v>
      </c>
      <c r="S2" s="1" t="s">
        <v>28</v>
      </c>
      <c r="T2" s="1" t="s">
        <v>29</v>
      </c>
    </row>
    <row r="3" spans="2:20" ht="15.75" thickBot="1" x14ac:dyDescent="0.3">
      <c r="B3" s="3">
        <v>0</v>
      </c>
      <c r="C3" s="3">
        <f>'2010F'!E4</f>
        <v>1.1874603100000001E-2</v>
      </c>
      <c r="D3" s="3">
        <f>'2019F'!E4</f>
        <v>7.3501790999999997E-3</v>
      </c>
      <c r="F3" s="3">
        <v>0</v>
      </c>
      <c r="G3">
        <f>'2010F'!G4</f>
        <v>1.174714154209793E-2</v>
      </c>
      <c r="H3">
        <f>'2019F'!G4</f>
        <v>7.3004676660766233E-3</v>
      </c>
      <c r="J3" s="3">
        <v>0</v>
      </c>
      <c r="K3">
        <f>'2010F'!I4</f>
        <v>100000</v>
      </c>
      <c r="L3">
        <f>'2019F'!I4</f>
        <v>100000</v>
      </c>
      <c r="N3" s="3">
        <v>0</v>
      </c>
      <c r="O3">
        <f>'2010F'!J4</f>
        <v>1174.7141542097816</v>
      </c>
      <c r="P3">
        <f>'2019F'!J4</f>
        <v>730.04676660765836</v>
      </c>
      <c r="R3" s="3">
        <v>0</v>
      </c>
      <c r="S3">
        <f>'2010F'!M4</f>
        <v>18.415686443321157</v>
      </c>
      <c r="T3">
        <f>'2019F'!M4</f>
        <v>18.47863515685151</v>
      </c>
    </row>
    <row r="4" spans="2:20" ht="15.75" thickBot="1" x14ac:dyDescent="0.3">
      <c r="B4" s="3">
        <v>1</v>
      </c>
      <c r="C4" s="3">
        <f>'2010F'!E5</f>
        <v>5.7191920000000001E-4</v>
      </c>
      <c r="D4" s="3">
        <f>'2019F'!E5</f>
        <v>7.9531329999999996E-4</v>
      </c>
      <c r="F4" s="3">
        <v>1</v>
      </c>
      <c r="G4">
        <f>'2010F'!G5</f>
        <v>2.28441573944097E-3</v>
      </c>
      <c r="H4">
        <f>'2019F'!G5</f>
        <v>3.1749678427707897E-3</v>
      </c>
      <c r="J4" s="3">
        <v>1</v>
      </c>
      <c r="K4">
        <f>'2010F'!I5</f>
        <v>98825.285845790218</v>
      </c>
      <c r="L4">
        <f>'2019F'!I5</f>
        <v>99269.953233392342</v>
      </c>
      <c r="N4" s="3">
        <v>1</v>
      </c>
      <c r="O4">
        <f>'2010F'!J5</f>
        <v>225.75803844087932</v>
      </c>
      <c r="P4">
        <f>'2019F'!J5</f>
        <v>315.1789092693798</v>
      </c>
      <c r="R4" s="3">
        <v>1</v>
      </c>
      <c r="S4">
        <f>'2010F'!M5</f>
        <v>17.633554264798939</v>
      </c>
      <c r="T4">
        <f>'2019F'!M5</f>
        <v>17.613978734669089</v>
      </c>
    </row>
    <row r="5" spans="2:20" ht="15.75" thickBot="1" x14ac:dyDescent="0.3">
      <c r="B5" s="3">
        <v>5</v>
      </c>
      <c r="C5" s="3">
        <f>'2010F'!E6</f>
        <v>2.123948E-4</v>
      </c>
      <c r="D5" s="3">
        <f>'2019F'!E6</f>
        <v>2.7169789999999998E-4</v>
      </c>
      <c r="F5" s="3">
        <v>5</v>
      </c>
      <c r="G5">
        <f>'2010F'!G6</f>
        <v>1.0614104048733473E-3</v>
      </c>
      <c r="H5">
        <f>'2019F'!G6</f>
        <v>1.3575673794847137E-3</v>
      </c>
      <c r="J5" s="3">
        <v>5</v>
      </c>
      <c r="K5">
        <f>'2010F'!I6</f>
        <v>98599.527807349339</v>
      </c>
      <c r="L5">
        <f>'2019F'!I6</f>
        <v>98954.774324122962</v>
      </c>
      <c r="N5" s="3">
        <v>5</v>
      </c>
      <c r="O5">
        <f>'2010F'!J6</f>
        <v>104.65456473032827</v>
      </c>
      <c r="P5">
        <f>'2019F'!J6</f>
        <v>134.33777366670256</v>
      </c>
      <c r="R5" s="3">
        <v>5</v>
      </c>
      <c r="S5">
        <f>'2010F'!M6</f>
        <v>16.670444728706475</v>
      </c>
      <c r="T5">
        <f>'2019F'!M6</f>
        <v>16.665228095516511</v>
      </c>
    </row>
    <row r="6" spans="2:20" ht="15.75" thickBot="1" x14ac:dyDescent="0.3">
      <c r="B6" s="3">
        <v>10</v>
      </c>
      <c r="C6" s="3">
        <f>'2010F'!E7</f>
        <v>2.064693E-4</v>
      </c>
      <c r="D6" s="3">
        <f>'2019F'!E7</f>
        <v>1.6777520000000001E-4</v>
      </c>
      <c r="F6" s="3">
        <v>10</v>
      </c>
      <c r="G6">
        <f>'2010F'!G7</f>
        <v>1.031813905263125E-3</v>
      </c>
      <c r="H6">
        <f>'2019F'!G7</f>
        <v>8.3852429104841139E-4</v>
      </c>
      <c r="J6" s="3">
        <v>10</v>
      </c>
      <c r="K6">
        <f>'2010F'!I7</f>
        <v>98494.873242619011</v>
      </c>
      <c r="L6">
        <f>'2019F'!I7</f>
        <v>98820.436550456259</v>
      </c>
      <c r="N6" s="3">
        <v>10</v>
      </c>
      <c r="O6">
        <f>'2010F'!J7</f>
        <v>101.62837980885524</v>
      </c>
      <c r="P6">
        <f>'2019F'!J7</f>
        <v>82.863336499562138</v>
      </c>
      <c r="R6" s="3">
        <v>10</v>
      </c>
      <c r="S6">
        <f>'2010F'!M7</f>
        <v>15.685450603392736</v>
      </c>
      <c r="T6">
        <f>'2019F'!M7</f>
        <v>15.684433892131906</v>
      </c>
    </row>
    <row r="7" spans="2:20" ht="15.75" thickBot="1" x14ac:dyDescent="0.3">
      <c r="B7" s="3">
        <v>15</v>
      </c>
      <c r="C7" s="3">
        <f>'2010F'!E8</f>
        <v>3.5399850000000002E-4</v>
      </c>
      <c r="D7" s="3">
        <f>'2019F'!E8</f>
        <v>4.6535450000000003E-4</v>
      </c>
      <c r="F7" s="3">
        <v>15</v>
      </c>
      <c r="G7">
        <f>'2010F'!G8</f>
        <v>1.7684274483398224E-3</v>
      </c>
      <c r="H7">
        <f>'2019F'!G8</f>
        <v>2.3240687104182441E-3</v>
      </c>
      <c r="J7" s="3">
        <v>15</v>
      </c>
      <c r="K7">
        <f>'2010F'!I8</f>
        <v>98393.244862810156</v>
      </c>
      <c r="L7">
        <f>'2019F'!I8</f>
        <v>98737.573213956697</v>
      </c>
      <c r="N7" s="3">
        <v>15</v>
      </c>
      <c r="O7">
        <f>'2010F'!J8</f>
        <v>174.00131494661036</v>
      </c>
      <c r="P7">
        <f>'2019F'!J8</f>
        <v>229.47290444918326</v>
      </c>
      <c r="R7" s="3">
        <v>15</v>
      </c>
      <c r="S7">
        <f>'2010F'!M8</f>
        <v>14.699018770432394</v>
      </c>
      <c r="T7">
        <f>'2019F'!M8</f>
        <v>14.69544799898871</v>
      </c>
    </row>
    <row r="8" spans="2:20" ht="15.75" thickBot="1" x14ac:dyDescent="0.3">
      <c r="B8" s="3">
        <v>20</v>
      </c>
      <c r="C8" s="3">
        <f>'2010F'!E9</f>
        <v>4.4262270000000001E-4</v>
      </c>
      <c r="D8" s="3">
        <f>'2019F'!E9</f>
        <v>1.1073519E-3</v>
      </c>
      <c r="F8" s="3">
        <v>20</v>
      </c>
      <c r="G8">
        <f>'2010F'!G9</f>
        <v>2.21066727120904E-3</v>
      </c>
      <c r="H8">
        <f>'2019F'!G9</f>
        <v>5.5214739632898765E-3</v>
      </c>
      <c r="J8" s="3">
        <v>20</v>
      </c>
      <c r="K8">
        <f>'2010F'!I9</f>
        <v>98219.243547863545</v>
      </c>
      <c r="L8">
        <f>'2019F'!I9</f>
        <v>98508.100309507514</v>
      </c>
      <c r="N8" s="3">
        <v>20</v>
      </c>
      <c r="O8">
        <f>'2010F'!J9</f>
        <v>217.13006711416529</v>
      </c>
      <c r="P8">
        <f>'2019F'!J9</f>
        <v>543.90991103208216</v>
      </c>
      <c r="R8" s="3">
        <v>20</v>
      </c>
      <c r="S8">
        <f>'2010F'!M9</f>
        <v>13.720579161559632</v>
      </c>
      <c r="T8">
        <f>'2019F'!M9</f>
        <v>13.723806325508152</v>
      </c>
    </row>
    <row r="9" spans="2:20" ht="15.75" thickBot="1" x14ac:dyDescent="0.3">
      <c r="B9" s="3">
        <v>25</v>
      </c>
      <c r="C9" s="3">
        <f>'2010F'!E10</f>
        <v>7.174503E-4</v>
      </c>
      <c r="D9" s="3">
        <f>'2019F'!E10</f>
        <v>1.228264E-3</v>
      </c>
      <c r="F9" s="3">
        <v>25</v>
      </c>
      <c r="G9">
        <f>'2010F'!G10</f>
        <v>3.5808288331984333E-3</v>
      </c>
      <c r="H9">
        <f>'2019F'!G10</f>
        <v>6.1225198232794488E-3</v>
      </c>
      <c r="J9" s="3">
        <v>25</v>
      </c>
      <c r="K9">
        <f>'2010F'!I10</f>
        <v>98002.11348074938</v>
      </c>
      <c r="L9">
        <f>'2019F'!I10</f>
        <v>97964.190398475432</v>
      </c>
      <c r="N9" s="3">
        <v>25</v>
      </c>
      <c r="O9">
        <f>'2010F'!J10</f>
        <v>350.92879366625857</v>
      </c>
      <c r="P9">
        <f>'2019F'!J10</f>
        <v>599.78769768618804</v>
      </c>
      <c r="R9" s="3">
        <v>25</v>
      </c>
      <c r="S9">
        <f>'2010F'!M10</f>
        <v>12.745388066388884</v>
      </c>
      <c r="T9">
        <f>'2019F'!M10</f>
        <v>12.786071317186614</v>
      </c>
    </row>
    <row r="10" spans="2:20" ht="15.75" thickBot="1" x14ac:dyDescent="0.3">
      <c r="B10" s="3">
        <v>30</v>
      </c>
      <c r="C10" s="3">
        <f>'2010F'!E11</f>
        <v>9.9251440000000003E-4</v>
      </c>
      <c r="D10" s="3">
        <f>'2019F'!E11</f>
        <v>1.0174171999999999E-3</v>
      </c>
      <c r="F10" s="3">
        <v>30</v>
      </c>
      <c r="G10">
        <f>'2010F'!G11</f>
        <v>4.9502889174132675E-3</v>
      </c>
      <c r="H10">
        <f>'2019F'!G11</f>
        <v>5.0741796059824594E-3</v>
      </c>
      <c r="J10" s="3">
        <v>30</v>
      </c>
      <c r="K10">
        <f>'2010F'!I11</f>
        <v>97651.184687083121</v>
      </c>
      <c r="L10">
        <f>'2019F'!I11</f>
        <v>97364.402700789244</v>
      </c>
      <c r="N10" s="3">
        <v>30</v>
      </c>
      <c r="O10">
        <f>'2010F'!J11</f>
        <v>483.40157732873922</v>
      </c>
      <c r="P10">
        <f>'2019F'!J11</f>
        <v>494.04446653299965</v>
      </c>
      <c r="R10" s="3">
        <v>30</v>
      </c>
      <c r="S10">
        <f>'2010F'!M11</f>
        <v>11.782155686631135</v>
      </c>
      <c r="T10">
        <f>'2019F'!M11</f>
        <v>11.849384590442297</v>
      </c>
    </row>
    <row r="11" spans="2:20" ht="15.75" thickBot="1" x14ac:dyDescent="0.3">
      <c r="B11" s="3">
        <v>35</v>
      </c>
      <c r="C11" s="3">
        <f>'2010F'!E12</f>
        <v>8.3175320000000003E-4</v>
      </c>
      <c r="D11" s="3">
        <f>'2019F'!E12</f>
        <v>1.1175648E-3</v>
      </c>
      <c r="F11" s="3">
        <v>35</v>
      </c>
      <c r="G11">
        <f>'2010F'!G12</f>
        <v>4.1501362771775539E-3</v>
      </c>
      <c r="H11">
        <f>'2019F'!G12</f>
        <v>5.5722556081892125E-3</v>
      </c>
      <c r="J11" s="3">
        <v>35</v>
      </c>
      <c r="K11">
        <f>'2010F'!I12</f>
        <v>97167.783109754382</v>
      </c>
      <c r="L11">
        <f>'2019F'!I12</f>
        <v>96870.358234256244</v>
      </c>
      <c r="N11" s="3">
        <v>35</v>
      </c>
      <c r="O11">
        <f>'2010F'!J12</f>
        <v>403.25954165670555</v>
      </c>
      <c r="P11">
        <f>'2019F'!J12</f>
        <v>539.78639693812875</v>
      </c>
      <c r="R11" s="3">
        <v>35</v>
      </c>
      <c r="S11">
        <f>'2010F'!M12</f>
        <v>10.828282175848921</v>
      </c>
      <c r="T11">
        <f>'2019F'!M12</f>
        <v>10.897015380773835</v>
      </c>
    </row>
    <row r="12" spans="2:20" ht="15.75" thickBot="1" x14ac:dyDescent="0.3">
      <c r="B12" s="3">
        <v>40</v>
      </c>
      <c r="C12" s="3">
        <f>'2010F'!E13</f>
        <v>1.4231538E-3</v>
      </c>
      <c r="D12" s="3">
        <f>'2019F'!E13</f>
        <v>1.6911074E-3</v>
      </c>
      <c r="F12" s="3">
        <v>40</v>
      </c>
      <c r="G12">
        <f>'2010F'!G13</f>
        <v>7.0905416716896914E-3</v>
      </c>
      <c r="H12">
        <f>'2019F'!G13</f>
        <v>8.4199394452414995E-3</v>
      </c>
      <c r="J12" s="3">
        <v>40</v>
      </c>
      <c r="K12">
        <f>'2010F'!I13</f>
        <v>96764.523568097677</v>
      </c>
      <c r="L12">
        <f>'2019F'!I13</f>
        <v>96330.571837318115</v>
      </c>
      <c r="N12" s="3">
        <v>40</v>
      </c>
      <c r="O12">
        <f>'2010F'!J13</f>
        <v>686.11288670079375</v>
      </c>
      <c r="P12">
        <f>'2019F'!J13</f>
        <v>811.09758159570629</v>
      </c>
      <c r="R12" s="3">
        <v>40</v>
      </c>
      <c r="S12">
        <f>'2010F'!M13</f>
        <v>9.8629380510536446</v>
      </c>
      <c r="T12">
        <f>'2019F'!M13</f>
        <v>9.9440159808021225</v>
      </c>
    </row>
    <row r="13" spans="2:20" ht="15.75" thickBot="1" x14ac:dyDescent="0.3">
      <c r="B13" s="3">
        <v>45</v>
      </c>
      <c r="C13" s="3">
        <f>'2010F'!E14</f>
        <v>2.3246449000000001E-3</v>
      </c>
      <c r="D13" s="3">
        <f>'2019F'!E14</f>
        <v>3.1425110000000002E-3</v>
      </c>
      <c r="F13" s="3">
        <v>45</v>
      </c>
      <c r="G13">
        <f>'2010F'!G14</f>
        <v>1.1556065130326795E-2</v>
      </c>
      <c r="H13">
        <f>'2019F'!G14</f>
        <v>1.5590075044206887E-2</v>
      </c>
      <c r="J13" s="3">
        <v>45</v>
      </c>
      <c r="K13">
        <f>'2010F'!I14</f>
        <v>96078.410681396883</v>
      </c>
      <c r="L13">
        <f>'2019F'!I14</f>
        <v>95519.474255722409</v>
      </c>
      <c r="N13" s="3">
        <v>45</v>
      </c>
      <c r="O13">
        <f>'2010F'!J14</f>
        <v>1110.2883714525087</v>
      </c>
      <c r="P13">
        <f>'2019F'!J14</f>
        <v>1489.1557718299009</v>
      </c>
      <c r="R13" s="3">
        <v>45</v>
      </c>
      <c r="S13">
        <f>'2010F'!M14</f>
        <v>8.9154660502681935</v>
      </c>
      <c r="T13">
        <f>'2019F'!M14</f>
        <v>9.007174026911521</v>
      </c>
    </row>
    <row r="14" spans="2:20" ht="15.75" thickBot="1" x14ac:dyDescent="0.3">
      <c r="B14" s="3">
        <v>50</v>
      </c>
      <c r="C14" s="3">
        <f>'2010F'!E15</f>
        <v>3.1791096E-3</v>
      </c>
      <c r="D14" s="3">
        <f>'2019F'!E15</f>
        <v>3.8021215000000001E-3</v>
      </c>
      <c r="F14" s="3">
        <v>50</v>
      </c>
      <c r="G14">
        <f>'2010F'!G15</f>
        <v>1.5770209935500091E-2</v>
      </c>
      <c r="H14">
        <f>'2019F'!G15</f>
        <v>1.8831607352018331E-2</v>
      </c>
      <c r="J14" s="3">
        <v>50</v>
      </c>
      <c r="K14">
        <f>'2010F'!I15</f>
        <v>94968.122309944374</v>
      </c>
      <c r="L14">
        <f>'2019F'!I15</f>
        <v>94030.318483892508</v>
      </c>
      <c r="N14" s="3">
        <v>50</v>
      </c>
      <c r="O14">
        <f>'2010F'!J15</f>
        <v>1497.6672260080668</v>
      </c>
      <c r="P14">
        <f>'2019F'!J15</f>
        <v>1770.7420368738967</v>
      </c>
      <c r="R14" s="3">
        <v>50</v>
      </c>
      <c r="S14">
        <f>'2010F'!M15</f>
        <v>7.9904176990944213</v>
      </c>
      <c r="T14">
        <f>'2019F'!M15</f>
        <v>8.1101748027956937</v>
      </c>
    </row>
    <row r="15" spans="2:20" ht="15.75" thickBot="1" x14ac:dyDescent="0.3">
      <c r="B15" s="3">
        <v>55</v>
      </c>
      <c r="C15" s="3">
        <f>'2010F'!E16</f>
        <v>6.1064669000000004E-3</v>
      </c>
      <c r="D15" s="3">
        <f>'2019F'!E16</f>
        <v>5.2727768999999997E-3</v>
      </c>
      <c r="F15" s="3">
        <v>55</v>
      </c>
      <c r="G15">
        <f>'2010F'!G16</f>
        <v>3.0073231517899771E-2</v>
      </c>
      <c r="H15">
        <f>'2019F'!G16</f>
        <v>2.6020878778645642E-2</v>
      </c>
      <c r="J15" s="3">
        <v>55</v>
      </c>
      <c r="K15">
        <f>'2010F'!I16</f>
        <v>93470.455083936307</v>
      </c>
      <c r="L15">
        <f>'2019F'!I16</f>
        <v>92259.576447018611</v>
      </c>
      <c r="N15" s="3">
        <v>55</v>
      </c>
      <c r="O15">
        <f>'2010F'!J16</f>
        <v>2810.9586358226661</v>
      </c>
      <c r="P15">
        <f>'2019F'!J16</f>
        <v>2400.675254897069</v>
      </c>
      <c r="R15" s="3">
        <v>55</v>
      </c>
      <c r="S15">
        <f>'2010F'!M16</f>
        <v>7.0783365889473568</v>
      </c>
      <c r="T15">
        <f>'2019F'!M16</f>
        <v>7.2177969352604245</v>
      </c>
    </row>
    <row r="16" spans="2:20" ht="15.75" thickBot="1" x14ac:dyDescent="0.3">
      <c r="B16" s="3">
        <v>60</v>
      </c>
      <c r="C16" s="3">
        <f>'2010F'!E17</f>
        <v>9.1398039E-3</v>
      </c>
      <c r="D16" s="3">
        <f>'2019F'!E17</f>
        <v>8.9812276000000007E-3</v>
      </c>
      <c r="F16" s="3">
        <v>60</v>
      </c>
      <c r="G16">
        <f>'2010F'!G17</f>
        <v>4.4678145772558013E-2</v>
      </c>
      <c r="H16">
        <f>'2019F'!G17</f>
        <v>4.3919999226878947E-2</v>
      </c>
      <c r="J16" s="3">
        <v>60</v>
      </c>
      <c r="K16">
        <f>'2010F'!I17</f>
        <v>90659.496448113641</v>
      </c>
      <c r="L16">
        <f>'2019F'!I17</f>
        <v>89858.901192121542</v>
      </c>
      <c r="N16" s="3">
        <v>60</v>
      </c>
      <c r="O16">
        <f>'2010F'!J17</f>
        <v>4050.4981979755248</v>
      </c>
      <c r="P16">
        <f>'2019F'!J17</f>
        <v>3946.6028708861704</v>
      </c>
      <c r="R16" s="3">
        <v>60</v>
      </c>
      <c r="S16">
        <f>'2010F'!M17</f>
        <v>6.2202358413854855</v>
      </c>
      <c r="T16">
        <f>'2019F'!M17</f>
        <v>6.3437822100625771</v>
      </c>
    </row>
    <row r="17" spans="2:20" ht="15.75" thickBot="1" x14ac:dyDescent="0.3">
      <c r="B17" s="3">
        <v>65</v>
      </c>
      <c r="C17" s="3">
        <f>'2010F'!E18</f>
        <v>1.60175423E-2</v>
      </c>
      <c r="D17" s="3">
        <f>'2019F'!E18</f>
        <v>1.42548611E-2</v>
      </c>
      <c r="F17" s="3">
        <v>65</v>
      </c>
      <c r="G17">
        <f>'2010F'!G18</f>
        <v>7.7004167715838165E-2</v>
      </c>
      <c r="H17">
        <f>'2019F'!G18</f>
        <v>6.8821696200006291E-2</v>
      </c>
      <c r="J17" s="3">
        <v>65</v>
      </c>
      <c r="K17">
        <f>'2010F'!I18</f>
        <v>86608.998250138116</v>
      </c>
      <c r="L17">
        <f>'2019F'!I18</f>
        <v>85912.298321235372</v>
      </c>
      <c r="N17" s="3">
        <v>65</v>
      </c>
      <c r="O17">
        <f>'2010F'!J18</f>
        <v>6669.2538269543729</v>
      </c>
      <c r="P17">
        <f>'2019F'!J18</f>
        <v>5912.6300949083816</v>
      </c>
      <c r="R17" s="3">
        <v>65</v>
      </c>
      <c r="S17">
        <f>'2010F'!M18</f>
        <v>5.3941647503432995</v>
      </c>
      <c r="T17">
        <f>'2019F'!M18</f>
        <v>5.5202980547276921</v>
      </c>
    </row>
    <row r="18" spans="2:20" ht="15.75" thickBot="1" x14ac:dyDescent="0.3">
      <c r="B18" s="3">
        <v>70</v>
      </c>
      <c r="C18" s="3">
        <f>'2010F'!E19</f>
        <v>2.42948425E-2</v>
      </c>
      <c r="D18" s="3">
        <f>'2019F'!E19</f>
        <v>1.8977682900000001E-2</v>
      </c>
      <c r="F18" s="3">
        <v>70</v>
      </c>
      <c r="G18">
        <f>'2010F'!G19</f>
        <v>0.11451867930730268</v>
      </c>
      <c r="H18">
        <f>'2019F'!G19</f>
        <v>9.0590423664782732E-2</v>
      </c>
      <c r="J18" s="3">
        <v>70</v>
      </c>
      <c r="K18">
        <f>'2010F'!I19</f>
        <v>79939.744423183743</v>
      </c>
      <c r="L18">
        <f>'2019F'!I19</f>
        <v>79999.66822632699</v>
      </c>
      <c r="N18" s="3">
        <v>70</v>
      </c>
      <c r="O18">
        <f>'2010F'!J19</f>
        <v>9154.5939555063087</v>
      </c>
      <c r="P18">
        <f>'2019F'!J19</f>
        <v>7247.2038376650162</v>
      </c>
      <c r="R18" s="3">
        <v>70</v>
      </c>
      <c r="S18">
        <f>'2010F'!M19</f>
        <v>4.6355580582191642</v>
      </c>
      <c r="T18">
        <f>'2019F'!M19</f>
        <v>4.7434602948943452</v>
      </c>
    </row>
    <row r="19" spans="2:20" ht="15.75" thickBot="1" x14ac:dyDescent="0.3">
      <c r="B19" s="3">
        <v>75</v>
      </c>
      <c r="C19" s="3">
        <f>'2010F'!E20</f>
        <v>4.2307762300000003E-2</v>
      </c>
      <c r="D19" s="3">
        <f>'2019F'!E20</f>
        <v>3.5676568899999997E-2</v>
      </c>
      <c r="F19" s="3">
        <v>75</v>
      </c>
      <c r="G19">
        <f>'2010F'!G20</f>
        <v>0.19130463404033277</v>
      </c>
      <c r="H19">
        <f>'2019F'!G20</f>
        <v>0.16377547679498353</v>
      </c>
      <c r="J19" s="3">
        <v>75</v>
      </c>
      <c r="K19">
        <f>'2010F'!I20</f>
        <v>70785.150467677435</v>
      </c>
      <c r="L19">
        <f>'2019F'!I20</f>
        <v>72752.464388661974</v>
      </c>
      <c r="N19" s="3">
        <v>75</v>
      </c>
      <c r="O19">
        <f>'2010F'!J20</f>
        <v>13541.527305708929</v>
      </c>
      <c r="P19">
        <f>'2019F'!J20</f>
        <v>11915.069543263169</v>
      </c>
      <c r="R19" s="3">
        <v>75</v>
      </c>
      <c r="S19">
        <f>'2010F'!M20</f>
        <v>3.9116776505668671</v>
      </c>
      <c r="T19">
        <f>'2019F'!M20</f>
        <v>3.9668728513676959</v>
      </c>
    </row>
    <row r="20" spans="2:20" ht="15.75" thickBot="1" x14ac:dyDescent="0.3">
      <c r="B20" s="3">
        <v>80</v>
      </c>
      <c r="C20" s="3">
        <f>'2010F'!E21</f>
        <v>5.8357772099999997E-2</v>
      </c>
      <c r="D20" s="3">
        <f>'2019F'!E21</f>
        <v>5.61224653E-2</v>
      </c>
      <c r="F20" s="3">
        <v>80</v>
      </c>
      <c r="G20">
        <f>'2010F'!G21</f>
        <v>0.25463851886978833</v>
      </c>
      <c r="H20">
        <f>'2019F'!G21</f>
        <v>0.24608507394209247</v>
      </c>
      <c r="J20" s="3">
        <v>80</v>
      </c>
      <c r="K20">
        <f>'2010F'!I21</f>
        <v>57243.623161968506</v>
      </c>
      <c r="L20">
        <f>'2019F'!I21</f>
        <v>60837.394845398805</v>
      </c>
      <c r="N20" s="3">
        <v>80</v>
      </c>
      <c r="O20">
        <f>'2010F'!J21</f>
        <v>14576.43141670397</v>
      </c>
      <c r="P20">
        <f>'2019F'!J21</f>
        <v>14971.17480897424</v>
      </c>
      <c r="R20" s="3">
        <v>80</v>
      </c>
      <c r="S20">
        <f>'2010F'!M21</f>
        <v>3.2455361730775003</v>
      </c>
      <c r="T20">
        <f>'2019F'!M21</f>
        <v>3.254079298645284</v>
      </c>
    </row>
    <row r="21" spans="2:20" ht="15.75" thickBot="1" x14ac:dyDescent="0.3">
      <c r="B21" s="3" t="s">
        <v>19</v>
      </c>
      <c r="C21" s="3">
        <f>'2010F'!E22</f>
        <v>0.13140791239999999</v>
      </c>
      <c r="D21" s="3">
        <f>'2019F'!E22</f>
        <v>0.1301120274</v>
      </c>
      <c r="F21" s="3" t="s">
        <v>19</v>
      </c>
      <c r="G21">
        <f>'2010F'!G22</f>
        <v>0.49456513286195475</v>
      </c>
      <c r="H21">
        <f>'2019F'!G22</f>
        <v>0.49088502307012549</v>
      </c>
      <c r="J21" s="3" t="s">
        <v>19</v>
      </c>
      <c r="K21">
        <f>'2010F'!I22</f>
        <v>42667.191745264536</v>
      </c>
      <c r="L21">
        <f>'2019F'!I22</f>
        <v>45866.220036424565</v>
      </c>
      <c r="N21" s="3" t="s">
        <v>19</v>
      </c>
      <c r="O21">
        <f>'2010F'!J22</f>
        <v>42667.191745264536</v>
      </c>
      <c r="P21">
        <f>'2019F'!J22</f>
        <v>45866.220036424565</v>
      </c>
      <c r="R21" s="3" t="s">
        <v>19</v>
      </c>
      <c r="S21">
        <f>'2010F'!M22</f>
        <v>2.5001171860578464</v>
      </c>
      <c r="T21">
        <f>'2019F'!M22</f>
        <v>2.5001090126894265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7D44-892A-4825-A77C-3B4360CA7DF6}">
  <dimension ref="B2:T22"/>
  <sheetViews>
    <sheetView zoomScale="80" zoomScaleNormal="80" workbookViewId="0">
      <selection activeCell="V31" sqref="V31"/>
    </sheetView>
  </sheetViews>
  <sheetFormatPr baseColWidth="10" defaultRowHeight="15" x14ac:dyDescent="0.25"/>
  <sheetData>
    <row r="2" spans="2:20" x14ac:dyDescent="0.25">
      <c r="B2" s="1" t="s">
        <v>0</v>
      </c>
      <c r="C2" s="1" t="s">
        <v>30</v>
      </c>
      <c r="D2" s="1" t="s">
        <v>31</v>
      </c>
      <c r="F2" s="1" t="s">
        <v>0</v>
      </c>
      <c r="G2" s="1" t="s">
        <v>23</v>
      </c>
      <c r="H2" s="1" t="s">
        <v>32</v>
      </c>
      <c r="J2" s="1" t="s">
        <v>0</v>
      </c>
      <c r="K2" s="1" t="s">
        <v>25</v>
      </c>
      <c r="L2" s="1" t="s">
        <v>33</v>
      </c>
      <c r="N2" s="1" t="s">
        <v>0</v>
      </c>
      <c r="O2" s="1" t="s">
        <v>27</v>
      </c>
      <c r="P2" s="1" t="s">
        <v>34</v>
      </c>
      <c r="R2" s="1" t="s">
        <v>0</v>
      </c>
      <c r="S2" s="1" t="s">
        <v>29</v>
      </c>
      <c r="T2" s="1" t="s">
        <v>35</v>
      </c>
    </row>
    <row r="3" spans="2:20" ht="15.75" thickBot="1" x14ac:dyDescent="0.3">
      <c r="B3" s="3">
        <v>0</v>
      </c>
      <c r="C3" s="3">
        <f>'2019F'!E4</f>
        <v>7.3501790999999997E-3</v>
      </c>
      <c r="D3" s="3">
        <f>'2021F'!E4</f>
        <v>7.9528659999999994E-3</v>
      </c>
      <c r="F3" s="3">
        <v>0</v>
      </c>
      <c r="G3">
        <f>'2019F'!G4</f>
        <v>7.3004676660766233E-3</v>
      </c>
      <c r="H3">
        <f>'2021F'!G4</f>
        <v>7.8948054730222598E-3</v>
      </c>
      <c r="J3" s="3">
        <v>0</v>
      </c>
      <c r="K3">
        <f>'2019F'!I4</f>
        <v>100000</v>
      </c>
      <c r="L3">
        <f>'2021F'!I4</f>
        <v>100000</v>
      </c>
      <c r="N3" s="3">
        <v>0</v>
      </c>
      <c r="O3">
        <f>'2019F'!J4</f>
        <v>730.04676660765836</v>
      </c>
      <c r="P3">
        <f>'2021F'!J4</f>
        <v>789.48054730222793</v>
      </c>
      <c r="R3" s="3">
        <v>0</v>
      </c>
      <c r="S3">
        <f>'2019F'!M4</f>
        <v>18.47863515685151</v>
      </c>
      <c r="T3">
        <f>'2021F'!M4</f>
        <v>17.760193718971337</v>
      </c>
    </row>
    <row r="4" spans="2:20" ht="15.75" thickBot="1" x14ac:dyDescent="0.3">
      <c r="B4" s="3">
        <v>1</v>
      </c>
      <c r="C4" s="3">
        <f>'2019F'!E5</f>
        <v>7.9531329999999996E-4</v>
      </c>
      <c r="D4" s="3">
        <f>'2021F'!E5</f>
        <v>2.3794619999999999E-4</v>
      </c>
      <c r="F4" s="3">
        <v>1</v>
      </c>
      <c r="G4">
        <f>'2019F'!G5</f>
        <v>3.1749678427707897E-3</v>
      </c>
      <c r="H4">
        <f>'2021F'!G5</f>
        <v>9.5122119832251654E-4</v>
      </c>
      <c r="J4" s="3">
        <v>1</v>
      </c>
      <c r="K4">
        <f>'2019F'!I5</f>
        <v>99269.953233392342</v>
      </c>
      <c r="L4">
        <f>'2021F'!I5</f>
        <v>99210.519452697772</v>
      </c>
      <c r="N4" s="3">
        <v>1</v>
      </c>
      <c r="O4">
        <f>'2019F'!J5</f>
        <v>315.1789092693798</v>
      </c>
      <c r="P4">
        <f>'2021F'!J5</f>
        <v>94.371149199985666</v>
      </c>
      <c r="R4" s="3">
        <v>1</v>
      </c>
      <c r="S4">
        <f>'2019F'!M5</f>
        <v>17.613978734669089</v>
      </c>
      <c r="T4">
        <f>'2021F'!M5</f>
        <v>16.900913724199107</v>
      </c>
    </row>
    <row r="5" spans="2:20" ht="15.75" thickBot="1" x14ac:dyDescent="0.3">
      <c r="B5" s="3">
        <v>5</v>
      </c>
      <c r="C5" s="3">
        <f>'2019F'!E6</f>
        <v>2.7169789999999998E-4</v>
      </c>
      <c r="D5" s="3">
        <f>'2021F'!E6</f>
        <v>3.3982869999999999E-4</v>
      </c>
      <c r="F5" s="3">
        <v>5</v>
      </c>
      <c r="G5">
        <f>'2019F'!G6</f>
        <v>1.3575673794847137E-3</v>
      </c>
      <c r="H5">
        <f>'2021F'!G6</f>
        <v>1.6977011810366497E-3</v>
      </c>
      <c r="J5" s="3">
        <v>5</v>
      </c>
      <c r="K5">
        <f>'2019F'!I6</f>
        <v>98954.774324122962</v>
      </c>
      <c r="L5">
        <f>'2021F'!I6</f>
        <v>99116.148303497786</v>
      </c>
      <c r="N5" s="3">
        <v>5</v>
      </c>
      <c r="O5">
        <f>'2019F'!J6</f>
        <v>134.33777366670256</v>
      </c>
      <c r="P5">
        <f>'2021F'!J6</f>
        <v>168.26960203464841</v>
      </c>
      <c r="R5" s="3">
        <v>5</v>
      </c>
      <c r="S5">
        <f>'2019F'!M6</f>
        <v>16.665228095516511</v>
      </c>
      <c r="T5">
        <f>'2021F'!M6</f>
        <v>15.915527539177072</v>
      </c>
    </row>
    <row r="6" spans="2:20" ht="15.75" thickBot="1" x14ac:dyDescent="0.3">
      <c r="B6" s="3">
        <v>10</v>
      </c>
      <c r="C6" s="3">
        <f>'2019F'!E7</f>
        <v>1.6777520000000001E-4</v>
      </c>
      <c r="D6" s="3">
        <f>'2021F'!E7</f>
        <v>3.3290460000000001E-4</v>
      </c>
      <c r="F6" s="3">
        <v>10</v>
      </c>
      <c r="G6">
        <f>'2019F'!G7</f>
        <v>8.3852429104841139E-4</v>
      </c>
      <c r="H6">
        <f>'2021F'!G7</f>
        <v>1.6631388335796567E-3</v>
      </c>
      <c r="J6" s="3">
        <v>10</v>
      </c>
      <c r="K6">
        <f>'2019F'!I7</f>
        <v>98820.436550456259</v>
      </c>
      <c r="L6">
        <f>'2021F'!I7</f>
        <v>98947.878701463138</v>
      </c>
      <c r="N6" s="3">
        <v>10</v>
      </c>
      <c r="O6">
        <f>'2019F'!J7</f>
        <v>82.863336499562138</v>
      </c>
      <c r="P6">
        <f>'2021F'!J7</f>
        <v>164.56405956872914</v>
      </c>
      <c r="R6" s="3">
        <v>10</v>
      </c>
      <c r="S6">
        <f>'2019F'!M7</f>
        <v>15.684433892131906</v>
      </c>
      <c r="T6">
        <f>'2021F'!M7</f>
        <v>14.938291296315294</v>
      </c>
    </row>
    <row r="7" spans="2:20" ht="15.75" thickBot="1" x14ac:dyDescent="0.3">
      <c r="B7" s="3">
        <v>15</v>
      </c>
      <c r="C7" s="3">
        <f>'2019F'!E8</f>
        <v>4.6535450000000003E-4</v>
      </c>
      <c r="D7" s="3">
        <f>'2021F'!E8</f>
        <v>6.0130790000000002E-4</v>
      </c>
      <c r="F7" s="3">
        <v>15</v>
      </c>
      <c r="G7">
        <f>'2019F'!G8</f>
        <v>2.3240687104182441E-3</v>
      </c>
      <c r="H7">
        <f>'2021F'!G8</f>
        <v>3.0020266441571448E-3</v>
      </c>
      <c r="J7" s="3">
        <v>15</v>
      </c>
      <c r="K7">
        <f>'2019F'!I8</f>
        <v>98737.573213956697</v>
      </c>
      <c r="L7">
        <f>'2021F'!I8</f>
        <v>98783.314641894409</v>
      </c>
      <c r="N7" s="3">
        <v>15</v>
      </c>
      <c r="O7">
        <f>'2019F'!J8</f>
        <v>229.47290444918326</v>
      </c>
      <c r="P7">
        <f>'2021F'!J8</f>
        <v>296.55014255312562</v>
      </c>
      <c r="R7" s="3">
        <v>15</v>
      </c>
      <c r="S7">
        <f>'2019F'!M8</f>
        <v>14.69544799898871</v>
      </c>
      <c r="T7">
        <f>'2021F'!M8</f>
        <v>13.958961747769797</v>
      </c>
    </row>
    <row r="8" spans="2:20" ht="15.75" thickBot="1" x14ac:dyDescent="0.3">
      <c r="B8" s="3">
        <v>20</v>
      </c>
      <c r="C8" s="3">
        <f>'2019F'!E9</f>
        <v>1.1073519E-3</v>
      </c>
      <c r="D8" s="3">
        <f>'2021F'!E9</f>
        <v>6.7493900000000005E-4</v>
      </c>
      <c r="F8" s="3">
        <v>20</v>
      </c>
      <c r="G8">
        <f>'2019F'!G9</f>
        <v>5.5214739632898765E-3</v>
      </c>
      <c r="H8">
        <f>'2021F'!G9</f>
        <v>3.3690103088778408E-3</v>
      </c>
      <c r="J8" s="3">
        <v>20</v>
      </c>
      <c r="K8">
        <f>'2019F'!I9</f>
        <v>98508.100309507514</v>
      </c>
      <c r="L8">
        <f>'2021F'!I9</f>
        <v>98486.764499341283</v>
      </c>
      <c r="N8" s="3">
        <v>20</v>
      </c>
      <c r="O8">
        <f>'2019F'!J9</f>
        <v>543.90991103208216</v>
      </c>
      <c r="P8">
        <f>'2021F'!J9</f>
        <v>331.80292488630221</v>
      </c>
      <c r="R8" s="3">
        <v>20</v>
      </c>
      <c r="S8">
        <f>'2019F'!M9</f>
        <v>13.723806325508152</v>
      </c>
      <c r="T8">
        <f>'2021F'!M9</f>
        <v>12.99341466900303</v>
      </c>
    </row>
    <row r="9" spans="2:20" ht="15.75" thickBot="1" x14ac:dyDescent="0.3">
      <c r="B9" s="3">
        <v>25</v>
      </c>
      <c r="C9" s="3">
        <f>'2019F'!E10</f>
        <v>1.228264E-3</v>
      </c>
      <c r="D9" s="3">
        <f>'2021F'!E10</f>
        <v>1.1738889E-3</v>
      </c>
      <c r="F9" s="3">
        <v>25</v>
      </c>
      <c r="G9">
        <f>'2019F'!G10</f>
        <v>6.1225198232794488E-3</v>
      </c>
      <c r="H9">
        <f>'2021F'!G10</f>
        <v>5.8522697138577396E-3</v>
      </c>
      <c r="J9" s="3">
        <v>25</v>
      </c>
      <c r="K9">
        <f>'2019F'!I10</f>
        <v>97964.190398475432</v>
      </c>
      <c r="L9">
        <f>'2021F'!I10</f>
        <v>98154.961574454981</v>
      </c>
      <c r="N9" s="3">
        <v>25</v>
      </c>
      <c r="O9">
        <f>'2019F'!J10</f>
        <v>599.78769768618804</v>
      </c>
      <c r="P9">
        <f>'2021F'!J10</f>
        <v>574.42930888706178</v>
      </c>
      <c r="R9" s="3">
        <v>25</v>
      </c>
      <c r="S9">
        <f>'2019F'!M10</f>
        <v>12.786071317186614</v>
      </c>
      <c r="T9">
        <f>'2021F'!M10</f>
        <v>12.028835656627614</v>
      </c>
    </row>
    <row r="10" spans="2:20" ht="15.75" thickBot="1" x14ac:dyDescent="0.3">
      <c r="B10" s="3">
        <v>30</v>
      </c>
      <c r="C10" s="3">
        <f>'2019F'!E11</f>
        <v>1.0174171999999999E-3</v>
      </c>
      <c r="D10" s="3">
        <f>'2021F'!E11</f>
        <v>1.5490714000000001E-3</v>
      </c>
      <c r="F10" s="3">
        <v>30</v>
      </c>
      <c r="G10">
        <f>'2019F'!G11</f>
        <v>5.0741796059824594E-3</v>
      </c>
      <c r="H10">
        <f>'2021F'!G11</f>
        <v>7.7154774364147612E-3</v>
      </c>
      <c r="J10" s="3">
        <v>30</v>
      </c>
      <c r="K10">
        <f>'2019F'!I11</f>
        <v>97364.402700789244</v>
      </c>
      <c r="L10">
        <f>'2021F'!I11</f>
        <v>97580.532265567919</v>
      </c>
      <c r="N10" s="3">
        <v>30</v>
      </c>
      <c r="O10">
        <f>'2019F'!J11</f>
        <v>494.04446653299965</v>
      </c>
      <c r="P10">
        <f>'2021F'!J11</f>
        <v>752.88039492833195</v>
      </c>
      <c r="R10" s="3">
        <v>30</v>
      </c>
      <c r="S10">
        <f>'2019F'!M11</f>
        <v>11.849384590442297</v>
      </c>
      <c r="T10">
        <f>'2021F'!M11</f>
        <v>11.084878008045129</v>
      </c>
    </row>
    <row r="11" spans="2:20" ht="15.75" thickBot="1" x14ac:dyDescent="0.3">
      <c r="B11" s="3">
        <v>35</v>
      </c>
      <c r="C11" s="3">
        <f>'2019F'!E12</f>
        <v>1.1175648E-3</v>
      </c>
      <c r="D11" s="3">
        <f>'2021F'!E12</f>
        <v>2.0782685E-3</v>
      </c>
      <c r="F11" s="3">
        <v>35</v>
      </c>
      <c r="G11">
        <f>'2019F'!G12</f>
        <v>5.5722556081892125E-3</v>
      </c>
      <c r="H11">
        <f>'2021F'!G12</f>
        <v>1.0337631564885234E-2</v>
      </c>
      <c r="J11" s="3">
        <v>35</v>
      </c>
      <c r="K11">
        <f>'2019F'!I12</f>
        <v>96870.358234256244</v>
      </c>
      <c r="L11">
        <f>'2021F'!I12</f>
        <v>96827.651870639587</v>
      </c>
      <c r="N11" s="3">
        <v>35</v>
      </c>
      <c r="O11">
        <f>'2019F'!J12</f>
        <v>539.78639693812875</v>
      </c>
      <c r="P11">
        <f>'2021F'!J12</f>
        <v>1000.9685903316422</v>
      </c>
      <c r="R11" s="3">
        <v>35</v>
      </c>
      <c r="S11">
        <f>'2019F'!M12</f>
        <v>10.897015380773835</v>
      </c>
      <c r="T11">
        <f>'2021F'!M12</f>
        <v>10.15157782178983</v>
      </c>
    </row>
    <row r="12" spans="2:20" ht="15.75" thickBot="1" x14ac:dyDescent="0.3">
      <c r="B12" s="3">
        <v>40</v>
      </c>
      <c r="C12" s="3">
        <f>'2019F'!E13</f>
        <v>1.6911074E-3</v>
      </c>
      <c r="D12" s="3">
        <f>'2021F'!E13</f>
        <v>2.3904107000000002E-3</v>
      </c>
      <c r="F12" s="3">
        <v>40</v>
      </c>
      <c r="G12">
        <f>'2019F'!G13</f>
        <v>8.4199394452414995E-3</v>
      </c>
      <c r="H12">
        <f>'2021F'!G13</f>
        <v>1.1881052015338199E-2</v>
      </c>
      <c r="J12" s="3">
        <v>40</v>
      </c>
      <c r="K12">
        <f>'2019F'!I13</f>
        <v>96330.571837318115</v>
      </c>
      <c r="L12">
        <f>'2021F'!I13</f>
        <v>95826.683280307945</v>
      </c>
      <c r="N12" s="3">
        <v>40</v>
      </c>
      <c r="O12">
        <f>'2019F'!J13</f>
        <v>811.09758159570629</v>
      </c>
      <c r="P12">
        <f>'2021F'!J13</f>
        <v>1138.5218085106753</v>
      </c>
      <c r="R12" s="3">
        <v>40</v>
      </c>
      <c r="S12">
        <f>'2019F'!M13</f>
        <v>9.9440159808021225</v>
      </c>
      <c r="T12">
        <f>'2021F'!M13</f>
        <v>9.2314510763373221</v>
      </c>
    </row>
    <row r="13" spans="2:20" ht="15.75" thickBot="1" x14ac:dyDescent="0.3">
      <c r="B13" s="3">
        <v>45</v>
      </c>
      <c r="C13" s="3">
        <f>'2019F'!E14</f>
        <v>3.1425110000000002E-3</v>
      </c>
      <c r="D13" s="3">
        <f>'2021F'!E14</f>
        <v>4.5780038999999996E-3</v>
      </c>
      <c r="F13" s="3">
        <v>45</v>
      </c>
      <c r="G13">
        <f>'2019F'!G14</f>
        <v>1.5590075044206887E-2</v>
      </c>
      <c r="H13">
        <f>'2021F'!G14</f>
        <v>2.2631007399658582E-2</v>
      </c>
      <c r="J13" s="3">
        <v>45</v>
      </c>
      <c r="K13">
        <f>'2019F'!I14</f>
        <v>95519.474255722409</v>
      </c>
      <c r="L13">
        <f>'2021F'!I14</f>
        <v>94688.16147179727</v>
      </c>
      <c r="N13" s="3">
        <v>45</v>
      </c>
      <c r="O13">
        <f>'2019F'!J14</f>
        <v>1489.1557718299009</v>
      </c>
      <c r="P13">
        <f>'2021F'!J14</f>
        <v>2142.8884829283197</v>
      </c>
      <c r="R13" s="3">
        <v>45</v>
      </c>
      <c r="S13">
        <f>'2019F'!M14</f>
        <v>9.007174026911521</v>
      </c>
      <c r="T13">
        <f>'2021F'!M14</f>
        <v>8.3123366245862851</v>
      </c>
    </row>
    <row r="14" spans="2:20" ht="15.75" thickBot="1" x14ac:dyDescent="0.3">
      <c r="B14" s="3">
        <v>50</v>
      </c>
      <c r="C14" s="3">
        <f>'2019F'!E15</f>
        <v>3.8021215000000001E-3</v>
      </c>
      <c r="D14" s="3">
        <f>'2021F'!E15</f>
        <v>6.6330286999999998E-3</v>
      </c>
      <c r="F14" s="3">
        <v>50</v>
      </c>
      <c r="G14">
        <f>'2019F'!G15</f>
        <v>1.8831607352018331E-2</v>
      </c>
      <c r="H14">
        <f>'2021F'!G15</f>
        <v>3.2624151172400813E-2</v>
      </c>
      <c r="J14" s="3">
        <v>50</v>
      </c>
      <c r="K14">
        <f>'2019F'!I15</f>
        <v>94030.318483892508</v>
      </c>
      <c r="L14">
        <f>'2021F'!I15</f>
        <v>92545.27298886895</v>
      </c>
      <c r="N14" s="3">
        <v>50</v>
      </c>
      <c r="O14">
        <f>'2019F'!J15</f>
        <v>1770.7420368738967</v>
      </c>
      <c r="P14">
        <f>'2021F'!J15</f>
        <v>3019.2109762799664</v>
      </c>
      <c r="R14" s="3">
        <v>50</v>
      </c>
      <c r="S14">
        <f>'2019F'!M15</f>
        <v>8.1101748027956937</v>
      </c>
      <c r="T14">
        <f>'2021F'!M15</f>
        <v>7.4468674202675054</v>
      </c>
    </row>
    <row r="15" spans="2:20" ht="15.75" thickBot="1" x14ac:dyDescent="0.3">
      <c r="B15" s="3">
        <v>55</v>
      </c>
      <c r="C15" s="3">
        <f>'2019F'!E16</f>
        <v>5.2727768999999997E-3</v>
      </c>
      <c r="D15" s="3">
        <f>'2021F'!E16</f>
        <v>1.04413258E-2</v>
      </c>
      <c r="F15" s="3">
        <v>55</v>
      </c>
      <c r="G15">
        <f>'2019F'!G16</f>
        <v>2.6020878778645642E-2</v>
      </c>
      <c r="H15">
        <f>'2021F'!G16</f>
        <v>5.0878530711538791E-2</v>
      </c>
      <c r="J15" s="3">
        <v>55</v>
      </c>
      <c r="K15">
        <f>'2019F'!I16</f>
        <v>92259.576447018611</v>
      </c>
      <c r="L15">
        <f>'2021F'!I16</f>
        <v>89526.062012588984</v>
      </c>
      <c r="N15" s="3">
        <v>55</v>
      </c>
      <c r="O15">
        <f>'2019F'!J16</f>
        <v>2400.675254897069</v>
      </c>
      <c r="P15">
        <f>'2021F'!J16</f>
        <v>4554.9544955906313</v>
      </c>
      <c r="R15" s="3">
        <v>55</v>
      </c>
      <c r="S15">
        <f>'2019F'!M16</f>
        <v>7.2177969352604245</v>
      </c>
      <c r="T15">
        <f>'2021F'!M16</f>
        <v>6.6136416095686483</v>
      </c>
    </row>
    <row r="16" spans="2:20" ht="15.75" thickBot="1" x14ac:dyDescent="0.3">
      <c r="B16" s="3">
        <v>60</v>
      </c>
      <c r="C16" s="3">
        <f>'2019F'!E17</f>
        <v>8.9812276000000007E-3</v>
      </c>
      <c r="D16" s="3">
        <f>'2021F'!E17</f>
        <v>1.4107948E-2</v>
      </c>
      <c r="F16" s="3">
        <v>60</v>
      </c>
      <c r="G16">
        <f>'2019F'!G17</f>
        <v>4.3919999226878947E-2</v>
      </c>
      <c r="H16">
        <f>'2021F'!G17</f>
        <v>6.8136571964564172E-2</v>
      </c>
      <c r="J16" s="3">
        <v>60</v>
      </c>
      <c r="K16">
        <f>'2019F'!I17</f>
        <v>89858.901192121542</v>
      </c>
      <c r="L16">
        <f>'2021F'!I17</f>
        <v>84971.107516998352</v>
      </c>
      <c r="N16" s="3">
        <v>60</v>
      </c>
      <c r="O16">
        <f>'2019F'!J17</f>
        <v>3946.6028708861704</v>
      </c>
      <c r="P16">
        <f>'2021F'!J17</f>
        <v>5789.6399822406675</v>
      </c>
      <c r="R16" s="3">
        <v>60</v>
      </c>
      <c r="S16">
        <f>'2019F'!M17</f>
        <v>6.3437822100625771</v>
      </c>
      <c r="T16">
        <f>'2021F'!M17</f>
        <v>5.834098314090312</v>
      </c>
    </row>
    <row r="17" spans="2:20" ht="15.75" thickBot="1" x14ac:dyDescent="0.3">
      <c r="B17" s="3">
        <v>65</v>
      </c>
      <c r="C17" s="3">
        <f>'2019F'!E18</f>
        <v>1.42548611E-2</v>
      </c>
      <c r="D17" s="3">
        <f>'2021F'!E18</f>
        <v>2.3658148100000002E-2</v>
      </c>
      <c r="F17" s="3">
        <v>65</v>
      </c>
      <c r="G17">
        <f>'2019F'!G18</f>
        <v>6.8821696200006291E-2</v>
      </c>
      <c r="H17">
        <f>'2021F'!G18</f>
        <v>0.11168508480764895</v>
      </c>
      <c r="J17" s="3">
        <v>65</v>
      </c>
      <c r="K17">
        <f>'2019F'!I18</f>
        <v>85912.298321235372</v>
      </c>
      <c r="L17">
        <f>'2021F'!I18</f>
        <v>79181.467534757685</v>
      </c>
      <c r="N17" s="3">
        <v>65</v>
      </c>
      <c r="O17">
        <f>'2019F'!J18</f>
        <v>5912.6300949083816</v>
      </c>
      <c r="P17">
        <f>'2021F'!J18</f>
        <v>8843.3889168135065</v>
      </c>
      <c r="R17" s="3">
        <v>65</v>
      </c>
      <c r="S17">
        <f>'2019F'!M18</f>
        <v>5.5202980547276921</v>
      </c>
      <c r="T17">
        <f>'2021F'!M18</f>
        <v>5.0778198502629932</v>
      </c>
    </row>
    <row r="18" spans="2:20" ht="15.75" thickBot="1" x14ac:dyDescent="0.3">
      <c r="B18" s="3">
        <v>70</v>
      </c>
      <c r="C18" s="3">
        <f>'2019F'!E19</f>
        <v>1.8977682900000001E-2</v>
      </c>
      <c r="D18" s="3">
        <f>'2021F'!E19</f>
        <v>3.6582312300000003E-2</v>
      </c>
      <c r="F18" s="3">
        <v>70</v>
      </c>
      <c r="G18">
        <f>'2019F'!G19</f>
        <v>9.0590423664782732E-2</v>
      </c>
      <c r="H18">
        <f>'2021F'!G19</f>
        <v>0.16758494913491712</v>
      </c>
      <c r="J18" s="3">
        <v>70</v>
      </c>
      <c r="K18">
        <f>'2019F'!I19</f>
        <v>79999.66822632699</v>
      </c>
      <c r="L18">
        <f>'2021F'!I19</f>
        <v>70338.078617944178</v>
      </c>
      <c r="N18" s="3">
        <v>70</v>
      </c>
      <c r="O18">
        <f>'2019F'!J19</f>
        <v>7247.2038376650162</v>
      </c>
      <c r="P18">
        <f>'2021F'!J19</f>
        <v>11787.603327435972</v>
      </c>
      <c r="R18" s="3">
        <v>70</v>
      </c>
      <c r="S18">
        <f>'2019F'!M19</f>
        <v>4.7434602948943452</v>
      </c>
      <c r="T18">
        <f>'2021F'!M19</f>
        <v>4.4018500760124804</v>
      </c>
    </row>
    <row r="19" spans="2:20" ht="15.75" thickBot="1" x14ac:dyDescent="0.3">
      <c r="B19" s="3">
        <v>75</v>
      </c>
      <c r="C19" s="3">
        <f>'2019F'!E20</f>
        <v>3.5676568899999997E-2</v>
      </c>
      <c r="D19" s="3">
        <f>'2021F'!E20</f>
        <v>5.2377928999999997E-2</v>
      </c>
      <c r="F19" s="3">
        <v>75</v>
      </c>
      <c r="G19">
        <f>'2019F'!G20</f>
        <v>0.16377547679498353</v>
      </c>
      <c r="H19">
        <f>'2021F'!G20</f>
        <v>0.23156712846616351</v>
      </c>
      <c r="J19" s="3">
        <v>75</v>
      </c>
      <c r="K19">
        <f>'2019F'!I20</f>
        <v>72752.464388661974</v>
      </c>
      <c r="L19">
        <f>'2021F'!I20</f>
        <v>58550.475290508206</v>
      </c>
      <c r="N19" s="3">
        <v>75</v>
      </c>
      <c r="O19">
        <f>'2019F'!J20</f>
        <v>11915.069543263169</v>
      </c>
      <c r="P19">
        <f>'2021F'!J20</f>
        <v>13558.365433352046</v>
      </c>
      <c r="R19" s="3">
        <v>75</v>
      </c>
      <c r="S19">
        <f>'2019F'!M20</f>
        <v>3.9668728513676959</v>
      </c>
      <c r="T19">
        <f>'2021F'!M20</f>
        <v>3.7846523363371301</v>
      </c>
    </row>
    <row r="20" spans="2:20" ht="15.75" thickBot="1" x14ac:dyDescent="0.3">
      <c r="B20" s="3">
        <v>80</v>
      </c>
      <c r="C20" s="3">
        <f>'2019F'!E21</f>
        <v>5.61224653E-2</v>
      </c>
      <c r="D20" s="3">
        <f>'2021F'!E21</f>
        <v>7.8626706099999999E-2</v>
      </c>
      <c r="F20" s="3">
        <v>80</v>
      </c>
      <c r="G20">
        <f>'2019F'!G21</f>
        <v>0.24608507394209247</v>
      </c>
      <c r="H20">
        <f>'2021F'!G21</f>
        <v>0.32855127011476221</v>
      </c>
      <c r="J20" s="3">
        <v>80</v>
      </c>
      <c r="K20">
        <f>'2019F'!I21</f>
        <v>60837.394845398805</v>
      </c>
      <c r="L20">
        <f>'2021F'!I21</f>
        <v>44992.10985715616</v>
      </c>
      <c r="N20" s="3">
        <v>80</v>
      </c>
      <c r="O20">
        <f>'2019F'!J21</f>
        <v>14971.17480897424</v>
      </c>
      <c r="P20">
        <f>'2021F'!J21</f>
        <v>14782.214838711567</v>
      </c>
      <c r="R20" s="3">
        <v>80</v>
      </c>
      <c r="S20">
        <f>'2019F'!M21</f>
        <v>3.254079298645284</v>
      </c>
      <c r="T20">
        <f>'2021F'!M21</f>
        <v>3.1716709910779617</v>
      </c>
    </row>
    <row r="21" spans="2:20" ht="15.75" thickBot="1" x14ac:dyDescent="0.3">
      <c r="B21" s="3" t="s">
        <v>19</v>
      </c>
      <c r="C21" s="3">
        <f>'2019F'!E22</f>
        <v>0.1301120274</v>
      </c>
      <c r="D21" s="3">
        <f>'2021F'!E22</f>
        <v>0.1688311109</v>
      </c>
      <c r="F21" s="3" t="s">
        <v>19</v>
      </c>
      <c r="G21">
        <f>'2019F'!G22</f>
        <v>0.49088502307012549</v>
      </c>
      <c r="H21">
        <f>'2021F'!G22</f>
        <v>0.59360716270555869</v>
      </c>
      <c r="J21" s="3" t="s">
        <v>19</v>
      </c>
      <c r="K21">
        <f>'2019F'!I22</f>
        <v>45866.220036424565</v>
      </c>
      <c r="L21">
        <f>'2021F'!I22</f>
        <v>30209.895018444593</v>
      </c>
      <c r="N21" s="3" t="s">
        <v>19</v>
      </c>
      <c r="O21">
        <f>'2019F'!J22</f>
        <v>45866.220036424565</v>
      </c>
      <c r="P21">
        <f>'2021F'!J22</f>
        <v>30209.895018444593</v>
      </c>
      <c r="R21" s="3" t="s">
        <v>19</v>
      </c>
      <c r="S21">
        <f>'2019F'!M22</f>
        <v>2.5001090126894265</v>
      </c>
      <c r="T21">
        <f>'2021F'!M22</f>
        <v>2.5001655086850501</v>
      </c>
    </row>
    <row r="22" spans="2:20" ht="15.75" thickBot="1" x14ac:dyDescent="0.3">
      <c r="C22" s="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2CB6-42BA-4434-9D7F-8C7D94490D20}">
  <dimension ref="A1:M24"/>
  <sheetViews>
    <sheetView workbookViewId="0">
      <selection activeCell="N12" sqref="N12"/>
    </sheetView>
  </sheetViews>
  <sheetFormatPr baseColWidth="10" defaultRowHeight="15" x14ac:dyDescent="0.25"/>
  <cols>
    <col min="11" max="11" width="11.7109375" bestFit="1" customWidth="1"/>
  </cols>
  <sheetData>
    <row r="1" spans="1:12" x14ac:dyDescent="0.25">
      <c r="A1" t="s">
        <v>38</v>
      </c>
    </row>
    <row r="3" spans="1:12" x14ac:dyDescent="0.25">
      <c r="B3" s="2"/>
      <c r="C3" s="7">
        <v>2010</v>
      </c>
      <c r="D3" s="7"/>
      <c r="E3" s="7"/>
      <c r="F3" s="7"/>
      <c r="G3" s="7">
        <v>2019</v>
      </c>
      <c r="H3" s="7"/>
      <c r="I3" s="7"/>
      <c r="J3" s="7"/>
    </row>
    <row r="4" spans="1:12" x14ac:dyDescent="0.25">
      <c r="B4" s="1" t="s">
        <v>0</v>
      </c>
      <c r="C4" s="1" t="s">
        <v>8</v>
      </c>
      <c r="D4" s="1" t="s">
        <v>10</v>
      </c>
      <c r="E4" s="1" t="s">
        <v>11</v>
      </c>
      <c r="F4" s="1" t="s">
        <v>12</v>
      </c>
      <c r="G4" s="1" t="s">
        <v>8</v>
      </c>
      <c r="H4" s="1" t="s">
        <v>10</v>
      </c>
      <c r="I4" s="1" t="s">
        <v>11</v>
      </c>
      <c r="J4" s="1" t="s">
        <v>12</v>
      </c>
      <c r="K4" s="1" t="s">
        <v>36</v>
      </c>
      <c r="L4" s="1" t="s">
        <v>37</v>
      </c>
    </row>
    <row r="5" spans="1:12" ht="15.75" thickBot="1" x14ac:dyDescent="0.3">
      <c r="B5" s="3">
        <v>0</v>
      </c>
      <c r="C5" s="2">
        <v>100000</v>
      </c>
      <c r="D5" s="2">
        <v>98776.988923136916</v>
      </c>
      <c r="E5">
        <v>1734929.4314015741</v>
      </c>
      <c r="F5">
        <v>17.34929431401574</v>
      </c>
      <c r="G5" s="6">
        <v>100000</v>
      </c>
      <c r="H5">
        <v>99124.938665768306</v>
      </c>
      <c r="I5">
        <v>1694223.42039604</v>
      </c>
      <c r="J5">
        <v>16.942234203960435</v>
      </c>
      <c r="K5">
        <f>(C5/$C$5)*(H5/G5-D5/C5)+(I6/$C$5)*(C5/G5-C6/G6)</f>
        <v>6.7039754402276996E-2</v>
      </c>
      <c r="L5">
        <f>K5/$K$24</f>
        <v>-0.16469251775412111</v>
      </c>
    </row>
    <row r="6" spans="1:12" ht="15.75" thickBot="1" x14ac:dyDescent="0.3">
      <c r="B6" s="3">
        <v>1</v>
      </c>
      <c r="C6" s="2">
        <v>98653.189430543425</v>
      </c>
      <c r="D6" s="2">
        <v>98764.965927141355</v>
      </c>
      <c r="E6">
        <v>1636152.4424784372</v>
      </c>
      <c r="F6">
        <v>16.584891496390668</v>
      </c>
      <c r="G6" s="2">
        <v>99047.867752879058</v>
      </c>
      <c r="H6">
        <v>99152.262098794628</v>
      </c>
      <c r="I6">
        <v>1595098.4817302753</v>
      </c>
      <c r="J6">
        <v>16.104319233908093</v>
      </c>
      <c r="K6">
        <f t="shared" ref="K6:K23" si="0">(C6/$C$5)*(H6/G6-D6/C6)+(I7/$C$5)*(C6/G6-C7/G7)</f>
        <v>2.6352301708532518E-3</v>
      </c>
      <c r="L6">
        <f t="shared" ref="L6:L23" si="1">K6/$K$24</f>
        <v>-6.473810883840349E-3</v>
      </c>
    </row>
    <row r="7" spans="1:12" ht="15.75" thickBot="1" x14ac:dyDescent="0.3">
      <c r="B7" s="3">
        <v>5</v>
      </c>
      <c r="C7" s="2">
        <v>98438.196309794119</v>
      </c>
      <c r="D7" s="2">
        <v>98630.417807290563</v>
      </c>
      <c r="E7">
        <v>1537387.476551296</v>
      </c>
      <c r="F7">
        <v>15.61779404930374</v>
      </c>
      <c r="G7" s="2">
        <v>98850.014761413971</v>
      </c>
      <c r="H7">
        <v>98999.970262159375</v>
      </c>
      <c r="I7">
        <v>1495946.2196314808</v>
      </c>
      <c r="J7">
        <v>15.133495156698977</v>
      </c>
      <c r="K7">
        <f t="shared" si="0"/>
        <v>3.6139545610618671E-3</v>
      </c>
      <c r="L7">
        <f t="shared" si="1"/>
        <v>-8.8781840121128618E-3</v>
      </c>
    </row>
    <row r="8" spans="1:12" ht="15.75" thickBot="1" x14ac:dyDescent="0.3">
      <c r="B8" s="3">
        <v>10</v>
      </c>
      <c r="C8" s="2">
        <v>98313.381978129823</v>
      </c>
      <c r="D8" s="2">
        <v>98454.964542739937</v>
      </c>
      <c r="E8">
        <v>1438757.0587440054</v>
      </c>
      <c r="F8">
        <v>14.634396964027362</v>
      </c>
      <c r="G8" s="2">
        <v>98753.377760917036</v>
      </c>
      <c r="H8">
        <v>98925.61657945218</v>
      </c>
      <c r="I8">
        <v>1396946.2493693214</v>
      </c>
      <c r="J8">
        <v>14.145807273056958</v>
      </c>
      <c r="K8">
        <f t="shared" si="0"/>
        <v>-2.3250984807483815E-3</v>
      </c>
      <c r="L8">
        <f t="shared" si="1"/>
        <v>5.7119290820034207E-3</v>
      </c>
    </row>
    <row r="9" spans="1:12" ht="15.75" thickBot="1" x14ac:dyDescent="0.3">
      <c r="B9" s="3">
        <v>15</v>
      </c>
      <c r="C9" s="2">
        <v>98222.326935056408</v>
      </c>
      <c r="D9" s="2">
        <v>98976.151700060465</v>
      </c>
      <c r="E9">
        <v>1340302.0942012654</v>
      </c>
      <c r="F9">
        <v>13.645595009039639</v>
      </c>
      <c r="G9" s="2">
        <v>98641.885215226939</v>
      </c>
      <c r="H9">
        <v>99986.856732476561</v>
      </c>
      <c r="I9">
        <v>1298020.6327898693</v>
      </c>
      <c r="J9">
        <v>13.158919559958889</v>
      </c>
      <c r="K9">
        <f t="shared" si="0"/>
        <v>-4.1981783003993578E-2</v>
      </c>
      <c r="L9">
        <f t="shared" si="1"/>
        <v>0.10313411205605544</v>
      </c>
    </row>
    <row r="10" spans="1:12" ht="15.75" thickBot="1" x14ac:dyDescent="0.3">
      <c r="B10" s="3">
        <v>20</v>
      </c>
      <c r="C10" s="2">
        <v>97723.110425053703</v>
      </c>
      <c r="D10" s="2">
        <v>98838.965572155765</v>
      </c>
      <c r="E10">
        <v>1241325.9425012048</v>
      </c>
      <c r="F10">
        <v>12.702480888113039</v>
      </c>
      <c r="G10" s="2">
        <v>97748.570870393858</v>
      </c>
      <c r="H10">
        <v>100785.47357623241</v>
      </c>
      <c r="I10">
        <v>1198033.7760573928</v>
      </c>
      <c r="J10">
        <v>12.256279200704448</v>
      </c>
      <c r="K10">
        <f t="shared" si="0"/>
        <v>-0.12753367428359202</v>
      </c>
      <c r="L10">
        <f t="shared" si="1"/>
        <v>0.31330427898294005</v>
      </c>
    </row>
    <row r="11" spans="1:12" ht="15.75" thickBot="1" x14ac:dyDescent="0.3">
      <c r="B11" s="3">
        <v>25</v>
      </c>
      <c r="C11" s="2">
        <v>96982.540326985662</v>
      </c>
      <c r="D11" s="2">
        <v>98487.891336310888</v>
      </c>
      <c r="E11">
        <v>1142486.976929049</v>
      </c>
      <c r="F11">
        <v>11.780336677891173</v>
      </c>
      <c r="G11" s="2">
        <v>95727.302399834822</v>
      </c>
      <c r="H11">
        <v>99372.099015431391</v>
      </c>
      <c r="I11">
        <v>1097248.3024811605</v>
      </c>
      <c r="J11">
        <v>11.462229426440558</v>
      </c>
      <c r="K11">
        <f t="shared" si="0"/>
        <v>-0.13407686850072831</v>
      </c>
      <c r="L11">
        <f t="shared" si="1"/>
        <v>0.3293785492332168</v>
      </c>
    </row>
    <row r="12" spans="1:12" ht="15.75" thickBot="1" x14ac:dyDescent="0.3">
      <c r="B12" s="3">
        <v>30</v>
      </c>
      <c r="C12" s="2">
        <v>95982.306320768839</v>
      </c>
      <c r="D12" s="2">
        <v>97817.878279721772</v>
      </c>
      <c r="E12">
        <v>1043999.0855927381</v>
      </c>
      <c r="F12">
        <v>10.876995204759272</v>
      </c>
      <c r="G12" s="2">
        <v>93300.771322770437</v>
      </c>
      <c r="H12">
        <v>96799.165797303693</v>
      </c>
      <c r="I12">
        <v>997876.20346572914</v>
      </c>
      <c r="J12">
        <v>10.69526210039159</v>
      </c>
      <c r="K12">
        <f t="shared" si="0"/>
        <v>-9.8798077552677194E-2</v>
      </c>
      <c r="L12">
        <f t="shared" si="1"/>
        <v>0.24271127313176238</v>
      </c>
    </row>
    <row r="13" spans="1:12" ht="15.75" thickBot="1" x14ac:dyDescent="0.3">
      <c r="B13" s="3">
        <v>35</v>
      </c>
      <c r="C13" s="2">
        <v>94761.925014800217</v>
      </c>
      <c r="D13" s="2">
        <v>97217.363905392733</v>
      </c>
      <c r="E13">
        <v>946181.20731301629</v>
      </c>
      <c r="F13">
        <v>9.9848246768439832</v>
      </c>
      <c r="G13" s="2">
        <v>90971.841673081595</v>
      </c>
      <c r="H13">
        <v>94186.905537073049</v>
      </c>
      <c r="I13">
        <v>901077.03766842547</v>
      </c>
      <c r="J13">
        <v>9.9050103976849861</v>
      </c>
      <c r="K13">
        <f t="shared" si="0"/>
        <v>-4.5162474513784842E-2</v>
      </c>
      <c r="L13">
        <f t="shared" si="1"/>
        <v>0.11094792488423739</v>
      </c>
    </row>
    <row r="14" spans="1:12" ht="15.75" thickBot="1" x14ac:dyDescent="0.3">
      <c r="B14" s="3">
        <v>40</v>
      </c>
      <c r="C14" s="2">
        <v>93128.299087738545</v>
      </c>
      <c r="D14" s="2">
        <v>96101.339667367749</v>
      </c>
      <c r="E14">
        <v>848963.84340762359</v>
      </c>
      <c r="F14">
        <v>9.116067314917812</v>
      </c>
      <c r="G14" s="2">
        <v>88831.799097087292</v>
      </c>
      <c r="H14">
        <v>92967.666828165675</v>
      </c>
      <c r="I14">
        <v>806890.13213135244</v>
      </c>
      <c r="J14">
        <v>9.0833478589066381</v>
      </c>
      <c r="K14">
        <f t="shared" si="0"/>
        <v>-6.1714549277045345E-2</v>
      </c>
      <c r="L14">
        <f t="shared" si="1"/>
        <v>0.15161040778144849</v>
      </c>
    </row>
    <row r="15" spans="1:12" ht="15.75" thickBot="1" x14ac:dyDescent="0.3">
      <c r="B15" s="3">
        <v>45</v>
      </c>
      <c r="C15" s="2">
        <v>91149.605367985743</v>
      </c>
      <c r="D15" s="2">
        <v>94778.216083210995</v>
      </c>
      <c r="E15">
        <v>752862.50374025584</v>
      </c>
      <c r="F15">
        <v>8.2596353621151497</v>
      </c>
      <c r="G15" s="2">
        <v>86077.887276368376</v>
      </c>
      <c r="H15">
        <v>90330.761476593267</v>
      </c>
      <c r="I15">
        <v>713922.46530318679</v>
      </c>
      <c r="J15">
        <v>8.2939125005590775</v>
      </c>
      <c r="K15">
        <f t="shared" si="0"/>
        <v>-3.492625733771116E-2</v>
      </c>
      <c r="L15">
        <f t="shared" si="1"/>
        <v>8.5801228061787596E-2</v>
      </c>
    </row>
    <row r="16" spans="1:12" ht="15.75" thickBot="1" x14ac:dyDescent="0.3">
      <c r="B16" s="3">
        <v>50</v>
      </c>
      <c r="C16" s="2">
        <v>88733.864891168909</v>
      </c>
      <c r="D16" s="2">
        <v>93387.821018248913</v>
      </c>
      <c r="E16">
        <v>658084.28765704483</v>
      </c>
      <c r="F16">
        <v>7.4163825554558889</v>
      </c>
      <c r="G16" s="2">
        <v>83245.971142885115</v>
      </c>
      <c r="H16">
        <v>88287.578535916589</v>
      </c>
      <c r="I16">
        <v>623591.70382659347</v>
      </c>
      <c r="J16">
        <v>7.4909535592569121</v>
      </c>
      <c r="K16">
        <f t="shared" si="0"/>
        <v>-2.4948921272138234E-2</v>
      </c>
      <c r="L16">
        <f t="shared" si="1"/>
        <v>6.1290508836026367E-2</v>
      </c>
    </row>
    <row r="17" spans="2:13" ht="15.75" thickBot="1" x14ac:dyDescent="0.3">
      <c r="B17" s="3">
        <v>55</v>
      </c>
      <c r="C17" s="2">
        <v>85634.560806448906</v>
      </c>
      <c r="D17" s="2">
        <v>92114.279516427574</v>
      </c>
      <c r="E17">
        <v>564696.46663879592</v>
      </c>
      <c r="F17">
        <v>6.5942589221088195</v>
      </c>
      <c r="G17" s="2">
        <v>79888.232880864132</v>
      </c>
      <c r="H17">
        <v>87044.436026298994</v>
      </c>
      <c r="I17">
        <v>535304.12529067683</v>
      </c>
      <c r="J17">
        <v>6.7006629886151838</v>
      </c>
      <c r="K17">
        <f t="shared" si="0"/>
        <v>-3.5461928342236347E-2</v>
      </c>
      <c r="L17">
        <f t="shared" si="1"/>
        <v>8.7117178682575305E-2</v>
      </c>
    </row>
    <row r="18" spans="2:13" ht="15.75" thickBot="1" x14ac:dyDescent="0.3">
      <c r="B18" s="3">
        <v>60</v>
      </c>
      <c r="C18" s="2">
        <v>81318.081666463127</v>
      </c>
      <c r="D18" s="2">
        <v>91029.044739244331</v>
      </c>
      <c r="E18">
        <v>472582.18712236831</v>
      </c>
      <c r="F18">
        <v>5.8115265072376729</v>
      </c>
      <c r="G18" s="2">
        <v>75120.764117240891</v>
      </c>
      <c r="H18">
        <v>84164.853022869138</v>
      </c>
      <c r="I18">
        <v>448259.68926437787</v>
      </c>
      <c r="J18">
        <v>5.967187561681075</v>
      </c>
      <c r="K18">
        <f t="shared" si="0"/>
        <v>-1.9769546330984317E-3</v>
      </c>
      <c r="L18">
        <f t="shared" si="1"/>
        <v>4.856665107347064E-3</v>
      </c>
    </row>
    <row r="19" spans="2:13" ht="15.75" thickBot="1" x14ac:dyDescent="0.3">
      <c r="B19" s="3">
        <v>65</v>
      </c>
      <c r="C19" s="2">
        <v>74847.43961794232</v>
      </c>
      <c r="D19" s="2">
        <v>87724.896024771529</v>
      </c>
      <c r="E19">
        <v>381553.14238312398</v>
      </c>
      <c r="F19">
        <v>5.0977447502647584</v>
      </c>
      <c r="G19" s="2">
        <v>69094.70484682206</v>
      </c>
      <c r="H19">
        <v>78438.719192359582</v>
      </c>
      <c r="I19">
        <v>364094.83624150872</v>
      </c>
      <c r="J19">
        <v>5.269504183405668</v>
      </c>
      <c r="K19">
        <f t="shared" si="0"/>
        <v>5.5924694530874543E-2</v>
      </c>
      <c r="L19">
        <f t="shared" si="1"/>
        <v>-0.13738682113380513</v>
      </c>
    </row>
    <row r="20" spans="2:13" ht="15.75" thickBot="1" x14ac:dyDescent="0.3">
      <c r="B20" s="3">
        <v>70</v>
      </c>
      <c r="C20" s="2">
        <v>66265.802013389519</v>
      </c>
      <c r="D20" s="2">
        <v>81818.035754224344</v>
      </c>
      <c r="E20">
        <v>293828.24635835242</v>
      </c>
      <c r="F20">
        <v>4.434085718889845</v>
      </c>
      <c r="G20" s="2">
        <v>62868.695283130379</v>
      </c>
      <c r="H20">
        <v>75579.953540787712</v>
      </c>
      <c r="I20">
        <v>285656.11704914912</v>
      </c>
      <c r="J20">
        <v>4.5436940557250525</v>
      </c>
      <c r="K20">
        <f t="shared" si="0"/>
        <v>3.39250107932553E-2</v>
      </c>
      <c r="L20">
        <f t="shared" si="1"/>
        <v>-8.3341526116736189E-2</v>
      </c>
    </row>
    <row r="21" spans="2:13" ht="15.75" thickBot="1" x14ac:dyDescent="0.3">
      <c r="B21" s="3">
        <v>75</v>
      </c>
      <c r="C21" s="2">
        <v>55900.979519499633</v>
      </c>
      <c r="D21" s="2">
        <v>75209.519455183996</v>
      </c>
      <c r="E21">
        <v>212010.21060412808</v>
      </c>
      <c r="F21">
        <v>3.7926027848970647</v>
      </c>
      <c r="G21" s="2">
        <v>54397.856444692152</v>
      </c>
      <c r="H21">
        <v>71885.944171376614</v>
      </c>
      <c r="I21">
        <v>210076.16350836138</v>
      </c>
      <c r="J21">
        <v>3.8618463527501636</v>
      </c>
      <c r="K21">
        <f t="shared" si="0"/>
        <v>1.5453135591898525E-2</v>
      </c>
      <c r="L21">
        <f t="shared" si="1"/>
        <v>-3.7962785372900279E-2</v>
      </c>
    </row>
    <row r="22" spans="2:13" ht="15.75" thickBot="1" x14ac:dyDescent="0.3">
      <c r="B22" s="3">
        <v>80</v>
      </c>
      <c r="C22" s="2">
        <v>43031.952895710056</v>
      </c>
      <c r="D22" s="2">
        <v>63768.668874771713</v>
      </c>
      <c r="E22">
        <v>136800.69114894408</v>
      </c>
      <c r="F22">
        <v>3.1790491005715436</v>
      </c>
      <c r="G22" s="2">
        <v>42742.464626902511</v>
      </c>
      <c r="H22">
        <v>59875.074912663564</v>
      </c>
      <c r="I22">
        <v>138190.21933698477</v>
      </c>
      <c r="J22">
        <v>3.2330896344710673</v>
      </c>
      <c r="K22">
        <f t="shared" si="0"/>
        <v>2.3258070296426001E-2</v>
      </c>
      <c r="L22">
        <f t="shared" si="1"/>
        <v>-5.713669731299964E-2</v>
      </c>
    </row>
    <row r="23" spans="2:13" ht="15.75" thickBot="1" x14ac:dyDescent="0.3">
      <c r="B23" s="3" t="s">
        <v>19</v>
      </c>
      <c r="C23" s="2">
        <v>29210.808909668947</v>
      </c>
      <c r="D23" s="2">
        <v>73032.02227417237</v>
      </c>
      <c r="E23">
        <v>73032.02227417237</v>
      </c>
      <c r="F23">
        <v>2.5001711695152116</v>
      </c>
      <c r="G23" s="2">
        <v>31324.057769728479</v>
      </c>
      <c r="H23">
        <v>78315.144424321203</v>
      </c>
      <c r="I23">
        <v>78315.144424321203</v>
      </c>
      <c r="J23">
        <v>2.5001596217206838</v>
      </c>
      <c r="K23">
        <f>(C23/C5)*(I23/G23-E23/C23)</f>
        <v>-3.3732041927740904E-6</v>
      </c>
      <c r="L23">
        <f t="shared" si="1"/>
        <v>8.2867471153482285E-6</v>
      </c>
    </row>
    <row r="24" spans="2:13" x14ac:dyDescent="0.25">
      <c r="K24">
        <f>SUM(K5:K23)</f>
        <v>-0.40706011005530007</v>
      </c>
      <c r="M24">
        <f>J5-F5</f>
        <v>-0.40706011005530485</v>
      </c>
    </row>
  </sheetData>
  <mergeCells count="2">
    <mergeCell ref="C3:F3"/>
    <mergeCell ref="G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5BA2-2D9A-4EDF-8006-21B923671D72}">
  <dimension ref="A1:M24"/>
  <sheetViews>
    <sheetView topLeftCell="A5" workbookViewId="0">
      <selection sqref="A1:M24"/>
    </sheetView>
  </sheetViews>
  <sheetFormatPr baseColWidth="10" defaultRowHeight="15" x14ac:dyDescent="0.25"/>
  <sheetData>
    <row r="1" spans="1:12" x14ac:dyDescent="0.25">
      <c r="A1" t="s">
        <v>39</v>
      </c>
    </row>
    <row r="3" spans="1:12" x14ac:dyDescent="0.25">
      <c r="B3" s="2"/>
      <c r="C3" s="7">
        <v>2019</v>
      </c>
      <c r="D3" s="7"/>
      <c r="E3" s="7"/>
      <c r="F3" s="7"/>
      <c r="G3" s="7">
        <v>2021</v>
      </c>
      <c r="H3" s="7"/>
      <c r="I3" s="7"/>
      <c r="J3" s="7"/>
    </row>
    <row r="4" spans="1:12" x14ac:dyDescent="0.25">
      <c r="B4" s="1" t="s">
        <v>0</v>
      </c>
      <c r="C4" s="1" t="s">
        <v>8</v>
      </c>
      <c r="D4" s="1" t="s">
        <v>10</v>
      </c>
      <c r="E4" s="1" t="s">
        <v>11</v>
      </c>
      <c r="F4" s="1" t="s">
        <v>12</v>
      </c>
      <c r="G4" s="1" t="s">
        <v>8</v>
      </c>
      <c r="H4" s="1" t="s">
        <v>10</v>
      </c>
      <c r="I4" s="1" t="s">
        <v>11</v>
      </c>
      <c r="J4" s="1" t="s">
        <v>12</v>
      </c>
      <c r="K4" s="1" t="s">
        <v>36</v>
      </c>
      <c r="L4" s="1" t="s">
        <v>37</v>
      </c>
    </row>
    <row r="5" spans="1:12" ht="15.75" thickBot="1" x14ac:dyDescent="0.3">
      <c r="B5" s="3">
        <v>0</v>
      </c>
      <c r="C5" s="6">
        <v>100000</v>
      </c>
      <c r="D5">
        <v>99124.938665768306</v>
      </c>
      <c r="E5">
        <v>1694223.42039604</v>
      </c>
      <c r="F5">
        <v>16.942234203960435</v>
      </c>
      <c r="G5" s="2">
        <v>100000</v>
      </c>
      <c r="H5" s="2">
        <v>99020.16808699831</v>
      </c>
      <c r="I5" s="2">
        <v>1606974.1079945411</v>
      </c>
      <c r="J5" s="2">
        <v>16.069741079945409</v>
      </c>
      <c r="K5">
        <f>(C5/$C$5)*(H5/G5-D5/C5)+(I6/$C$5)*(C5/G5-C6/G6)</f>
        <v>14.196910075306784</v>
      </c>
      <c r="L5">
        <f>K5/$K$24</f>
        <v>-16.271658405714</v>
      </c>
    </row>
    <row r="6" spans="1:12" ht="15.75" thickBot="1" x14ac:dyDescent="0.3">
      <c r="B6" s="3">
        <v>1</v>
      </c>
      <c r="C6" s="2">
        <v>99047.867752879058</v>
      </c>
      <c r="D6">
        <v>99152.262098794628</v>
      </c>
      <c r="E6">
        <v>1595098.4817302753</v>
      </c>
      <c r="F6">
        <v>16.104319233908093</v>
      </c>
      <c r="G6" s="2">
        <f>G5*F5</f>
        <v>1694223.4203960435</v>
      </c>
      <c r="H6" s="2">
        <v>99036.162447703682</v>
      </c>
      <c r="I6" s="2">
        <v>1507953.9399075427</v>
      </c>
      <c r="J6" s="2">
        <v>15.24262111431754</v>
      </c>
      <c r="K6">
        <f t="shared" ref="K6:K23" si="0">(C6/$C$5)*(H6/G6-D6/C6)+(I7/$C$5)*(C6/G6-C7/G7)</f>
        <v>-0.16098554784555752</v>
      </c>
      <c r="L6">
        <f t="shared" ref="L6:L23" si="1">K6/$K$24</f>
        <v>0.18451211065679968</v>
      </c>
    </row>
    <row r="7" spans="1:12" ht="15.75" thickBot="1" x14ac:dyDescent="0.3">
      <c r="B7" s="3">
        <v>5</v>
      </c>
      <c r="C7" s="2">
        <v>98850.014761413971</v>
      </c>
      <c r="D7">
        <v>98999.970262159375</v>
      </c>
      <c r="E7">
        <v>1495946.2196314808</v>
      </c>
      <c r="F7">
        <v>15.133495156698977</v>
      </c>
      <c r="G7" s="2">
        <f t="shared" ref="G7:G23" si="2">G6*F6</f>
        <v>27284314.815621559</v>
      </c>
      <c r="H7" s="2">
        <v>98950.364562119255</v>
      </c>
      <c r="I7" s="2">
        <v>1408917.7774598389</v>
      </c>
      <c r="J7" s="2">
        <v>14.270669675950909</v>
      </c>
      <c r="K7">
        <f t="shared" si="0"/>
        <v>-0.94208815606914786</v>
      </c>
      <c r="L7">
        <f t="shared" si="1"/>
        <v>1.0797657083345933</v>
      </c>
    </row>
    <row r="8" spans="1:12" ht="15.75" thickBot="1" x14ac:dyDescent="0.3">
      <c r="B8" s="3">
        <v>10</v>
      </c>
      <c r="C8" s="2">
        <v>98753.377760917036</v>
      </c>
      <c r="D8">
        <v>98925.61657945218</v>
      </c>
      <c r="E8">
        <v>1396946.2493693214</v>
      </c>
      <c r="F8">
        <v>14.145807273056958</v>
      </c>
      <c r="G8" s="2">
        <f t="shared" si="2"/>
        <v>412907046.11605901</v>
      </c>
      <c r="H8" s="2">
        <v>98779.358820546855</v>
      </c>
      <c r="I8" s="2">
        <v>1309967.4128977195</v>
      </c>
      <c r="J8" s="2">
        <v>13.287903590096672</v>
      </c>
      <c r="K8">
        <f t="shared" si="0"/>
        <v>-0.98632771441298916</v>
      </c>
      <c r="L8">
        <f t="shared" si="1"/>
        <v>1.1304704727919455</v>
      </c>
    </row>
    <row r="9" spans="1:12" ht="15.75" thickBot="1" x14ac:dyDescent="0.3">
      <c r="B9" s="3">
        <v>15</v>
      </c>
      <c r="C9" s="2">
        <v>98641.885215226939</v>
      </c>
      <c r="D9">
        <v>99986.856732476561</v>
      </c>
      <c r="E9">
        <v>1298020.6327898693</v>
      </c>
      <c r="F9">
        <v>13.158919559958889</v>
      </c>
      <c r="G9" s="2">
        <f t="shared" si="2"/>
        <v>5840903496.0450125</v>
      </c>
      <c r="H9" s="2">
        <v>99665.540823246818</v>
      </c>
      <c r="I9" s="2">
        <v>1211188.0540771727</v>
      </c>
      <c r="J9" s="2">
        <v>12.301797950956823</v>
      </c>
      <c r="K9">
        <f t="shared" si="0"/>
        <v>-0.99967815648140157</v>
      </c>
      <c r="L9">
        <f t="shared" si="1"/>
        <v>1.145771959647196</v>
      </c>
    </row>
    <row r="10" spans="1:12" ht="15.75" thickBot="1" x14ac:dyDescent="0.3">
      <c r="B10" s="3">
        <v>20</v>
      </c>
      <c r="C10" s="2">
        <v>97748.570870393858</v>
      </c>
      <c r="D10">
        <v>100785.47357623241</v>
      </c>
      <c r="E10">
        <v>1198033.7760573928</v>
      </c>
      <c r="F10">
        <v>12.256279200704448</v>
      </c>
      <c r="G10" s="2">
        <f t="shared" si="2"/>
        <v>76859979261.938965</v>
      </c>
      <c r="H10" s="2">
        <v>100666.683711905</v>
      </c>
      <c r="I10" s="2">
        <v>1111522.5132539258</v>
      </c>
      <c r="J10" s="2">
        <v>11.382337218686319</v>
      </c>
      <c r="K10">
        <f t="shared" si="0"/>
        <v>-1.0078416269274164</v>
      </c>
      <c r="L10">
        <f t="shared" si="1"/>
        <v>1.1551284465022995</v>
      </c>
    </row>
    <row r="11" spans="1:12" ht="15.75" thickBot="1" x14ac:dyDescent="0.3">
      <c r="B11" s="3">
        <v>25</v>
      </c>
      <c r="C11" s="2">
        <v>95727.302399834822</v>
      </c>
      <c r="D11">
        <v>99372.099015431391</v>
      </c>
      <c r="E11">
        <v>1097248.3024811605</v>
      </c>
      <c r="F11">
        <v>11.462229426440558</v>
      </c>
      <c r="G11" s="2">
        <f t="shared" si="2"/>
        <v>942017365194.67773</v>
      </c>
      <c r="H11" s="2">
        <v>99517.840270138608</v>
      </c>
      <c r="I11" s="2">
        <v>1010855.8295420208</v>
      </c>
      <c r="J11" s="2">
        <v>10.56853583281711</v>
      </c>
      <c r="K11">
        <f t="shared" si="0"/>
        <v>-0.99372004167549632</v>
      </c>
      <c r="L11">
        <f t="shared" si="1"/>
        <v>1.1389431209527576</v>
      </c>
    </row>
    <row r="12" spans="1:12" ht="15.75" thickBot="1" x14ac:dyDescent="0.3">
      <c r="B12" s="3">
        <v>30</v>
      </c>
      <c r="C12" s="2">
        <v>93300.771322770437</v>
      </c>
      <c r="D12">
        <v>96799.165797303693</v>
      </c>
      <c r="E12">
        <v>997876.20346572914</v>
      </c>
      <c r="F12">
        <v>10.69526210039159</v>
      </c>
      <c r="G12" s="2">
        <f t="shared" si="2"/>
        <v>10797619163552.438</v>
      </c>
      <c r="H12" s="2">
        <v>96872.40887227605</v>
      </c>
      <c r="I12" s="2">
        <v>911337.98927188222</v>
      </c>
      <c r="J12" s="2">
        <v>9.7918692753717593</v>
      </c>
      <c r="K12">
        <f t="shared" si="0"/>
        <v>-0.96799158564149002</v>
      </c>
      <c r="L12">
        <f t="shared" si="1"/>
        <v>1.1094546868025725</v>
      </c>
    </row>
    <row r="13" spans="1:12" ht="15.75" thickBot="1" x14ac:dyDescent="0.3">
      <c r="B13" s="3">
        <v>35</v>
      </c>
      <c r="C13" s="2">
        <v>90971.841673081595</v>
      </c>
      <c r="D13">
        <v>94186.905537073049</v>
      </c>
      <c r="E13">
        <v>901077.03766842547</v>
      </c>
      <c r="F13">
        <v>9.9050103976849861</v>
      </c>
      <c r="G13" s="2">
        <f t="shared" si="2"/>
        <v>115483367014404.33</v>
      </c>
      <c r="H13" s="2">
        <v>95166.469505831308</v>
      </c>
      <c r="I13" s="2">
        <v>814465.58039960614</v>
      </c>
      <c r="J13" s="2">
        <v>8.9956558592224791</v>
      </c>
      <c r="K13">
        <f t="shared" si="0"/>
        <v>-0.94186904951339412</v>
      </c>
      <c r="L13">
        <f t="shared" si="1"/>
        <v>1.0795145813632476</v>
      </c>
    </row>
    <row r="14" spans="1:12" ht="15.75" thickBot="1" x14ac:dyDescent="0.3">
      <c r="B14" s="3">
        <v>40</v>
      </c>
      <c r="C14" s="2">
        <v>88831.799097087292</v>
      </c>
      <c r="D14">
        <v>92967.666828165675</v>
      </c>
      <c r="E14">
        <v>806890.13213135244</v>
      </c>
      <c r="F14">
        <v>9.0833478589066381</v>
      </c>
      <c r="G14" s="2">
        <f t="shared" si="2"/>
        <v>1143863951037346.3</v>
      </c>
      <c r="H14" s="2">
        <v>92515.02516348171</v>
      </c>
      <c r="I14" s="2">
        <v>719299.11089377478</v>
      </c>
      <c r="J14" s="2">
        <v>8.2244322656285593</v>
      </c>
      <c r="K14">
        <f t="shared" si="0"/>
        <v>-0.92967666777497993</v>
      </c>
      <c r="L14">
        <f t="shared" si="1"/>
        <v>1.0655403947446673</v>
      </c>
    </row>
    <row r="15" spans="1:12" ht="15.75" thickBot="1" x14ac:dyDescent="0.3">
      <c r="B15" s="3">
        <v>45</v>
      </c>
      <c r="C15" s="2">
        <v>86077.887276368376</v>
      </c>
      <c r="D15">
        <v>90330.761476593267</v>
      </c>
      <c r="E15">
        <v>713922.46530318679</v>
      </c>
      <c r="F15">
        <v>8.2939125005590775</v>
      </c>
      <c r="G15" s="2">
        <f t="shared" si="2"/>
        <v>1.0390114170535566E+16</v>
      </c>
      <c r="H15" s="2">
        <v>89368.620605638251</v>
      </c>
      <c r="I15" s="2">
        <v>626784.08573029307</v>
      </c>
      <c r="J15" s="2">
        <v>7.4536100585957605</v>
      </c>
      <c r="K15">
        <f t="shared" si="0"/>
        <v>-0.90330761471919763</v>
      </c>
      <c r="L15">
        <f t="shared" si="1"/>
        <v>1.0353177461873497</v>
      </c>
    </row>
    <row r="16" spans="1:12" ht="15.75" thickBot="1" x14ac:dyDescent="0.3">
      <c r="B16" s="3">
        <v>50</v>
      </c>
      <c r="C16" s="2">
        <v>83245.971142885115</v>
      </c>
      <c r="D16">
        <v>88287.578535916589</v>
      </c>
      <c r="E16">
        <v>623591.70382659347</v>
      </c>
      <c r="F16">
        <v>7.4909535592569121</v>
      </c>
      <c r="G16" s="2">
        <f t="shared" si="2"/>
        <v>8.6174697801240944E+16</v>
      </c>
      <c r="H16" s="2">
        <v>88382.096457237683</v>
      </c>
      <c r="I16" s="2">
        <v>537415.46512465482</v>
      </c>
      <c r="J16" s="2">
        <v>6.6696309083925893</v>
      </c>
      <c r="K16">
        <f t="shared" si="0"/>
        <v>-0.88287578535453004</v>
      </c>
      <c r="L16">
        <f t="shared" si="1"/>
        <v>1.011899992164665</v>
      </c>
    </row>
    <row r="17" spans="2:13" ht="15.75" thickBot="1" x14ac:dyDescent="0.3">
      <c r="B17" s="3">
        <v>55</v>
      </c>
      <c r="C17" s="2">
        <v>79888.232880864132</v>
      </c>
      <c r="D17">
        <v>87044.436026298994</v>
      </c>
      <c r="E17">
        <v>535304.12529067683</v>
      </c>
      <c r="F17">
        <v>6.7006629886151838</v>
      </c>
      <c r="G17" s="2">
        <f t="shared" si="2"/>
        <v>6.4553065921209459E+17</v>
      </c>
      <c r="H17" s="2">
        <v>85016.18626407336</v>
      </c>
      <c r="I17" s="2">
        <v>449033.36866741715</v>
      </c>
      <c r="J17" s="2">
        <v>5.9572388154942564</v>
      </c>
      <c r="K17">
        <f t="shared" si="0"/>
        <v>-0.87044436026249739</v>
      </c>
      <c r="L17">
        <f t="shared" si="1"/>
        <v>0.99765182819653442</v>
      </c>
    </row>
    <row r="18" spans="2:13" ht="15.75" thickBot="1" x14ac:dyDescent="0.3">
      <c r="B18" s="3">
        <v>60</v>
      </c>
      <c r="C18" s="2">
        <v>75120.764117240891</v>
      </c>
      <c r="D18">
        <v>84164.853022869138</v>
      </c>
      <c r="E18">
        <v>448259.68926437787</v>
      </c>
      <c r="F18">
        <v>5.967187561681075</v>
      </c>
      <c r="G18" s="2">
        <f t="shared" si="2"/>
        <v>4.3254833961988434E+18</v>
      </c>
      <c r="H18" s="2">
        <v>81226.726962070737</v>
      </c>
      <c r="I18" s="2">
        <v>364017.18240334379</v>
      </c>
      <c r="J18" s="2">
        <v>5.2792308741806551</v>
      </c>
      <c r="K18">
        <f t="shared" si="0"/>
        <v>-0.84164853022863562</v>
      </c>
      <c r="L18">
        <f t="shared" si="1"/>
        <v>0.96464775144077786</v>
      </c>
    </row>
    <row r="19" spans="2:13" ht="15.75" thickBot="1" x14ac:dyDescent="0.3">
      <c r="B19" s="3">
        <v>65</v>
      </c>
      <c r="C19" s="2">
        <v>69094.70484682206</v>
      </c>
      <c r="D19">
        <v>78438.719192359582</v>
      </c>
      <c r="E19">
        <v>364094.83624150872</v>
      </c>
      <c r="F19">
        <v>5.269504183405668</v>
      </c>
      <c r="G19" s="2">
        <f t="shared" si="2"/>
        <v>2.5810970720055751E+19</v>
      </c>
      <c r="H19" s="2">
        <v>76883.264708545321</v>
      </c>
      <c r="I19" s="2">
        <v>282790.45544127305</v>
      </c>
      <c r="J19" s="2">
        <v>4.6531994817133615</v>
      </c>
      <c r="K19">
        <f t="shared" si="0"/>
        <v>-0.78438719192358919</v>
      </c>
      <c r="L19">
        <f t="shared" si="1"/>
        <v>0.8990181931910326</v>
      </c>
    </row>
    <row r="20" spans="2:13" ht="15.75" thickBot="1" x14ac:dyDescent="0.3">
      <c r="B20" s="3">
        <v>70</v>
      </c>
      <c r="C20" s="2">
        <v>62868.695283130379</v>
      </c>
      <c r="D20">
        <v>75579.953540787712</v>
      </c>
      <c r="E20">
        <v>285656.11704914912</v>
      </c>
      <c r="F20">
        <v>4.5436940557250525</v>
      </c>
      <c r="G20" s="2">
        <f t="shared" si="2"/>
        <v>1.3601101818709498E+20</v>
      </c>
      <c r="H20" s="2">
        <v>67151.71922462259</v>
      </c>
      <c r="I20" s="2">
        <v>205907.19073272773</v>
      </c>
      <c r="J20" s="2">
        <v>4.115121931464655</v>
      </c>
      <c r="K20">
        <f t="shared" si="0"/>
        <v>-0.75579953540787637</v>
      </c>
      <c r="L20">
        <f t="shared" si="1"/>
        <v>0.86625271260574321</v>
      </c>
    </row>
    <row r="21" spans="2:13" ht="15.75" thickBot="1" x14ac:dyDescent="0.3">
      <c r="B21" s="3">
        <v>75</v>
      </c>
      <c r="C21" s="2">
        <v>54397.856444692152</v>
      </c>
      <c r="D21">
        <v>71885.944171376614</v>
      </c>
      <c r="E21">
        <v>210076.16350836138</v>
      </c>
      <c r="F21">
        <v>3.8618463527501636</v>
      </c>
      <c r="G21" s="2">
        <f t="shared" si="2"/>
        <v>6.1799245484981551E+20</v>
      </c>
      <c r="H21" s="2">
        <v>56319.913492833686</v>
      </c>
      <c r="I21" s="2">
        <v>138755.47150810514</v>
      </c>
      <c r="J21" s="2">
        <v>3.591905181630334</v>
      </c>
      <c r="K21">
        <f t="shared" si="0"/>
        <v>-0.71885944171376592</v>
      </c>
      <c r="L21">
        <f t="shared" si="1"/>
        <v>0.82391416267640971</v>
      </c>
    </row>
    <row r="22" spans="2:13" ht="15.75" thickBot="1" x14ac:dyDescent="0.3">
      <c r="B22" s="3">
        <v>80</v>
      </c>
      <c r="C22" s="2">
        <v>42742.464626902511</v>
      </c>
      <c r="D22">
        <v>59875.074912663564</v>
      </c>
      <c r="E22">
        <v>138190.21933698477</v>
      </c>
      <c r="F22">
        <v>3.2330896344710673</v>
      </c>
      <c r="G22" s="2">
        <f t="shared" si="2"/>
        <v>2.3865919077888803E+21</v>
      </c>
      <c r="H22" s="2">
        <v>44117.529021497445</v>
      </c>
      <c r="I22" s="2">
        <v>82435.558015271454</v>
      </c>
      <c r="J22" s="2">
        <v>3.0713536671641641</v>
      </c>
      <c r="K22">
        <f t="shared" si="0"/>
        <v>-0.59875074912663562</v>
      </c>
      <c r="L22">
        <f t="shared" si="1"/>
        <v>0.68625268514588689</v>
      </c>
    </row>
    <row r="23" spans="2:13" ht="15.75" thickBot="1" x14ac:dyDescent="0.3">
      <c r="B23" s="3" t="s">
        <v>19</v>
      </c>
      <c r="C23" s="2">
        <v>31324.057769728479</v>
      </c>
      <c r="D23">
        <v>78315.144424321203</v>
      </c>
      <c r="E23">
        <v>78315.144424321203</v>
      </c>
      <c r="F23">
        <v>2.5001596217206838</v>
      </c>
      <c r="G23" s="2">
        <f t="shared" si="2"/>
        <v>7.7160655587847585E+21</v>
      </c>
      <c r="H23" s="2">
        <v>38318.028993774009</v>
      </c>
      <c r="I23" s="2">
        <v>38318.028993774009</v>
      </c>
      <c r="J23" s="2">
        <v>2.5003262597692819</v>
      </c>
      <c r="K23">
        <f>(C23/C5)*(I23/G23-E23/C23)</f>
        <v>-0.78315144424321204</v>
      </c>
      <c r="L23">
        <f t="shared" si="1"/>
        <v>0.89760185230952449</v>
      </c>
    </row>
    <row r="24" spans="2:13" x14ac:dyDescent="0.25">
      <c r="K24">
        <f>SUM(K5:K23)</f>
        <v>-0.8724931240150271</v>
      </c>
      <c r="M24">
        <f>J5-F5</f>
        <v>-0.87249312401502621</v>
      </c>
    </row>
  </sheetData>
  <mergeCells count="2">
    <mergeCell ref="C3:F3"/>
    <mergeCell ref="G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0F5B-F3F7-44A7-A888-B881D0A6D4BD}">
  <dimension ref="A1:M24"/>
  <sheetViews>
    <sheetView workbookViewId="0">
      <selection activeCell="J25" sqref="J25"/>
    </sheetView>
  </sheetViews>
  <sheetFormatPr baseColWidth="10" defaultRowHeight="15" x14ac:dyDescent="0.25"/>
  <sheetData>
    <row r="1" spans="1:12" x14ac:dyDescent="0.25">
      <c r="A1" t="s">
        <v>40</v>
      </c>
    </row>
    <row r="3" spans="1:12" x14ac:dyDescent="0.25">
      <c r="B3" s="2"/>
      <c r="C3" s="7">
        <v>2010</v>
      </c>
      <c r="D3" s="7"/>
      <c r="E3" s="7"/>
      <c r="F3" s="7"/>
      <c r="G3" s="7">
        <v>2019</v>
      </c>
      <c r="H3" s="7"/>
      <c r="I3" s="7"/>
      <c r="J3" s="7"/>
    </row>
    <row r="4" spans="1:12" x14ac:dyDescent="0.25">
      <c r="B4" s="1" t="s">
        <v>0</v>
      </c>
      <c r="C4" s="1" t="s">
        <v>8</v>
      </c>
      <c r="D4" s="1" t="s">
        <v>10</v>
      </c>
      <c r="E4" s="1" t="s">
        <v>11</v>
      </c>
      <c r="F4" s="1" t="s">
        <v>12</v>
      </c>
      <c r="G4" s="1" t="s">
        <v>8</v>
      </c>
      <c r="H4" s="1" t="s">
        <v>10</v>
      </c>
      <c r="I4" s="1" t="s">
        <v>11</v>
      </c>
      <c r="J4" s="1" t="s">
        <v>12</v>
      </c>
      <c r="K4" s="1" t="s">
        <v>36</v>
      </c>
      <c r="L4" s="1" t="s">
        <v>37</v>
      </c>
    </row>
    <row r="5" spans="1:12" ht="15.75" thickBot="1" x14ac:dyDescent="0.3">
      <c r="B5" s="3">
        <v>0</v>
      </c>
      <c r="C5" s="2">
        <v>100000</v>
      </c>
      <c r="D5" s="2">
        <v>98927.60363610748</v>
      </c>
      <c r="E5">
        <v>1841568.6443321155</v>
      </c>
      <c r="F5">
        <v>18.415686443321157</v>
      </c>
      <c r="G5" s="6">
        <v>100000</v>
      </c>
      <c r="H5">
        <v>99324.670440583184</v>
      </c>
      <c r="I5">
        <v>1847863.5156851509</v>
      </c>
      <c r="J5">
        <v>18.47863515685151</v>
      </c>
      <c r="K5">
        <f>(C5/$C$5)*(H5/G5-D5/C5)+(I6/$C$5)*(C5/G5-C6/G6)</f>
        <v>8.229428713700393E-2</v>
      </c>
      <c r="L5">
        <f>K5/$K$24</f>
        <v>1.3073227794770748</v>
      </c>
    </row>
    <row r="6" spans="1:12" ht="15.75" thickBot="1" x14ac:dyDescent="0.3">
      <c r="B6" s="3">
        <v>1</v>
      </c>
      <c r="C6" s="2">
        <v>98825.285845790218</v>
      </c>
      <c r="D6" s="2">
        <v>98943.062107033824</v>
      </c>
      <c r="E6">
        <v>1742641.0406960081</v>
      </c>
      <c r="F6">
        <v>17.633554264798939</v>
      </c>
      <c r="G6" s="2">
        <v>99269.953233392342</v>
      </c>
      <c r="H6">
        <v>99434.959992697681</v>
      </c>
      <c r="I6">
        <v>1748538.8452445676</v>
      </c>
      <c r="J6">
        <v>17.613978734669089</v>
      </c>
      <c r="K6">
        <f t="shared" ref="K6:K23" si="0">(C6/$C$5)*(H6/G6-D6/C6)+(I7/$C$5)*(C6/G6-C7/G7)</f>
        <v>-1.4201997913907107E-2</v>
      </c>
      <c r="L6">
        <f t="shared" ref="L6:L23" si="1">K6/$K$24</f>
        <v>-0.22561220265541518</v>
      </c>
    </row>
    <row r="7" spans="1:12" ht="15.75" thickBot="1" x14ac:dyDescent="0.3">
      <c r="B7" s="3">
        <v>5</v>
      </c>
      <c r="C7" s="2">
        <v>98599.527807349339</v>
      </c>
      <c r="D7" s="2">
        <v>98761.509654444832</v>
      </c>
      <c r="E7">
        <v>1643697.9785889743</v>
      </c>
      <c r="F7">
        <v>16.670444728706475</v>
      </c>
      <c r="G7" s="2">
        <v>98954.774324122962</v>
      </c>
      <c r="H7">
        <v>99161.280984623008</v>
      </c>
      <c r="I7">
        <v>1649103.8852518699</v>
      </c>
      <c r="J7">
        <v>16.665228095516511</v>
      </c>
      <c r="K7">
        <f t="shared" si="0"/>
        <v>-4.1421672251476275E-3</v>
      </c>
      <c r="L7">
        <f t="shared" si="1"/>
        <v>-6.5802253816521564E-2</v>
      </c>
    </row>
    <row r="8" spans="1:12" ht="15.75" thickBot="1" x14ac:dyDescent="0.3">
      <c r="B8" s="3">
        <v>10</v>
      </c>
      <c r="C8" s="2">
        <v>98494.873242619011</v>
      </c>
      <c r="D8" s="2">
        <v>98652.315812332294</v>
      </c>
      <c r="E8">
        <v>1544936.4689345295</v>
      </c>
      <c r="F8">
        <v>15.685450603392736</v>
      </c>
      <c r="G8" s="2">
        <v>98820.436550456259</v>
      </c>
      <c r="H8">
        <v>98949.731555205595</v>
      </c>
      <c r="I8">
        <v>1549942.6042672468</v>
      </c>
      <c r="J8">
        <v>15.684433892131906</v>
      </c>
      <c r="K8">
        <f t="shared" si="0"/>
        <v>2.5119894224768236E-3</v>
      </c>
      <c r="L8">
        <f t="shared" si="1"/>
        <v>3.9905333748650441E-2</v>
      </c>
    </row>
    <row r="9" spans="1:12" ht="15.75" thickBot="1" x14ac:dyDescent="0.3">
      <c r="B9" s="3">
        <v>15</v>
      </c>
      <c r="C9" s="2">
        <v>98393.244862810156</v>
      </c>
      <c r="D9" s="2">
        <v>98659.246835230064</v>
      </c>
      <c r="E9">
        <v>1446284.1531221971</v>
      </c>
      <c r="F9">
        <v>14.699018770432394</v>
      </c>
      <c r="G9" s="2">
        <v>98737.573213956697</v>
      </c>
      <c r="H9">
        <v>99086.782570630472</v>
      </c>
      <c r="I9">
        <v>1450992.8727120413</v>
      </c>
      <c r="J9">
        <v>14.69544799898871</v>
      </c>
      <c r="K9">
        <f t="shared" si="0"/>
        <v>-6.6830939083590826E-3</v>
      </c>
      <c r="L9">
        <f t="shared" si="1"/>
        <v>-0.10616728338914909</v>
      </c>
    </row>
    <row r="10" spans="1:12" ht="15.75" thickBot="1" x14ac:dyDescent="0.3">
      <c r="B10" s="3">
        <v>20</v>
      </c>
      <c r="C10" s="2">
        <v>98219.243547863545</v>
      </c>
      <c r="D10" s="2">
        <v>98549.938648534793</v>
      </c>
      <c r="E10">
        <v>1347624.906286967</v>
      </c>
      <c r="F10">
        <v>13.720579161559632</v>
      </c>
      <c r="G10" s="2">
        <v>98508.100309507514</v>
      </c>
      <c r="H10">
        <v>99328.965176055644</v>
      </c>
      <c r="I10">
        <v>1351906.0901414107</v>
      </c>
      <c r="J10">
        <v>13.723806325508152</v>
      </c>
      <c r="K10">
        <f t="shared" si="0"/>
        <v>-3.6700749596166024E-2</v>
      </c>
      <c r="L10">
        <f t="shared" si="1"/>
        <v>-0.5830262055867258</v>
      </c>
    </row>
    <row r="11" spans="1:12" ht="15.75" thickBot="1" x14ac:dyDescent="0.3">
      <c r="B11" s="3">
        <v>25</v>
      </c>
      <c r="C11" s="2">
        <v>98002.11348074938</v>
      </c>
      <c r="D11" s="2">
        <v>98533.506671248761</v>
      </c>
      <c r="E11">
        <v>1249074.9676384323</v>
      </c>
      <c r="F11">
        <v>12.745388066388884</v>
      </c>
      <c r="G11" s="2">
        <v>97964.190398475432</v>
      </c>
      <c r="H11">
        <v>98868.871945004707</v>
      </c>
      <c r="I11">
        <v>1252577.124965355</v>
      </c>
      <c r="J11">
        <v>12.786071317186614</v>
      </c>
      <c r="K11">
        <f t="shared" si="0"/>
        <v>-2.5779375409289179E-2</v>
      </c>
      <c r="L11">
        <f t="shared" si="1"/>
        <v>-0.40952982139753746</v>
      </c>
    </row>
    <row r="12" spans="1:12" ht="15.75" thickBot="1" x14ac:dyDescent="0.3">
      <c r="B12" s="3">
        <v>30</v>
      </c>
      <c r="C12" s="2">
        <v>97651.184687083121</v>
      </c>
      <c r="D12" s="2">
        <v>98381.28705307623</v>
      </c>
      <c r="E12">
        <v>1150541.4609671836</v>
      </c>
      <c r="F12">
        <v>11.782155686631135</v>
      </c>
      <c r="G12" s="2">
        <v>97364.402700789244</v>
      </c>
      <c r="H12">
        <v>98110.469400588743</v>
      </c>
      <c r="I12">
        <v>1153708.2530203504</v>
      </c>
      <c r="J12">
        <v>11.849384590442297</v>
      </c>
      <c r="K12">
        <f t="shared" si="0"/>
        <v>-1.136710462082922E-3</v>
      </c>
      <c r="L12">
        <f t="shared" si="1"/>
        <v>-1.8057723475712679E-2</v>
      </c>
    </row>
    <row r="13" spans="1:12" ht="15.75" thickBot="1" x14ac:dyDescent="0.3">
      <c r="B13" s="3">
        <v>35</v>
      </c>
      <c r="C13" s="2">
        <v>97167.783109754382</v>
      </c>
      <c r="D13" s="2">
        <v>97777.67242223944</v>
      </c>
      <c r="E13">
        <v>1052160.1739141073</v>
      </c>
      <c r="F13">
        <v>10.828282175848921</v>
      </c>
      <c r="G13" s="2">
        <v>96870.358234256244</v>
      </c>
      <c r="H13">
        <v>97685.03782966343</v>
      </c>
      <c r="I13">
        <v>1055597.7836197617</v>
      </c>
      <c r="J13">
        <v>10.897015380773835</v>
      </c>
      <c r="K13">
        <f t="shared" si="0"/>
        <v>-1.1668140954168536E-2</v>
      </c>
      <c r="L13">
        <f t="shared" si="1"/>
        <v>-0.18535948234339672</v>
      </c>
    </row>
    <row r="14" spans="1:12" ht="15.75" thickBot="1" x14ac:dyDescent="0.3">
      <c r="B14" s="3">
        <v>40</v>
      </c>
      <c r="C14" s="2">
        <v>96764.523568097677</v>
      </c>
      <c r="D14" s="2">
        <v>97798.692898148875</v>
      </c>
      <c r="E14">
        <v>954382.50149186782</v>
      </c>
      <c r="F14">
        <v>9.8629380510536446</v>
      </c>
      <c r="G14" s="2">
        <v>96330.571837318115</v>
      </c>
      <c r="H14">
        <v>97552.218209711675</v>
      </c>
      <c r="I14">
        <v>957912.74579009821</v>
      </c>
      <c r="J14">
        <v>9.9440159808021225</v>
      </c>
      <c r="K14">
        <f t="shared" si="0"/>
        <v>-9.656893986982714E-3</v>
      </c>
      <c r="L14">
        <f t="shared" si="1"/>
        <v>-0.15340891728195019</v>
      </c>
    </row>
    <row r="15" spans="1:12" ht="15.75" thickBot="1" x14ac:dyDescent="0.3">
      <c r="B15" s="3">
        <v>45</v>
      </c>
      <c r="C15" s="2">
        <v>96078.410681396883</v>
      </c>
      <c r="D15" s="2">
        <v>97748.843238575646</v>
      </c>
      <c r="E15">
        <v>856583.80859371892</v>
      </c>
      <c r="F15">
        <v>8.9154660502681935</v>
      </c>
      <c r="G15" s="2">
        <v>95519.474255722409</v>
      </c>
      <c r="H15">
        <v>97758.207913467253</v>
      </c>
      <c r="I15">
        <v>860360.52758038649</v>
      </c>
      <c r="J15">
        <v>9.007174026911521</v>
      </c>
      <c r="K15">
        <f t="shared" si="0"/>
        <v>-2.5619506290898434E-2</v>
      </c>
      <c r="L15">
        <f t="shared" si="1"/>
        <v>-0.4069901488700971</v>
      </c>
    </row>
    <row r="16" spans="1:12" ht="15.75" thickBot="1" x14ac:dyDescent="0.3">
      <c r="B16" s="3">
        <v>50</v>
      </c>
      <c r="C16" s="2">
        <v>94968.122309944374</v>
      </c>
      <c r="D16" s="2">
        <v>97219.623148956482</v>
      </c>
      <c r="E16">
        <v>758834.9653551433</v>
      </c>
      <c r="F16">
        <v>7.9904176990944213</v>
      </c>
      <c r="G16" s="2">
        <v>94030.318483892508</v>
      </c>
      <c r="H16">
        <v>96691.43153920336</v>
      </c>
      <c r="I16">
        <v>762602.31966691918</v>
      </c>
      <c r="J16">
        <v>8.1101748027956937</v>
      </c>
      <c r="K16">
        <f t="shared" si="0"/>
        <v>-1.6623147642587398E-2</v>
      </c>
      <c r="L16">
        <f t="shared" si="1"/>
        <v>-0.26407446173737309</v>
      </c>
    </row>
    <row r="17" spans="2:13" ht="15.75" thickBot="1" x14ac:dyDescent="0.3">
      <c r="B17" s="3">
        <v>55</v>
      </c>
      <c r="C17" s="2">
        <v>93470.455083936307</v>
      </c>
      <c r="D17" s="2">
        <v>97691.893037670307</v>
      </c>
      <c r="E17">
        <v>661615.34220618685</v>
      </c>
      <c r="F17">
        <v>7.0783365889473568</v>
      </c>
      <c r="G17" s="2">
        <v>92259.576447018611</v>
      </c>
      <c r="H17">
        <v>95865.589329364215</v>
      </c>
      <c r="I17">
        <v>665910.88812771579</v>
      </c>
      <c r="J17">
        <v>7.2177969352604245</v>
      </c>
      <c r="K17">
        <f t="shared" si="0"/>
        <v>1.8347704637876435E-2</v>
      </c>
      <c r="L17">
        <f t="shared" si="1"/>
        <v>0.29147068476673732</v>
      </c>
    </row>
    <row r="18" spans="2:13" ht="15.75" thickBot="1" x14ac:dyDescent="0.3">
      <c r="B18" s="3">
        <v>60</v>
      </c>
      <c r="C18" s="2">
        <v>90659.496448113641</v>
      </c>
      <c r="D18" s="2">
        <v>96740.243745076936</v>
      </c>
      <c r="E18">
        <v>563923.44916851656</v>
      </c>
      <c r="F18">
        <v>6.2202358413854855</v>
      </c>
      <c r="G18" s="2">
        <v>89858.901192121542</v>
      </c>
      <c r="H18">
        <v>95783.805498450791</v>
      </c>
      <c r="I18">
        <v>570045.29879835155</v>
      </c>
      <c r="J18">
        <v>6.3437822100625771</v>
      </c>
      <c r="K18">
        <f t="shared" si="0"/>
        <v>2.7637243354627821E-3</v>
      </c>
      <c r="L18">
        <f t="shared" si="1"/>
        <v>4.3904381526880025E-2</v>
      </c>
    </row>
    <row r="19" spans="2:13" ht="15.75" thickBot="1" x14ac:dyDescent="0.3">
      <c r="B19" s="3">
        <v>65</v>
      </c>
      <c r="C19" s="2">
        <v>86608.998250138116</v>
      </c>
      <c r="D19" s="2">
        <v>96617.878990569676</v>
      </c>
      <c r="E19">
        <v>467183.20542343956</v>
      </c>
      <c r="F19">
        <v>5.3941647503432995</v>
      </c>
      <c r="G19" s="2">
        <v>85912.298321235372</v>
      </c>
      <c r="H19">
        <v>94786.243463597944</v>
      </c>
      <c r="I19">
        <v>474261.49329990079</v>
      </c>
      <c r="J19">
        <v>5.5202980547276921</v>
      </c>
      <c r="K19">
        <f t="shared" si="0"/>
        <v>2.2986019162080387E-2</v>
      </c>
      <c r="L19">
        <f t="shared" si="1"/>
        <v>0.36515470885672302</v>
      </c>
    </row>
    <row r="20" spans="2:13" ht="15.75" thickBot="1" x14ac:dyDescent="0.3">
      <c r="B20" s="3">
        <v>70</v>
      </c>
      <c r="C20" s="2">
        <v>79939.744423183743</v>
      </c>
      <c r="D20" s="2">
        <v>93676.635356443207</v>
      </c>
      <c r="E20">
        <v>370565.32643286989</v>
      </c>
      <c r="F20">
        <v>4.6355580582191642</v>
      </c>
      <c r="G20" s="2">
        <v>79999.66822632699</v>
      </c>
      <c r="H20">
        <v>90875.473982824507</v>
      </c>
      <c r="I20">
        <v>379475.24983630283</v>
      </c>
      <c r="J20">
        <v>4.7434602948943452</v>
      </c>
      <c r="K20">
        <f t="shared" si="0"/>
        <v>4.718676628723549E-2</v>
      </c>
      <c r="L20">
        <f t="shared" si="1"/>
        <v>0.74960652316563348</v>
      </c>
    </row>
    <row r="21" spans="2:13" ht="15.75" thickBot="1" x14ac:dyDescent="0.3">
      <c r="B21" s="3">
        <v>75</v>
      </c>
      <c r="C21" s="2">
        <v>70785.150467677435</v>
      </c>
      <c r="D21" s="2">
        <v>91102.441426240839</v>
      </c>
      <c r="E21">
        <v>276888.69107642665</v>
      </c>
      <c r="F21">
        <v>3.9116776505668671</v>
      </c>
      <c r="G21" s="2">
        <v>72752.464388661974</v>
      </c>
      <c r="H21">
        <v>90630.068703556724</v>
      </c>
      <c r="I21">
        <v>288599.77585347829</v>
      </c>
      <c r="J21">
        <v>3.9668728513676959</v>
      </c>
      <c r="K21">
        <f t="shared" si="0"/>
        <v>3.4179611331527381E-2</v>
      </c>
      <c r="L21">
        <f t="shared" si="1"/>
        <v>0.54297553380575148</v>
      </c>
    </row>
    <row r="22" spans="2:13" ht="15.75" thickBot="1" x14ac:dyDescent="0.3">
      <c r="B22" s="3">
        <v>80</v>
      </c>
      <c r="C22" s="2">
        <v>57243.623161968506</v>
      </c>
      <c r="D22" s="2">
        <v>79113.270287024468</v>
      </c>
      <c r="E22">
        <v>185786.24965018581</v>
      </c>
      <c r="F22">
        <v>3.2455361730775003</v>
      </c>
      <c r="G22" s="2">
        <v>60837.394845398805</v>
      </c>
      <c r="H22">
        <v>83299.157058860161</v>
      </c>
      <c r="I22">
        <v>197969.70714992157</v>
      </c>
      <c r="J22">
        <v>3.254079298645284</v>
      </c>
      <c r="K22">
        <f t="shared" si="0"/>
        <v>4.8938819530520037E-3</v>
      </c>
      <c r="L22">
        <f t="shared" si="1"/>
        <v>7.7743955016530045E-2</v>
      </c>
    </row>
    <row r="23" spans="2:13" ht="15.75" thickBot="1" x14ac:dyDescent="0.3">
      <c r="B23" s="3" t="s">
        <v>19</v>
      </c>
      <c r="C23" s="2">
        <v>42667.191745264536</v>
      </c>
      <c r="D23" s="2">
        <v>106672.97936316134</v>
      </c>
      <c r="E23">
        <v>106672.97936316134</v>
      </c>
      <c r="F23">
        <v>2.5001171860578464</v>
      </c>
      <c r="G23" s="2">
        <v>45866.220036424565</v>
      </c>
      <c r="H23">
        <v>114670.55009106142</v>
      </c>
      <c r="I23">
        <v>114670.55009106142</v>
      </c>
      <c r="J23">
        <v>2.5001090126894265</v>
      </c>
      <c r="K23">
        <f>(C23/C5)*(I23/G23-E23/C23)</f>
        <v>-3.4873467757444645E-6</v>
      </c>
      <c r="L23">
        <f t="shared" si="1"/>
        <v>-5.5399810101965845E-5</v>
      </c>
    </row>
    <row r="24" spans="2:13" x14ac:dyDescent="0.25">
      <c r="K24">
        <f>SUM(K5:K23)</f>
        <v>6.2948713530350475E-2</v>
      </c>
      <c r="M24">
        <f>J5-F5</f>
        <v>6.2948713530353473E-2</v>
      </c>
    </row>
  </sheetData>
  <mergeCells count="2">
    <mergeCell ref="C3:F3"/>
    <mergeCell ref="G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71AE-49C5-4FB5-B331-FB393B017185}">
  <dimension ref="A1:M24"/>
  <sheetViews>
    <sheetView workbookViewId="0">
      <selection activeCell="K16" sqref="K16"/>
    </sheetView>
  </sheetViews>
  <sheetFormatPr baseColWidth="10" defaultRowHeight="15" x14ac:dyDescent="0.25"/>
  <sheetData>
    <row r="1" spans="1:12" x14ac:dyDescent="0.25">
      <c r="A1" t="s">
        <v>41</v>
      </c>
    </row>
    <row r="3" spans="1:12" x14ac:dyDescent="0.25">
      <c r="B3" s="2"/>
      <c r="C3" s="7">
        <v>2019</v>
      </c>
      <c r="D3" s="7"/>
      <c r="E3" s="7"/>
      <c r="F3" s="7"/>
      <c r="G3" s="7">
        <v>2021</v>
      </c>
      <c r="H3" s="7"/>
      <c r="I3" s="7"/>
      <c r="J3" s="7"/>
    </row>
    <row r="4" spans="1:12" x14ac:dyDescent="0.25">
      <c r="B4" s="1" t="s">
        <v>0</v>
      </c>
      <c r="C4" s="1" t="s">
        <v>8</v>
      </c>
      <c r="D4" s="1" t="s">
        <v>10</v>
      </c>
      <c r="E4" s="1" t="s">
        <v>11</v>
      </c>
      <c r="F4" s="1" t="s">
        <v>12</v>
      </c>
      <c r="G4" s="1" t="s">
        <v>8</v>
      </c>
      <c r="H4" s="1" t="s">
        <v>10</v>
      </c>
      <c r="I4" s="1" t="s">
        <v>11</v>
      </c>
      <c r="J4" s="1" t="s">
        <v>12</v>
      </c>
      <c r="K4" s="1" t="s">
        <v>36</v>
      </c>
      <c r="L4" s="1" t="s">
        <v>37</v>
      </c>
    </row>
    <row r="5" spans="1:12" ht="15.75" thickBot="1" x14ac:dyDescent="0.3">
      <c r="B5" s="3">
        <v>0</v>
      </c>
      <c r="C5" s="6">
        <v>100000</v>
      </c>
      <c r="D5">
        <v>99324.670440583184</v>
      </c>
      <c r="E5">
        <v>1847863.5156851509</v>
      </c>
      <c r="F5">
        <v>18.47863515685151</v>
      </c>
      <c r="G5" s="2">
        <v>100000</v>
      </c>
      <c r="H5" s="2">
        <v>99270.942094111233</v>
      </c>
      <c r="I5" s="2">
        <v>1776019.3718971335</v>
      </c>
      <c r="J5" s="2">
        <v>17.760193718971337</v>
      </c>
      <c r="K5">
        <f>(C5/$C$5)*(H5/G5-D5/C5)+(I6/$C$5)*(C5/G5-C6/G6)</f>
        <v>-1.0582135462939938E-2</v>
      </c>
      <c r="L5">
        <f>K5/$K$24</f>
        <v>1.4729294421217691E-2</v>
      </c>
    </row>
    <row r="6" spans="1:12" ht="15.75" thickBot="1" x14ac:dyDescent="0.3">
      <c r="B6" s="3">
        <v>1</v>
      </c>
      <c r="C6" s="2">
        <v>99269.953233392342</v>
      </c>
      <c r="D6">
        <v>99434.959992697681</v>
      </c>
      <c r="E6">
        <v>1748538.8452445676</v>
      </c>
      <c r="F6">
        <v>17.613978734669089</v>
      </c>
      <c r="G6" s="2">
        <v>99210.519452697772</v>
      </c>
      <c r="H6" s="2">
        <v>99262.641901544514</v>
      </c>
      <c r="I6" s="2">
        <v>1676748.4298030224</v>
      </c>
      <c r="J6" s="2">
        <v>16.900913724199107</v>
      </c>
      <c r="K6">
        <f t="shared" ref="K6:K23" si="0">(C6/$C$5)*(H6/G6-D6/C6)+(I7/$C$5)*(C6/G6-C7/G7)</f>
        <v>3.400519121515521E-2</v>
      </c>
      <c r="L6">
        <f t="shared" ref="L6:L23" si="1">K6/$K$24</f>
        <v>-4.7331890147498987E-2</v>
      </c>
    </row>
    <row r="7" spans="1:12" ht="15.75" thickBot="1" x14ac:dyDescent="0.3">
      <c r="B7" s="3">
        <v>5</v>
      </c>
      <c r="C7" s="2">
        <v>98954.774324122962</v>
      </c>
      <c r="D7">
        <v>99161.280984623008</v>
      </c>
      <c r="E7">
        <v>1649103.8852518699</v>
      </c>
      <c r="F7">
        <v>16.665228095516511</v>
      </c>
      <c r="G7" s="2">
        <v>99116.148303497786</v>
      </c>
      <c r="H7" s="2">
        <v>99373.552706549759</v>
      </c>
      <c r="I7" s="2">
        <v>1577485.7879014779</v>
      </c>
      <c r="J7" s="2">
        <v>15.915527539177072</v>
      </c>
      <c r="K7">
        <f t="shared" si="0"/>
        <v>-4.5231231575017794E-3</v>
      </c>
      <c r="L7">
        <f t="shared" si="1"/>
        <v>6.295743701598998E-3</v>
      </c>
    </row>
    <row r="8" spans="1:12" ht="15.75" thickBot="1" x14ac:dyDescent="0.3">
      <c r="B8" s="3">
        <v>10</v>
      </c>
      <c r="C8" s="2">
        <v>98820.436550456259</v>
      </c>
      <c r="D8">
        <v>98949.731555205595</v>
      </c>
      <c r="E8">
        <v>1549942.6042672468</v>
      </c>
      <c r="F8">
        <v>15.684433892131906</v>
      </c>
      <c r="G8" s="2">
        <v>98947.878701463138</v>
      </c>
      <c r="H8" s="2">
        <v>99199.724790816224</v>
      </c>
      <c r="I8" s="2">
        <v>1478112.2351949282</v>
      </c>
      <c r="J8" s="2">
        <v>14.938291296315294</v>
      </c>
      <c r="K8">
        <f t="shared" si="0"/>
        <v>-1.0152718966881247E-2</v>
      </c>
      <c r="L8">
        <f t="shared" si="1"/>
        <v>1.4131588785911175E-2</v>
      </c>
    </row>
    <row r="9" spans="1:12" ht="15.75" thickBot="1" x14ac:dyDescent="0.3">
      <c r="B9" s="3">
        <v>15</v>
      </c>
      <c r="C9" s="2">
        <v>98737.573213956697</v>
      </c>
      <c r="D9">
        <v>99086.782570630472</v>
      </c>
      <c r="E9">
        <v>1450992.8727120413</v>
      </c>
      <c r="F9">
        <v>14.69544799898871</v>
      </c>
      <c r="G9" s="2">
        <v>98783.314641894409</v>
      </c>
      <c r="H9" s="2">
        <v>99233.13985572409</v>
      </c>
      <c r="I9" s="2">
        <v>1378912.5104041121</v>
      </c>
      <c r="J9" s="2">
        <v>13.958961747769797</v>
      </c>
      <c r="K9">
        <f t="shared" si="0"/>
        <v>-7.6937058656629861E-3</v>
      </c>
      <c r="L9">
        <f t="shared" si="1"/>
        <v>1.0708883786497684E-2</v>
      </c>
    </row>
    <row r="10" spans="1:12" ht="15.75" thickBot="1" x14ac:dyDescent="0.3">
      <c r="B10" s="3">
        <v>20</v>
      </c>
      <c r="C10" s="2">
        <v>98508.100309507514</v>
      </c>
      <c r="D10">
        <v>99328.965176055644</v>
      </c>
      <c r="E10">
        <v>1351906.0901414107</v>
      </c>
      <c r="F10">
        <v>13.723806325508152</v>
      </c>
      <c r="G10" s="2">
        <v>98486.764499341283</v>
      </c>
      <c r="H10" s="2">
        <v>98989.468886670744</v>
      </c>
      <c r="I10" s="2">
        <v>1279679.370548388</v>
      </c>
      <c r="J10" s="2">
        <v>12.99341466900303</v>
      </c>
      <c r="K10">
        <f t="shared" si="0"/>
        <v>2.2324838632836765E-2</v>
      </c>
      <c r="L10">
        <f t="shared" si="1"/>
        <v>-3.1073985234911384E-2</v>
      </c>
    </row>
    <row r="11" spans="1:12" ht="15.75" thickBot="1" x14ac:dyDescent="0.3">
      <c r="B11" s="3">
        <v>25</v>
      </c>
      <c r="C11" s="2">
        <v>97964.190398475432</v>
      </c>
      <c r="D11">
        <v>98868.871945004707</v>
      </c>
      <c r="E11">
        <v>1252577.124965355</v>
      </c>
      <c r="F11">
        <v>12.786071317186614</v>
      </c>
      <c r="G11" s="2">
        <v>98154.961574454981</v>
      </c>
      <c r="H11" s="2">
        <v>99021.605537785566</v>
      </c>
      <c r="I11" s="2">
        <v>1180689.9016617173</v>
      </c>
      <c r="J11" s="2">
        <v>12.028835656627614</v>
      </c>
      <c r="K11">
        <f t="shared" si="0"/>
        <v>2.537483284047755E-3</v>
      </c>
      <c r="L11">
        <f t="shared" si="1"/>
        <v>-3.5319277957224426E-3</v>
      </c>
    </row>
    <row r="12" spans="1:12" ht="15.75" thickBot="1" x14ac:dyDescent="0.3">
      <c r="B12" s="3">
        <v>30</v>
      </c>
      <c r="C12" s="2">
        <v>97364.402700789244</v>
      </c>
      <c r="D12">
        <v>98110.469400588743</v>
      </c>
      <c r="E12">
        <v>1153708.2530203504</v>
      </c>
      <c r="F12">
        <v>11.849384590442297</v>
      </c>
      <c r="G12" s="2">
        <v>97580.532265567919</v>
      </c>
      <c r="H12" s="2">
        <v>98714.852857960417</v>
      </c>
      <c r="I12" s="2">
        <v>1081668.2961239319</v>
      </c>
      <c r="J12" s="2">
        <v>11.084878008045129</v>
      </c>
      <c r="K12">
        <f t="shared" si="0"/>
        <v>-2.2249233758719515E-2</v>
      </c>
      <c r="L12">
        <f t="shared" si="1"/>
        <v>3.0968750667233425E-2</v>
      </c>
    </row>
    <row r="13" spans="1:12" ht="15.75" thickBot="1" x14ac:dyDescent="0.3">
      <c r="B13" s="3">
        <v>35</v>
      </c>
      <c r="C13" s="2">
        <v>96870.358234256244</v>
      </c>
      <c r="D13">
        <v>97685.03782966343</v>
      </c>
      <c r="E13">
        <v>1055597.7836197617</v>
      </c>
      <c r="F13">
        <v>10.897015380773835</v>
      </c>
      <c r="G13" s="2">
        <v>96827.651870639587</v>
      </c>
      <c r="H13" s="2">
        <v>98334.104756137051</v>
      </c>
      <c r="I13" s="2">
        <v>982953.44326597138</v>
      </c>
      <c r="J13" s="2">
        <v>10.15157782178983</v>
      </c>
      <c r="K13">
        <f t="shared" si="0"/>
        <v>-3.5690186617518972E-2</v>
      </c>
      <c r="L13">
        <f t="shared" si="1"/>
        <v>4.9677238443854937E-2</v>
      </c>
    </row>
    <row r="14" spans="1:12" ht="15.75" thickBot="1" x14ac:dyDescent="0.3">
      <c r="B14" s="3">
        <v>40</v>
      </c>
      <c r="C14" s="2">
        <v>96330.571837318115</v>
      </c>
      <c r="D14">
        <v>97552.218209711675</v>
      </c>
      <c r="E14">
        <v>957912.74579009821</v>
      </c>
      <c r="F14">
        <v>9.9440159808021225</v>
      </c>
      <c r="G14" s="2">
        <v>95826.683280307945</v>
      </c>
      <c r="H14" s="2">
        <v>97539.465993073958</v>
      </c>
      <c r="I14" s="2">
        <v>884619.33850983437</v>
      </c>
      <c r="J14" s="2">
        <v>9.2314510763373221</v>
      </c>
      <c r="K14">
        <f t="shared" si="0"/>
        <v>-2.2712813549797525E-2</v>
      </c>
      <c r="L14">
        <f t="shared" si="1"/>
        <v>3.161400825767232E-2</v>
      </c>
    </row>
    <row r="15" spans="1:12" ht="15.75" thickBot="1" x14ac:dyDescent="0.3">
      <c r="B15" s="3">
        <v>45</v>
      </c>
      <c r="C15" s="2">
        <v>95519.474255722409</v>
      </c>
      <c r="D15">
        <v>97758.207913467253</v>
      </c>
      <c r="E15">
        <v>860360.52758038649</v>
      </c>
      <c r="F15">
        <v>9.007174026911521</v>
      </c>
      <c r="G15" s="2">
        <v>94688.16147179727</v>
      </c>
      <c r="H15" s="2">
        <v>97907.494196189742</v>
      </c>
      <c r="I15" s="2">
        <v>787079.87251676037</v>
      </c>
      <c r="J15" s="2">
        <v>8.3123366245862851</v>
      </c>
      <c r="K15">
        <f t="shared" si="0"/>
        <v>-3.9994989314758013E-2</v>
      </c>
      <c r="L15">
        <f t="shared" si="1"/>
        <v>5.5669101482741998E-2</v>
      </c>
    </row>
    <row r="16" spans="1:12" ht="15.75" thickBot="1" x14ac:dyDescent="0.3">
      <c r="B16" s="3">
        <v>50</v>
      </c>
      <c r="C16" s="2">
        <v>94030.318483892508</v>
      </c>
      <c r="D16">
        <v>96691.43153920336</v>
      </c>
      <c r="E16">
        <v>762602.31966691918</v>
      </c>
      <c r="F16">
        <v>8.1101748027956937</v>
      </c>
      <c r="G16" s="2">
        <v>92545.27298886895</v>
      </c>
      <c r="H16" s="2">
        <v>97079.089453288907</v>
      </c>
      <c r="I16" s="2">
        <v>689172.37832057057</v>
      </c>
      <c r="J16" s="2">
        <v>7.4468674202675054</v>
      </c>
      <c r="K16">
        <f t="shared" si="0"/>
        <v>-6.6318899753087274E-2</v>
      </c>
      <c r="L16">
        <f t="shared" si="1"/>
        <v>9.2309402348461328E-2</v>
      </c>
    </row>
    <row r="17" spans="2:13" ht="15.75" thickBot="1" x14ac:dyDescent="0.3">
      <c r="B17" s="3">
        <v>55</v>
      </c>
      <c r="C17" s="2">
        <v>92259.576447018611</v>
      </c>
      <c r="D17">
        <v>95865.589329364215</v>
      </c>
      <c r="E17">
        <v>665910.88812771579</v>
      </c>
      <c r="F17">
        <v>7.2177969352604245</v>
      </c>
      <c r="G17" s="2">
        <v>89526.062012588984</v>
      </c>
      <c r="H17" s="2">
        <v>96363.493755974923</v>
      </c>
      <c r="I17" s="2">
        <v>592093.28886728163</v>
      </c>
      <c r="J17" s="2">
        <v>6.6136416095686483</v>
      </c>
      <c r="K17">
        <f t="shared" si="0"/>
        <v>-9.9394796091464718E-2</v>
      </c>
      <c r="L17">
        <f t="shared" si="1"/>
        <v>0.13834780519444867</v>
      </c>
    </row>
    <row r="18" spans="2:13" ht="15.75" thickBot="1" x14ac:dyDescent="0.3">
      <c r="B18" s="3">
        <v>60</v>
      </c>
      <c r="C18" s="2">
        <v>89858.901192121542</v>
      </c>
      <c r="D18">
        <v>95783.805498450791</v>
      </c>
      <c r="E18">
        <v>570045.29879835155</v>
      </c>
      <c r="F18">
        <v>6.3437822100625771</v>
      </c>
      <c r="G18" s="2">
        <v>84971.107516998352</v>
      </c>
      <c r="H18" s="2">
        <v>93660.567490359361</v>
      </c>
      <c r="I18" s="2">
        <v>495729.79511130671</v>
      </c>
      <c r="J18" s="2">
        <v>5.834098314090312</v>
      </c>
      <c r="K18">
        <f t="shared" si="0"/>
        <v>-7.7853153447716095E-2</v>
      </c>
      <c r="L18">
        <f t="shared" si="1"/>
        <v>0.10836395194217881</v>
      </c>
    </row>
    <row r="19" spans="2:13" ht="15.75" thickBot="1" x14ac:dyDescent="0.3">
      <c r="B19" s="3">
        <v>65</v>
      </c>
      <c r="C19" s="2">
        <v>85912.298321235372</v>
      </c>
      <c r="D19">
        <v>94786.243463597944</v>
      </c>
      <c r="E19">
        <v>474261.49329990079</v>
      </c>
      <c r="F19">
        <v>5.5202980547276921</v>
      </c>
      <c r="G19" s="2">
        <v>79181.467534757685</v>
      </c>
      <c r="H19" s="2">
        <v>92451.550909977945</v>
      </c>
      <c r="I19" s="2">
        <v>402069.22762094735</v>
      </c>
      <c r="J19" s="2">
        <v>5.0778198502629932</v>
      </c>
      <c r="K19">
        <f t="shared" si="0"/>
        <v>-0.10685615329343641</v>
      </c>
      <c r="L19">
        <f t="shared" si="1"/>
        <v>0.14873328243527595</v>
      </c>
    </row>
    <row r="20" spans="2:13" ht="15.75" thickBot="1" x14ac:dyDescent="0.3">
      <c r="B20" s="3">
        <v>70</v>
      </c>
      <c r="C20" s="2">
        <v>79999.66822632699</v>
      </c>
      <c r="D20">
        <v>90875.473982824507</v>
      </c>
      <c r="E20">
        <v>379475.24983630283</v>
      </c>
      <c r="F20">
        <v>4.7434602948943452</v>
      </c>
      <c r="G20" s="2">
        <v>70338.078617944178</v>
      </c>
      <c r="H20" s="2">
        <v>88024.483609098141</v>
      </c>
      <c r="I20" s="2">
        <v>309617.67671096942</v>
      </c>
      <c r="J20" s="2">
        <v>4.4018500760124804</v>
      </c>
      <c r="K20">
        <f t="shared" si="0"/>
        <v>-0.14071712642627174</v>
      </c>
      <c r="L20">
        <f t="shared" si="1"/>
        <v>0.19586443516046614</v>
      </c>
    </row>
    <row r="21" spans="2:13" ht="15.75" thickBot="1" x14ac:dyDescent="0.3">
      <c r="B21" s="3">
        <v>75</v>
      </c>
      <c r="C21" s="2">
        <v>72752.464388661974</v>
      </c>
      <c r="D21">
        <v>90630.068703556724</v>
      </c>
      <c r="E21">
        <v>288599.77585347829</v>
      </c>
      <c r="F21">
        <v>3.9668728513676959</v>
      </c>
      <c r="G21" s="2">
        <v>58550.475290508206</v>
      </c>
      <c r="H21" s="2">
        <v>78893.023440536272</v>
      </c>
      <c r="I21" s="2">
        <v>221593.19310187129</v>
      </c>
      <c r="J21" s="2">
        <v>3.7846523363371301</v>
      </c>
      <c r="K21">
        <f t="shared" si="0"/>
        <v>-8.2434847846306433E-2</v>
      </c>
      <c r="L21">
        <f t="shared" si="1"/>
        <v>0.11474122106533671</v>
      </c>
    </row>
    <row r="22" spans="2:13" ht="15.75" thickBot="1" x14ac:dyDescent="0.3">
      <c r="B22" s="3">
        <v>80</v>
      </c>
      <c r="C22" s="2">
        <v>60837.394845398805</v>
      </c>
      <c r="D22">
        <v>83299.157058860161</v>
      </c>
      <c r="E22">
        <v>197969.70714992157</v>
      </c>
      <c r="F22">
        <v>3.254079298645284</v>
      </c>
      <c r="G22" s="2">
        <v>44992.10985715616</v>
      </c>
      <c r="H22" s="2">
        <v>67170.432115223521</v>
      </c>
      <c r="I22" s="2">
        <v>142700.16966133501</v>
      </c>
      <c r="J22" s="2">
        <v>3.1716709910779617</v>
      </c>
      <c r="K22">
        <f t="shared" si="0"/>
        <v>-5.0160980037807085E-2</v>
      </c>
      <c r="L22">
        <f t="shared" si="1"/>
        <v>6.9819163251234731E-2</v>
      </c>
    </row>
    <row r="23" spans="2:13" ht="15.75" thickBot="1" x14ac:dyDescent="0.3">
      <c r="B23" s="3" t="s">
        <v>19</v>
      </c>
      <c r="C23" s="2">
        <v>45866.220036424565</v>
      </c>
      <c r="D23">
        <v>114670.55009106142</v>
      </c>
      <c r="E23">
        <v>114670.55009106142</v>
      </c>
      <c r="F23">
        <v>2.5001090126894265</v>
      </c>
      <c r="G23" s="2">
        <v>30209.895018444593</v>
      </c>
      <c r="H23" s="2">
        <v>75529.737546111486</v>
      </c>
      <c r="I23" s="2">
        <v>75529.737546111486</v>
      </c>
      <c r="J23" s="2">
        <v>2.5001655086850501</v>
      </c>
      <c r="K23">
        <f>(C23/C5)*(I23/G23-E23/C23)</f>
        <v>2.5912577664451472E-5</v>
      </c>
      <c r="L23">
        <f t="shared" si="1"/>
        <v>-3.6067765997614458E-5</v>
      </c>
    </row>
    <row r="24" spans="2:13" x14ac:dyDescent="0.25">
      <c r="K24">
        <f>SUM(K5:K23)</f>
        <v>-0.71844143788016546</v>
      </c>
      <c r="M24">
        <f>J5-F5</f>
        <v>-0.71844143788017334</v>
      </c>
    </row>
  </sheetData>
  <mergeCells count="2">
    <mergeCell ref="C3:F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2010H</vt:lpstr>
      <vt:lpstr>2010F</vt:lpstr>
      <vt:lpstr>2019H</vt:lpstr>
      <vt:lpstr>2019F</vt:lpstr>
      <vt:lpstr>2021H</vt:lpstr>
      <vt:lpstr>2021F</vt:lpstr>
      <vt:lpstr>GrafH10-19</vt:lpstr>
      <vt:lpstr>GrafH19-21</vt:lpstr>
      <vt:lpstr>GrafF10-19</vt:lpstr>
      <vt:lpstr>GrafF19-21</vt:lpstr>
      <vt:lpstr>Desc.ArriH10-19</vt:lpstr>
      <vt:lpstr>Desc.ArriH19-21</vt:lpstr>
      <vt:lpstr>Desc.ArriF10-19</vt:lpstr>
      <vt:lpstr>Desc.ArriF19-21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DAYANA MARTINEZ MENDOZA</dc:creator>
  <cp:lastModifiedBy>INGRID DAYANA MARTINEZ MENDOZA</cp:lastModifiedBy>
  <dcterms:created xsi:type="dcterms:W3CDTF">2025-11-23T23:18:44Z</dcterms:created>
  <dcterms:modified xsi:type="dcterms:W3CDTF">2025-11-24T01:12:56Z</dcterms:modified>
</cp:coreProperties>
</file>