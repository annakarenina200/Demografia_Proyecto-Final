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\Downloads\Demo_proyecto_final\Demo_proyecto_final\data\"/>
    </mc:Choice>
  </mc:AlternateContent>
  <xr:revisionPtr revIDLastSave="0" documentId="13_ncr:1_{419ABB42-31C0-405C-81D9-BEC06F631279}" xr6:coauthVersionLast="47" xr6:coauthVersionMax="47" xr10:uidLastSave="{00000000-0000-0000-0000-000000000000}"/>
  <bookViews>
    <workbookView xWindow="-108" yWindow="-108" windowWidth="23256" windowHeight="12456" firstSheet="4" activeTab="5" xr2:uid="{A5787955-EE67-4FAB-9C63-B1A468E97F99}"/>
  </bookViews>
  <sheets>
    <sheet name="Def_ocu_filtrada_2010_2019_2021" sheetId="1" r:id="rId1"/>
    <sheet name="Defunciones generales" sheetId="2" r:id="rId2"/>
    <sheet name="Def_hom_filtrada_2010_2019_2021" sheetId="6" r:id="rId3"/>
    <sheet name="Homicidios" sheetId="5" r:id="rId4"/>
    <sheet name="LT" sheetId="3" r:id="rId5"/>
    <sheet name="Decrementos Múltiples" sheetId="4" r:id="rId6"/>
  </sheets>
  <externalReferences>
    <externalReference r:id="rId7"/>
  </externalReferences>
  <definedNames>
    <definedName name="_xlnm._FilterDatabase" localSheetId="2" hidden="1">Def_hom_filtrada_2010_2019_2021!$A$2:$G$1245</definedName>
    <definedName name="_xlnm._FilterDatabase" localSheetId="0" hidden="1">Def_ocu_filtrada_2010_2019_2021!$A$2:$G$2142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4" l="1"/>
  <c r="X30" i="4"/>
  <c r="Y29" i="4"/>
  <c r="X29" i="4"/>
  <c r="X31" i="4" s="1"/>
  <c r="Q46" i="4"/>
  <c r="N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29" i="4"/>
  <c r="K28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4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28" i="4"/>
  <c r="H29" i="4"/>
  <c r="I29" i="4" s="1"/>
  <c r="H30" i="4"/>
  <c r="H31" i="4"/>
  <c r="H32" i="4"/>
  <c r="H33" i="4"/>
  <c r="H34" i="4"/>
  <c r="I34" i="4" s="1"/>
  <c r="H35" i="4"/>
  <c r="H36" i="4"/>
  <c r="H37" i="4"/>
  <c r="I37" i="4" s="1"/>
  <c r="H38" i="4"/>
  <c r="H39" i="4"/>
  <c r="H40" i="4"/>
  <c r="H41" i="4"/>
  <c r="H42" i="4"/>
  <c r="H43" i="4"/>
  <c r="H44" i="4"/>
  <c r="H45" i="4"/>
  <c r="H46" i="4"/>
  <c r="H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28" i="4"/>
  <c r="E29" i="4"/>
  <c r="E30" i="4"/>
  <c r="E31" i="4"/>
  <c r="E32" i="4"/>
  <c r="E33" i="4"/>
  <c r="F33" i="4" s="1"/>
  <c r="E34" i="4"/>
  <c r="E35" i="4"/>
  <c r="F35" i="4" s="1"/>
  <c r="E36" i="4"/>
  <c r="E37" i="4"/>
  <c r="E38" i="4"/>
  <c r="E39" i="4"/>
  <c r="E40" i="4"/>
  <c r="E41" i="4"/>
  <c r="E42" i="4"/>
  <c r="E43" i="4"/>
  <c r="F43" i="4" s="1"/>
  <c r="E44" i="4"/>
  <c r="E45" i="4"/>
  <c r="E46" i="4"/>
  <c r="E28" i="4"/>
  <c r="D29" i="4"/>
  <c r="F29" i="4" s="1"/>
  <c r="D30" i="4"/>
  <c r="D31" i="4"/>
  <c r="F31" i="4" s="1"/>
  <c r="D32" i="4"/>
  <c r="F32" i="4" s="1"/>
  <c r="D33" i="4"/>
  <c r="D34" i="4"/>
  <c r="D35" i="4"/>
  <c r="D36" i="4"/>
  <c r="D37" i="4"/>
  <c r="D38" i="4"/>
  <c r="D39" i="4"/>
  <c r="F39" i="4" s="1"/>
  <c r="D40" i="4"/>
  <c r="D41" i="4"/>
  <c r="D42" i="4"/>
  <c r="D43" i="4"/>
  <c r="D44" i="4"/>
  <c r="F44" i="4" s="1"/>
  <c r="D45" i="4"/>
  <c r="F45" i="4" s="1"/>
  <c r="D46" i="4"/>
  <c r="F46" i="4" s="1"/>
  <c r="D28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4" i="4"/>
  <c r="H5" i="4"/>
  <c r="I5" i="4" s="1"/>
  <c r="H6" i="4"/>
  <c r="I6" i="4" s="1"/>
  <c r="H7" i="4"/>
  <c r="I7" i="4" s="1"/>
  <c r="H8" i="4"/>
  <c r="H9" i="4"/>
  <c r="H10" i="4"/>
  <c r="H11" i="4"/>
  <c r="H12" i="4"/>
  <c r="I12" i="4" s="1"/>
  <c r="H13" i="4"/>
  <c r="I13" i="4" s="1"/>
  <c r="H14" i="4"/>
  <c r="I14" i="4" s="1"/>
  <c r="H15" i="4"/>
  <c r="I15" i="4" s="1"/>
  <c r="H16" i="4"/>
  <c r="H17" i="4"/>
  <c r="H18" i="4"/>
  <c r="H19" i="4"/>
  <c r="H20" i="4"/>
  <c r="I20" i="4" s="1"/>
  <c r="H21" i="4"/>
  <c r="I21" i="4" s="1"/>
  <c r="H22" i="4"/>
  <c r="I22" i="4" s="1"/>
  <c r="H4" i="4"/>
  <c r="I4" i="4" s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4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F6" i="4" s="1"/>
  <c r="E5" i="4"/>
  <c r="E4" i="4"/>
  <c r="D5" i="4"/>
  <c r="D6" i="4"/>
  <c r="D7" i="4"/>
  <c r="D8" i="4"/>
  <c r="D9" i="4"/>
  <c r="F9" i="4" s="1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4" i="4"/>
  <c r="I44" i="4"/>
  <c r="F42" i="4"/>
  <c r="I41" i="4"/>
  <c r="I40" i="4"/>
  <c r="I39" i="4"/>
  <c r="F37" i="4"/>
  <c r="I36" i="4"/>
  <c r="I33" i="4"/>
  <c r="I32" i="4"/>
  <c r="I31" i="4"/>
  <c r="I30" i="4"/>
  <c r="I28" i="4"/>
  <c r="I9" i="4"/>
  <c r="Y31" i="4" l="1"/>
  <c r="L37" i="4"/>
  <c r="M37" i="4" s="1"/>
  <c r="F19" i="4"/>
  <c r="F11" i="4"/>
  <c r="L31" i="4"/>
  <c r="M31" i="4" s="1"/>
  <c r="F22" i="4"/>
  <c r="L44" i="4"/>
  <c r="M44" i="4" s="1"/>
  <c r="F4" i="4"/>
  <c r="L4" i="4" s="1"/>
  <c r="F13" i="4"/>
  <c r="L13" i="4" s="1"/>
  <c r="M13" i="4" s="1"/>
  <c r="F5" i="4"/>
  <c r="L5" i="4" s="1"/>
  <c r="M5" i="4" s="1"/>
  <c r="P5" i="4" s="1"/>
  <c r="F15" i="4"/>
  <c r="L15" i="4" s="1"/>
  <c r="M15" i="4" s="1"/>
  <c r="F8" i="4"/>
  <c r="F16" i="4"/>
  <c r="F18" i="4"/>
  <c r="L18" i="4" s="1"/>
  <c r="M18" i="4" s="1"/>
  <c r="L22" i="4"/>
  <c r="M22" i="4" s="1"/>
  <c r="F41" i="4"/>
  <c r="L41" i="4" s="1"/>
  <c r="M41" i="4" s="1"/>
  <c r="F34" i="4"/>
  <c r="L34" i="4" s="1"/>
  <c r="M34" i="4" s="1"/>
  <c r="F21" i="4"/>
  <c r="L21" i="4" s="1"/>
  <c r="M21" i="4" s="1"/>
  <c r="L11" i="4"/>
  <c r="M11" i="4" s="1"/>
  <c r="F20" i="4"/>
  <c r="L20" i="4" s="1"/>
  <c r="M20" i="4" s="1"/>
  <c r="L16" i="4"/>
  <c r="M16" i="4" s="1"/>
  <c r="I16" i="4"/>
  <c r="L42" i="4"/>
  <c r="M42" i="4" s="1"/>
  <c r="L8" i="4"/>
  <c r="M8" i="4" s="1"/>
  <c r="F12" i="4"/>
  <c r="L12" i="4" s="1"/>
  <c r="M12" i="4" s="1"/>
  <c r="L39" i="4"/>
  <c r="M39" i="4" s="1"/>
  <c r="F40" i="4"/>
  <c r="L40" i="4" s="1"/>
  <c r="M40" i="4" s="1"/>
  <c r="I42" i="4"/>
  <c r="L43" i="4"/>
  <c r="M43" i="4" s="1"/>
  <c r="I8" i="4"/>
  <c r="F28" i="4"/>
  <c r="L28" i="4" s="1"/>
  <c r="L35" i="4"/>
  <c r="M35" i="4" s="1"/>
  <c r="F10" i="4"/>
  <c r="L10" i="4" s="1"/>
  <c r="M10" i="4" s="1"/>
  <c r="F17" i="4"/>
  <c r="L17" i="4" s="1"/>
  <c r="M17" i="4" s="1"/>
  <c r="L19" i="4"/>
  <c r="M19" i="4" s="1"/>
  <c r="F38" i="4"/>
  <c r="L38" i="4" s="1"/>
  <c r="M38" i="4" s="1"/>
  <c r="F7" i="4"/>
  <c r="L7" i="4" s="1"/>
  <c r="M7" i="4" s="1"/>
  <c r="F14" i="4"/>
  <c r="L14" i="4" s="1"/>
  <c r="M14" i="4" s="1"/>
  <c r="F30" i="4"/>
  <c r="L30" i="4" s="1"/>
  <c r="M30" i="4" s="1"/>
  <c r="P30" i="4" s="1"/>
  <c r="F36" i="4"/>
  <c r="L36" i="4" s="1"/>
  <c r="M36" i="4" s="1"/>
  <c r="L45" i="4"/>
  <c r="M45" i="4" s="1"/>
  <c r="L29" i="4"/>
  <c r="M29" i="4" s="1"/>
  <c r="P29" i="4" s="1"/>
  <c r="L46" i="4"/>
  <c r="M46" i="4" s="1"/>
  <c r="L32" i="4"/>
  <c r="M32" i="4" s="1"/>
  <c r="P46" i="4"/>
  <c r="I35" i="4"/>
  <c r="I43" i="4"/>
  <c r="L33" i="4"/>
  <c r="M33" i="4" s="1"/>
  <c r="I45" i="4"/>
  <c r="I38" i="4"/>
  <c r="I46" i="4"/>
  <c r="L6" i="4"/>
  <c r="M6" i="4" s="1"/>
  <c r="P6" i="4" s="1"/>
  <c r="P22" i="4"/>
  <c r="I17" i="4"/>
  <c r="I18" i="4"/>
  <c r="I11" i="4"/>
  <c r="I19" i="4"/>
  <c r="I10" i="4"/>
  <c r="L9" i="4"/>
  <c r="M9" i="4" s="1"/>
  <c r="P45" i="4" l="1"/>
  <c r="P21" i="4"/>
  <c r="M28" i="4"/>
  <c r="M4" i="4"/>
  <c r="N5" i="4"/>
  <c r="N30" i="4" l="1"/>
  <c r="O29" i="4"/>
  <c r="O28" i="4"/>
  <c r="P28" i="4"/>
  <c r="Q28" i="4" s="1"/>
  <c r="N6" i="4"/>
  <c r="O5" i="4"/>
  <c r="O4" i="4"/>
  <c r="P4" i="4"/>
  <c r="Q4" i="4" l="1"/>
  <c r="Q29" i="4"/>
  <c r="N31" i="4"/>
  <c r="O30" i="4"/>
  <c r="Q5" i="4"/>
  <c r="N7" i="4"/>
  <c r="O6" i="4"/>
  <c r="N32" i="4" l="1"/>
  <c r="O31" i="4"/>
  <c r="Q30" i="4"/>
  <c r="O7" i="4"/>
  <c r="Q6" i="4"/>
  <c r="N8" i="4"/>
  <c r="N33" i="4" l="1"/>
  <c r="O32" i="4"/>
  <c r="N9" i="4"/>
  <c r="O8" i="4"/>
  <c r="P7" i="4" s="1"/>
  <c r="Q7" i="4" s="1"/>
  <c r="N34" i="4" l="1"/>
  <c r="O33" i="4"/>
  <c r="P31" i="4"/>
  <c r="Q31" i="4" s="1"/>
  <c r="N10" i="4"/>
  <c r="O9" i="4"/>
  <c r="P32" i="4" l="1"/>
  <c r="Q32" i="4" s="1"/>
  <c r="N35" i="4"/>
  <c r="O34" i="4"/>
  <c r="P8" i="4"/>
  <c r="Q8" i="4" s="1"/>
  <c r="N11" i="4"/>
  <c r="O10" i="4"/>
  <c r="P9" i="4" s="1"/>
  <c r="Q9" i="4" s="1"/>
  <c r="P33" i="4" l="1"/>
  <c r="Q33" i="4" s="1"/>
  <c r="N36" i="4"/>
  <c r="O35" i="4"/>
  <c r="P34" i="4" s="1"/>
  <c r="Q34" i="4" s="1"/>
  <c r="N12" i="4"/>
  <c r="O11" i="4"/>
  <c r="P10" i="4" s="1"/>
  <c r="Q10" i="4" s="1"/>
  <c r="N37" i="4" l="1"/>
  <c r="O36" i="4"/>
  <c r="P35" i="4" s="1"/>
  <c r="Q35" i="4" s="1"/>
  <c r="N13" i="4"/>
  <c r="O12" i="4"/>
  <c r="P11" i="4" s="1"/>
  <c r="Q11" i="4" s="1"/>
  <c r="N38" i="4" l="1"/>
  <c r="O37" i="4"/>
  <c r="N14" i="4"/>
  <c r="O13" i="4"/>
  <c r="P12" i="4"/>
  <c r="Q12" i="4" s="1"/>
  <c r="P36" i="4" l="1"/>
  <c r="Q36" i="4" s="1"/>
  <c r="N39" i="4"/>
  <c r="O38" i="4"/>
  <c r="P37" i="4" s="1"/>
  <c r="Q37" i="4" s="1"/>
  <c r="N15" i="4"/>
  <c r="O14" i="4"/>
  <c r="N40" i="4" l="1"/>
  <c r="O39" i="4"/>
  <c r="P38" i="4"/>
  <c r="Q38" i="4" s="1"/>
  <c r="O15" i="4"/>
  <c r="N16" i="4"/>
  <c r="P13" i="4"/>
  <c r="Q13" i="4" s="1"/>
  <c r="N41" i="4" l="1"/>
  <c r="O40" i="4"/>
  <c r="N17" i="4"/>
  <c r="O16" i="4"/>
  <c r="P14" i="4"/>
  <c r="Q14" i="4" s="1"/>
  <c r="P39" i="4" l="1"/>
  <c r="Q39" i="4" s="1"/>
  <c r="N42" i="4"/>
  <c r="O41" i="4"/>
  <c r="P40" i="4"/>
  <c r="Q40" i="4" s="1"/>
  <c r="N18" i="4"/>
  <c r="O17" i="4"/>
  <c r="P15" i="4"/>
  <c r="Q15" i="4" s="1"/>
  <c r="N43" i="4" l="1"/>
  <c r="O42" i="4"/>
  <c r="P16" i="4"/>
  <c r="Q16" i="4" s="1"/>
  <c r="N19" i="4"/>
  <c r="O18" i="4"/>
  <c r="P41" i="4" l="1"/>
  <c r="Q41" i="4" s="1"/>
  <c r="N44" i="4"/>
  <c r="O43" i="4"/>
  <c r="P42" i="4" s="1"/>
  <c r="Q42" i="4" s="1"/>
  <c r="O19" i="4"/>
  <c r="N20" i="4"/>
  <c r="P17" i="4"/>
  <c r="Q17" i="4" s="1"/>
  <c r="P18" i="4"/>
  <c r="Q18" i="4" s="1"/>
  <c r="N45" i="4" l="1"/>
  <c r="O44" i="4"/>
  <c r="P43" i="4"/>
  <c r="Q43" i="4" s="1"/>
  <c r="N21" i="4"/>
  <c r="O20" i="4"/>
  <c r="P19" i="4" s="1"/>
  <c r="Q19" i="4" s="1"/>
  <c r="N46" i="4" l="1"/>
  <c r="O45" i="4"/>
  <c r="P44" i="4" s="1"/>
  <c r="Q44" i="4" s="1"/>
  <c r="N22" i="4"/>
  <c r="Q22" i="4" s="1"/>
  <c r="O21" i="4"/>
  <c r="P20" i="4" s="1"/>
  <c r="Q20" i="4" s="1"/>
  <c r="R46" i="4" l="1"/>
  <c r="Q45" i="4"/>
  <c r="O46" i="4"/>
  <c r="R22" i="4"/>
  <c r="Q21" i="4"/>
  <c r="O22" i="4"/>
  <c r="S46" i="4" l="1"/>
  <c r="T46" i="4" s="1"/>
  <c r="R45" i="4"/>
  <c r="S22" i="4"/>
  <c r="T22" i="4" s="1"/>
  <c r="R21" i="4"/>
  <c r="S45" i="4" l="1"/>
  <c r="T45" i="4" s="1"/>
  <c r="R44" i="4"/>
  <c r="S21" i="4"/>
  <c r="T21" i="4" s="1"/>
  <c r="R20" i="4"/>
  <c r="S44" i="4" l="1"/>
  <c r="T44" i="4" s="1"/>
  <c r="R43" i="4"/>
  <c r="S20" i="4"/>
  <c r="T20" i="4" s="1"/>
  <c r="R19" i="4"/>
  <c r="S43" i="4" l="1"/>
  <c r="T43" i="4" s="1"/>
  <c r="R42" i="4"/>
  <c r="S19" i="4"/>
  <c r="T19" i="4" s="1"/>
  <c r="R18" i="4"/>
  <c r="S42" i="4" l="1"/>
  <c r="T42" i="4" s="1"/>
  <c r="R41" i="4"/>
  <c r="S18" i="4"/>
  <c r="T18" i="4" s="1"/>
  <c r="R17" i="4"/>
  <c r="R40" i="4" l="1"/>
  <c r="S41" i="4"/>
  <c r="T41" i="4" s="1"/>
  <c r="R16" i="4"/>
  <c r="S17" i="4"/>
  <c r="T17" i="4" s="1"/>
  <c r="R39" i="4" l="1"/>
  <c r="S40" i="4"/>
  <c r="T40" i="4" s="1"/>
  <c r="R15" i="4"/>
  <c r="S16" i="4"/>
  <c r="T16" i="4" s="1"/>
  <c r="S39" i="4" l="1"/>
  <c r="T39" i="4" s="1"/>
  <c r="R38" i="4"/>
  <c r="R14" i="4"/>
  <c r="S15" i="4"/>
  <c r="T15" i="4" s="1"/>
  <c r="S38" i="4" l="1"/>
  <c r="T38" i="4" s="1"/>
  <c r="R37" i="4"/>
  <c r="S14" i="4"/>
  <c r="T14" i="4" s="1"/>
  <c r="R13" i="4"/>
  <c r="S37" i="4" l="1"/>
  <c r="T37" i="4" s="1"/>
  <c r="R36" i="4"/>
  <c r="S13" i="4"/>
  <c r="T13" i="4" s="1"/>
  <c r="R12" i="4"/>
  <c r="S36" i="4" l="1"/>
  <c r="T36" i="4" s="1"/>
  <c r="R35" i="4"/>
  <c r="S12" i="4"/>
  <c r="T12" i="4" s="1"/>
  <c r="R11" i="4"/>
  <c r="S35" i="4" l="1"/>
  <c r="T35" i="4" s="1"/>
  <c r="R34" i="4"/>
  <c r="S11" i="4"/>
  <c r="T11" i="4" s="1"/>
  <c r="R10" i="4"/>
  <c r="S34" i="4" l="1"/>
  <c r="T34" i="4" s="1"/>
  <c r="R33" i="4"/>
  <c r="S10" i="4"/>
  <c r="T10" i="4" s="1"/>
  <c r="R9" i="4"/>
  <c r="R32" i="4" l="1"/>
  <c r="S33" i="4"/>
  <c r="T33" i="4" s="1"/>
  <c r="S9" i="4"/>
  <c r="T9" i="4" s="1"/>
  <c r="R8" i="4"/>
  <c r="R31" i="4" l="1"/>
  <c r="S32" i="4"/>
  <c r="T32" i="4" s="1"/>
  <c r="R7" i="4"/>
  <c r="S8" i="4"/>
  <c r="T8" i="4" s="1"/>
  <c r="S31" i="4" l="1"/>
  <c r="T31" i="4" s="1"/>
  <c r="R30" i="4"/>
  <c r="R6" i="4"/>
  <c r="S7" i="4"/>
  <c r="T7" i="4" s="1"/>
  <c r="S30" i="4" l="1"/>
  <c r="T30" i="4" s="1"/>
  <c r="R29" i="4"/>
  <c r="R5" i="4"/>
  <c r="S6" i="4"/>
  <c r="T6" i="4" s="1"/>
  <c r="S29" i="4" l="1"/>
  <c r="T29" i="4" s="1"/>
  <c r="R28" i="4"/>
  <c r="S28" i="4" s="1"/>
  <c r="T28" i="4" s="1"/>
  <c r="S5" i="4"/>
  <c r="T5" i="4" s="1"/>
  <c r="R4" i="4"/>
  <c r="S4" i="4" s="1"/>
  <c r="T4" i="4" s="1"/>
</calcChain>
</file>

<file path=xl/sharedStrings.xml><?xml version="1.0" encoding="utf-8"?>
<sst xmlns="http://schemas.openxmlformats.org/spreadsheetml/2006/main" count="12952" uniqueCount="130">
  <si>
    <t>age</t>
  </si>
  <si>
    <t>ocu</t>
  </si>
  <si>
    <t>reg</t>
  </si>
  <si>
    <t>Total</t>
  </si>
  <si>
    <t>Hombre</t>
  </si>
  <si>
    <t>Mujer</t>
  </si>
  <si>
    <t>No especificado</t>
  </si>
  <si>
    <t/>
  </si>
  <si>
    <t>1900</t>
  </si>
  <si>
    <t>1901</t>
  </si>
  <si>
    <t>1903</t>
  </si>
  <si>
    <t>1909</t>
  </si>
  <si>
    <t>1911</t>
  </si>
  <si>
    <t>1912</t>
  </si>
  <si>
    <t>1920</t>
  </si>
  <si>
    <t>1923</t>
  </si>
  <si>
    <t>1937</t>
  </si>
  <si>
    <t>1941</t>
  </si>
  <si>
    <t>1945</t>
  </si>
  <si>
    <t>1949</t>
  </si>
  <si>
    <t>1951</t>
  </si>
  <si>
    <t>1959</t>
  </si>
  <si>
    <t>1964</t>
  </si>
  <si>
    <t>1966</t>
  </si>
  <si>
    <t>1969</t>
  </si>
  <si>
    <t>1974</t>
  </si>
  <si>
    <t>1978</t>
  </si>
  <si>
    <t>1979</t>
  </si>
  <si>
    <t>1981</t>
  </si>
  <si>
    <t>1982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</si>
  <si>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</si>
  <si>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</si>
  <si>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</si>
  <si>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</si>
  <si>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</si>
  <si>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</si>
  <si>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</si>
  <si>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</si>
  <si>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</si>
  <si>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</si>
  <si>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</si>
  <si>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</si>
  <si>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</si>
  <si>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</si>
  <si>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</si>
  <si>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</si>
  <si>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</si>
  <si>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</si>
  <si>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</si>
  <si>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</si>
  <si>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</si>
  <si>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</si>
  <si>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</si>
  <si>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</si>
  <si>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</si>
  <si>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</si>
  <si>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</si>
  <si>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</si>
  <si>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</si>
  <si>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</si>
  <si>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</si>
  <si>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</si>
  <si>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</si>
  <si>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</si>
  <si>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</si>
  <si>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</si>
  <si>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</si>
  <si>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</si>
  <si>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</si>
  <si>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</si>
  <si>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</si>
  <si>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</si>
  <si>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</si>
  <si>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</si>
  <si>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</si>
  <si>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</si>
  <si>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</si>
  <si>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</si>
  <si>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</si>
  <si>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</si>
  <si>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</si>
  <si>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</si>
  <si>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</si>
  <si>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</si>
  <si>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</si>
  <si>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</si>
  <si>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</si>
  <si>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</si>
  <si>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</si>
  <si>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year</t>
  </si>
  <si>
    <t>sex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</si>
  <si>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</si>
  <si>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</si>
  <si>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</si>
  <si>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</si>
  <si>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</si>
  <si>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</si>
  <si>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</si>
  <si>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</si>
  <si>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</si>
  <si>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</si>
  <si>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</si>
  <si>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</si>
  <si>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 VR/Census, COL</t>
  </si>
  <si>
    <t>m</t>
  </si>
  <si>
    <t>NA</t>
  </si>
  <si>
    <t>f</t>
  </si>
  <si>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</si>
  <si>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</si>
  <si>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</si>
  <si>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</si>
  <si>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</si>
  <si>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</si>
  <si>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</si>
  <si>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</si>
  <si>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</si>
  <si>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</si>
  <si>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</si>
  <si>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</si>
  <si>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</si>
  <si>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Mujeres, 2019</t>
  </si>
  <si>
    <t>2</t>
  </si>
  <si>
    <t>1</t>
  </si>
  <si>
    <t>3</t>
  </si>
  <si>
    <t>5</t>
  </si>
  <si>
    <t>4</t>
  </si>
  <si>
    <t>Hombres</t>
  </si>
  <si>
    <t>Mujeres</t>
  </si>
  <si>
    <t>Sin homicidios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</si>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</sst>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#"/>
    <numFmt numFmtId="169" formatCode="0.0000"/>
    <numFmt numFmtId="170" formatCode="#,##0.0000"/>
    <numFmt numFmtId="171" formatCode="0.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"/>
    </font>
    <font>
      <i/>
      <sz val="11"/>
      <name val="Aptos Narrow"/>
      <family val="2"/>
      <scheme val="minor"/>
    </font>
    <font>
      <sz val="11"/>
      <color rgb="FF000000"/>
      <name val="Georgia"/>
      <family val="1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rgb="FF000000"/>
      <name val="Georgia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0" xfId="0" applyFont="1" applyFill="1"/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6" fillId="5" borderId="0" xfId="0" applyNumberFormat="1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3" fontId="6" fillId="6" borderId="0" xfId="0" applyNumberFormat="1" applyFont="1" applyFill="1" applyAlignment="1">
      <alignment horizontal="center"/>
    </xf>
    <xf numFmtId="169" fontId="6" fillId="5" borderId="0" xfId="0" applyNumberFormat="1" applyFont="1" applyFill="1" applyAlignment="1">
      <alignment horizontal="center"/>
    </xf>
    <xf numFmtId="169" fontId="6" fillId="0" borderId="0" xfId="0" applyNumberFormat="1" applyFont="1" applyAlignment="1">
      <alignment horizontal="center"/>
    </xf>
    <xf numFmtId="0" fontId="6" fillId="5" borderId="0" xfId="0" applyFont="1" applyFill="1" applyAlignment="1">
      <alignment horizontal="center"/>
    </xf>
    <xf numFmtId="2" fontId="9" fillId="7" borderId="0" xfId="0" applyNumberFormat="1" applyFont="1" applyFill="1" applyAlignment="1">
      <alignment horizontal="center"/>
    </xf>
    <xf numFmtId="170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171" fontId="6" fillId="0" borderId="0" xfId="0" applyNumberFormat="1" applyFont="1" applyAlignment="1">
      <alignment horizontal="center"/>
    </xf>
    <xf numFmtId="2" fontId="9" fillId="2" borderId="0" xfId="0" applyNumberFormat="1" applyFont="1" applyFill="1" applyAlignment="1">
      <alignment horizontal="center"/>
    </xf>
    <xf numFmtId="2" fontId="1" fillId="0" borderId="5" xfId="0" applyNumberFormat="1" applyFont="1" applyBorder="1"/>
    <xf numFmtId="2" fontId="6" fillId="5" borderId="0" xfId="0" applyNumberFormat="1" applyFont="1" applyFill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3" fontId="6" fillId="5" borderId="7" xfId="0" applyNumberFormat="1" applyFont="1" applyFill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3" fontId="6" fillId="6" borderId="7" xfId="0" applyNumberFormat="1" applyFont="1" applyFill="1" applyBorder="1" applyAlignment="1">
      <alignment horizontal="center"/>
    </xf>
    <xf numFmtId="169" fontId="6" fillId="5" borderId="7" xfId="0" applyNumberFormat="1" applyFont="1" applyFill="1" applyBorder="1" applyAlignment="1">
      <alignment horizontal="center"/>
    </xf>
    <xf numFmtId="169" fontId="6" fillId="0" borderId="7" xfId="0" applyNumberFormat="1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3" fontId="6" fillId="0" borderId="7" xfId="0" applyNumberFormat="1" applyFont="1" applyBorder="1" applyAlignment="1">
      <alignment horizontal="center"/>
    </xf>
    <xf numFmtId="171" fontId="6" fillId="0" borderId="7" xfId="0" applyNumberFormat="1" applyFont="1" applyBorder="1" applyAlignment="1">
      <alignment horizontal="center"/>
    </xf>
    <xf numFmtId="2" fontId="1" fillId="0" borderId="8" xfId="0" applyNumberFormat="1" applyFont="1" applyBorder="1"/>
    <xf numFmtId="0" fontId="2" fillId="8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3" fontId="6" fillId="9" borderId="0" xfId="0" applyNumberFormat="1" applyFont="1" applyFill="1" applyAlignment="1">
      <alignment horizontal="center"/>
    </xf>
    <xf numFmtId="169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9" fillId="10" borderId="0" xfId="0" applyNumberFormat="1" applyFont="1" applyFill="1" applyAlignment="1">
      <alignment horizontal="center"/>
    </xf>
    <xf numFmtId="2" fontId="9" fillId="11" borderId="0" xfId="0" applyNumberFormat="1" applyFont="1" applyFill="1" applyAlignment="1">
      <alignment horizontal="center"/>
    </xf>
    <xf numFmtId="3" fontId="6" fillId="3" borderId="7" xfId="0" applyNumberFormat="1" applyFont="1" applyFill="1" applyBorder="1" applyAlignment="1">
      <alignment horizontal="center"/>
    </xf>
    <xf numFmtId="3" fontId="6" fillId="9" borderId="7" xfId="0" applyNumberFormat="1" applyFont="1" applyFill="1" applyBorder="1" applyAlignment="1">
      <alignment horizontal="center"/>
    </xf>
    <xf numFmtId="169" fontId="6" fillId="3" borderId="7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2" fontId="6" fillId="3" borderId="7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left" vertical="top"/>
    </xf>
    <xf numFmtId="2" fontId="0" fillId="0" borderId="0" xfId="0" applyNumberFormat="1"/>
    <xf numFmtId="0" fontId="0" fillId="0" borderId="0" xfId="0" applyNumberFormat="1" applyAlignment="1">
      <alignment horizontal="right" vertical="top"/>
    </xf>
    <xf numFmtId="0" fontId="0" fillId="0" borderId="0" xfId="1" applyNumberFormat="1" applyFont="1" applyAlignment="1">
      <alignment horizontal="right" vertical="top"/>
    </xf>
    <xf numFmtId="0" fontId="0" fillId="0" borderId="9" xfId="0" applyBorder="1"/>
    <xf numFmtId="0" fontId="0" fillId="0" borderId="0" xfId="0" applyAlignment="1">
      <alignment horizontal="right"/>
    </xf>
    <xf numFmtId="1" fontId="0" fillId="0" borderId="0" xfId="1" applyNumberFormat="1" applyFont="1" applyAlignment="1">
      <alignment horizontal="right" vertical="top"/>
    </xf>
    <xf numFmtId="0" fontId="0" fillId="0" borderId="0" xfId="0" applyAlignment="1">
      <alignment horizontal="right" vertical="top"/>
    </xf>
    <xf numFmtId="1" fontId="0" fillId="0" borderId="0" xfId="0" applyNumberFormat="1" applyAlignment="1">
      <alignment horizontal="left" vertical="top"/>
    </xf>
    <xf numFmtId="0" fontId="0" fillId="0" borderId="0" xfId="0" applyFill="1"/>
    <xf numFmtId="0" fontId="0" fillId="2" borderId="0" xfId="0" applyFill="1" applyAlignment="1">
      <alignment horizontal="right"/>
    </xf>
    <xf numFmtId="1" fontId="0" fillId="3" borderId="0" xfId="1" applyNumberFormat="1" applyFont="1" applyFill="1" applyAlignment="1">
      <alignment horizontal="right" vertical="top"/>
    </xf>
    <xf numFmtId="1" fontId="0" fillId="0" borderId="0" xfId="1" applyNumberFormat="1" applyFont="1" applyFill="1" applyAlignment="1">
      <alignment horizontal="right" vertical="top"/>
    </xf>
    <xf numFmtId="2" fontId="6" fillId="9" borderId="0" xfId="0" applyNumberFormat="1" applyFont="1" applyFill="1" applyAlignment="1">
      <alignment horizontal="center"/>
    </xf>
    <xf numFmtId="2" fontId="6" fillId="9" borderId="7" xfId="0" applyNumberFormat="1" applyFont="1" applyFill="1" applyBorder="1" applyAlignment="1">
      <alignment horizontal="center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0" fontId="2" fillId="4" borderId="7" xfId="0" applyFont="1" applyFill="1" applyBorder="1" applyAlignment="1">
      <alignment horizontal="center"/>
    </xf>
    <xf numFmtId="0" fontId="2" fillId="0" borderId="0" xfId="0" applyFont="1"/>
    <xf numFmtId="0" fontId="1" fillId="0" borderId="10" xfId="0" applyFont="1" applyBorder="1"/>
    <xf numFmtId="2" fontId="0" fillId="0" borderId="10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Múltiples'!$I$27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'[1]Decrementos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Múltiples'!$I$28:$I$46</c:f>
              <c:numCache>
                <c:formatCode>0.0000</c:formatCode>
                <c:ptCount val="19"/>
                <c:pt idx="0">
                  <c:v>7.2999999999999732E-3</c:v>
                </c:pt>
                <c:pt idx="1">
                  <c:v>3.1750000000000389E-3</c:v>
                </c:pt>
                <c:pt idx="2">
                  <c:v>1.3579999999999703E-3</c:v>
                </c:pt>
                <c:pt idx="3">
                  <c:v>8.3900000000003416E-4</c:v>
                </c:pt>
                <c:pt idx="4">
                  <c:v>2.3239999999999927E-3</c:v>
                </c:pt>
                <c:pt idx="5">
                  <c:v>5.5209999999999981E-3</c:v>
                </c:pt>
                <c:pt idx="6">
                  <c:v>6.1229999999999896E-3</c:v>
                </c:pt>
                <c:pt idx="7">
                  <c:v>5.0740000000000229E-3</c:v>
                </c:pt>
                <c:pt idx="8">
                  <c:v>5.5720000000000214E-3</c:v>
                </c:pt>
                <c:pt idx="9">
                  <c:v>8.4199999999999831E-3</c:v>
                </c:pt>
                <c:pt idx="10">
                  <c:v>1.5589999999999993E-2</c:v>
                </c:pt>
                <c:pt idx="11">
                  <c:v>1.883199999999996E-2</c:v>
                </c:pt>
                <c:pt idx="12">
                  <c:v>2.6020999999999961E-2</c:v>
                </c:pt>
                <c:pt idx="13">
                  <c:v>4.3919999999999959E-2</c:v>
                </c:pt>
                <c:pt idx="14">
                  <c:v>6.8821999999999939E-2</c:v>
                </c:pt>
                <c:pt idx="15">
                  <c:v>9.0589999999999948E-2</c:v>
                </c:pt>
                <c:pt idx="16">
                  <c:v>0.163775</c:v>
                </c:pt>
                <c:pt idx="17">
                  <c:v>0.246085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2-45F9-B652-627C9D6D1AA8}"/>
            </c:ext>
          </c:extLst>
        </c:ser>
        <c:ser>
          <c:idx val="1"/>
          <c:order val="1"/>
          <c:tx>
            <c:strRef>
              <c:f>'Decrementos Múltiples'!$M$27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Múltiples'!$M$28:$M$46</c:f>
              <c:numCache>
                <c:formatCode>#,##0.0000</c:formatCode>
                <c:ptCount val="19"/>
                <c:pt idx="0">
                  <c:v>7.2999999999999732E-3</c:v>
                </c:pt>
                <c:pt idx="1">
                  <c:v>2.9885146557709907E-3</c:v>
                </c:pt>
                <c:pt idx="2">
                  <c:v>1.3579999999999703E-3</c:v>
                </c:pt>
                <c:pt idx="3">
                  <c:v>6.7125633258757755E-4</c:v>
                </c:pt>
                <c:pt idx="4">
                  <c:v>1.085206254328952E-3</c:v>
                </c:pt>
                <c:pt idx="5">
                  <c:v>3.0009066496293757E-3</c:v>
                </c:pt>
                <c:pt idx="6">
                  <c:v>2.8306733462845068E-3</c:v>
                </c:pt>
                <c:pt idx="7">
                  <c:v>3.2765020929228506E-3</c:v>
                </c:pt>
                <c:pt idx="8">
                  <c:v>4.7034259756412178E-3</c:v>
                </c:pt>
                <c:pt idx="9">
                  <c:v>6.7035145192618772E-3</c:v>
                </c:pt>
                <c:pt idx="10">
                  <c:v>1.4105664568939913E-2</c:v>
                </c:pt>
                <c:pt idx="11">
                  <c:v>1.8598802864846942E-2</c:v>
                </c:pt>
                <c:pt idx="12">
                  <c:v>2.5456452305198329E-2</c:v>
                </c:pt>
                <c:pt idx="13">
                  <c:v>4.3597080228401697E-2</c:v>
                </c:pt>
                <c:pt idx="14">
                  <c:v>6.8821999999999939E-2</c:v>
                </c:pt>
                <c:pt idx="15">
                  <c:v>9.0589999999999948E-2</c:v>
                </c:pt>
                <c:pt idx="16">
                  <c:v>0.16301544120784972</c:v>
                </c:pt>
                <c:pt idx="17">
                  <c:v>0.246085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2-45F9-B652-627C9D6D1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'[1]Decrementos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9.5199999999999729E-3</c:v>
                </c:pt>
                <c:pt idx="1">
                  <c:v>1.9980000000000553E-3</c:v>
                </c:pt>
                <c:pt idx="2">
                  <c:v>9.780000000000344E-4</c:v>
                </c:pt>
                <c:pt idx="3">
                  <c:v>1.1290000000000466E-3</c:v>
                </c:pt>
                <c:pt idx="4">
                  <c:v>9.055999999999953E-3</c:v>
                </c:pt>
                <c:pt idx="5">
                  <c:v>2.0677999999999974E-2</c:v>
                </c:pt>
                <c:pt idx="6">
                  <c:v>2.5348000000000037E-2</c:v>
                </c:pt>
                <c:pt idx="7">
                  <c:v>2.496200000000004E-2</c:v>
                </c:pt>
                <c:pt idx="8">
                  <c:v>2.3523999999999989E-2</c:v>
                </c:pt>
                <c:pt idx="9">
                  <c:v>3.1001000000000056E-2</c:v>
                </c:pt>
                <c:pt idx="10">
                  <c:v>3.2899000000000012E-2</c:v>
                </c:pt>
                <c:pt idx="11">
                  <c:v>4.033500000000001E-2</c:v>
                </c:pt>
                <c:pt idx="12">
                  <c:v>5.967699999999998E-2</c:v>
                </c:pt>
                <c:pt idx="13">
                  <c:v>8.0218000000000012E-2</c:v>
                </c:pt>
                <c:pt idx="14">
                  <c:v>9.0107999999999966E-2</c:v>
                </c:pt>
                <c:pt idx="15">
                  <c:v>0.13473899999999994</c:v>
                </c:pt>
                <c:pt idx="16">
                  <c:v>0.21426199999999995</c:v>
                </c:pt>
                <c:pt idx="17">
                  <c:v>0.26714400000000005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2-455C-893D-8A5987CF78B6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9.5199999999999729E-3</c:v>
                </c:pt>
                <c:pt idx="1">
                  <c:v>1.9980000000000553E-3</c:v>
                </c:pt>
                <c:pt idx="2">
                  <c:v>9.780000000000344E-4</c:v>
                </c:pt>
                <c:pt idx="3">
                  <c:v>9.6779235854382861E-4</c:v>
                </c:pt>
                <c:pt idx="4">
                  <c:v>4.6944232229532146E-3</c:v>
                </c:pt>
                <c:pt idx="5">
                  <c:v>7.4231642301367806E-3</c:v>
                </c:pt>
                <c:pt idx="6">
                  <c:v>8.0660541583603695E-3</c:v>
                </c:pt>
                <c:pt idx="7">
                  <c:v>8.5686387916358298E-3</c:v>
                </c:pt>
                <c:pt idx="8">
                  <c:v>1.0998138585280759E-2</c:v>
                </c:pt>
                <c:pt idx="9">
                  <c:v>1.7210977946458428E-2</c:v>
                </c:pt>
                <c:pt idx="10">
                  <c:v>2.3123239167544218E-2</c:v>
                </c:pt>
                <c:pt idx="11">
                  <c:v>3.4886916333903395E-2</c:v>
                </c:pt>
                <c:pt idx="12">
                  <c:v>5.3065869777375596E-2</c:v>
                </c:pt>
                <c:pt idx="13">
                  <c:v>7.5253305061640963E-2</c:v>
                </c:pt>
                <c:pt idx="14">
                  <c:v>9.0107999999999966E-2</c:v>
                </c:pt>
                <c:pt idx="15">
                  <c:v>0.13473899999999994</c:v>
                </c:pt>
                <c:pt idx="16">
                  <c:v>0.21345534588964787</c:v>
                </c:pt>
                <c:pt idx="17">
                  <c:v>0.26591174313021071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2-455C-893D-8A5987CF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  <a:alpha val="9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Múltiples'!$W$29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Múltiples'!$X$28:$Y$28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Múltiples'!$X$29:$Y$29</c:f>
              <c:numCache>
                <c:formatCode>0.00</c:formatCode>
                <c:ptCount val="2"/>
                <c:pt idx="0">
                  <c:v>75.285995697361528</c:v>
                </c:pt>
                <c:pt idx="1">
                  <c:v>80.649762984427682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E-43F3-8D11-74B0BE41B935}"/>
            </c:ext>
          </c:extLst>
        </c:ser>
        <c:ser>
          <c:idx val="1"/>
          <c:order val="1"/>
          <c:tx>
            <c:strRef>
              <c:f>'Decrementos Múltiples'!$W$30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Múltiples'!$X$28:$Y$28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Múltiples'!$X$30:$Y$30</c:f>
              <c:numCache>
                <c:formatCode>0.00</c:formatCode>
                <c:ptCount val="2"/>
                <c:pt idx="0">
                  <c:v>71.23</c:v>
                </c:pt>
                <c:pt idx="1">
                  <c:v>79.89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E-43F3-8D11-74B0BE41B9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2556255"/>
        <c:axId val="1162556751"/>
      </c:barChart>
      <c:catAx>
        <c:axId val="116255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2556751"/>
        <c:crosses val="autoZero"/>
        <c:auto val="1"/>
        <c:lblAlgn val="ctr"/>
        <c:lblOffset val="100"/>
        <c:noMultiLvlLbl val="0"/>
      </c:catAx>
      <c:valAx>
        <c:axId val="1162556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6255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227330</xdr:colOff>
      <xdr:row>2</xdr:row>
      <xdr:rowOff>142875</xdr:rowOff>
    </xdr:from>
    <xdr:ext cx="323850" cy="266700"/>
    <xdr:pic>
      <xdr:nvPicPr>
        <xdr:cNvPr id="20" name="image9.png" title="Image">
          <a:extLst>
            <a:ext uri="{FF2B5EF4-FFF2-40B4-BE49-F238E27FC236}">
              <a16:creationId xmlns:a16="http://schemas.microsoft.com/office/drawing/2014/main" id="{376783FF-D9DB-4EF1-95EA-0851BC12111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9730" y="50863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</xdr:row>
      <xdr:rowOff>94298</xdr:rowOff>
    </xdr:from>
    <xdr:ext cx="171450" cy="257175"/>
    <xdr:pic>
      <xdr:nvPicPr>
        <xdr:cNvPr id="21" name="image8.png" title="Image">
          <a:extLst>
            <a:ext uri="{FF2B5EF4-FFF2-40B4-BE49-F238E27FC236}">
              <a16:creationId xmlns:a16="http://schemas.microsoft.com/office/drawing/2014/main" id="{994CCB9D-2019-4CA5-A35F-C09F857990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21580" y="46005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182880</xdr:colOff>
      <xdr:row>2</xdr:row>
      <xdr:rowOff>101918</xdr:rowOff>
    </xdr:from>
    <xdr:ext cx="381000" cy="257175"/>
    <xdr:pic>
      <xdr:nvPicPr>
        <xdr:cNvPr id="22" name="image6.png" title="Image">
          <a:extLst>
            <a:ext uri="{FF2B5EF4-FFF2-40B4-BE49-F238E27FC236}">
              <a16:creationId xmlns:a16="http://schemas.microsoft.com/office/drawing/2014/main" id="{66ACAB40-F942-46BF-8473-5378B51D4E3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30240" y="46767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177800</xdr:colOff>
      <xdr:row>2</xdr:row>
      <xdr:rowOff>124778</xdr:rowOff>
    </xdr:from>
    <xdr:ext cx="381000" cy="257175"/>
    <xdr:pic>
      <xdr:nvPicPr>
        <xdr:cNvPr id="23" name="image7.png" title="Image">
          <a:extLst>
            <a:ext uri="{FF2B5EF4-FFF2-40B4-BE49-F238E27FC236}">
              <a16:creationId xmlns:a16="http://schemas.microsoft.com/office/drawing/2014/main" id="{8BF1E681-8EF3-40B1-9CCC-DECA35796DC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10120" y="4905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147320</xdr:colOff>
      <xdr:row>2</xdr:row>
      <xdr:rowOff>117158</xdr:rowOff>
    </xdr:from>
    <xdr:ext cx="352425" cy="257175"/>
    <xdr:pic>
      <xdr:nvPicPr>
        <xdr:cNvPr id="24" name="image2.png" title="Image">
          <a:extLst>
            <a:ext uri="{FF2B5EF4-FFF2-40B4-BE49-F238E27FC236}">
              <a16:creationId xmlns:a16="http://schemas.microsoft.com/office/drawing/2014/main" id="{EB2FE1FC-FADD-477D-9447-1439CBA921D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72120" y="48291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185420</xdr:colOff>
      <xdr:row>2</xdr:row>
      <xdr:rowOff>112395</xdr:rowOff>
    </xdr:from>
    <xdr:ext cx="476250" cy="266700"/>
    <xdr:pic>
      <xdr:nvPicPr>
        <xdr:cNvPr id="25" name="image5.png" title="Image">
          <a:extLst>
            <a:ext uri="{FF2B5EF4-FFF2-40B4-BE49-F238E27FC236}">
              <a16:creationId xmlns:a16="http://schemas.microsoft.com/office/drawing/2014/main" id="{B8363528-E069-4487-A328-525F73847EC1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902700" y="47815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139700</xdr:colOff>
      <xdr:row>2</xdr:row>
      <xdr:rowOff>127635</xdr:rowOff>
    </xdr:from>
    <xdr:ext cx="390525" cy="266700"/>
    <xdr:pic>
      <xdr:nvPicPr>
        <xdr:cNvPr id="26" name="image4.png" title="Image">
          <a:extLst>
            <a:ext uri="{FF2B5EF4-FFF2-40B4-BE49-F238E27FC236}">
              <a16:creationId xmlns:a16="http://schemas.microsoft.com/office/drawing/2014/main" id="{9FE01EB7-7E98-462D-8B95-A0E1D8A8BEE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41940" y="49339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208280</xdr:colOff>
      <xdr:row>2</xdr:row>
      <xdr:rowOff>104775</xdr:rowOff>
    </xdr:from>
    <xdr:ext cx="476250" cy="266700"/>
    <xdr:pic>
      <xdr:nvPicPr>
        <xdr:cNvPr id="27" name="image3.png" title="Image">
          <a:extLst>
            <a:ext uri="{FF2B5EF4-FFF2-40B4-BE49-F238E27FC236}">
              <a16:creationId xmlns:a16="http://schemas.microsoft.com/office/drawing/2014/main" id="{CA220334-D283-4064-B980-33658A6F5173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095480" y="47053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154940</xdr:colOff>
      <xdr:row>2</xdr:row>
      <xdr:rowOff>120015</xdr:rowOff>
    </xdr:from>
    <xdr:ext cx="428625" cy="266700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9A044822-C3F8-469A-9F39-6A8C988BB05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19580" y="4857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26</xdr:row>
      <xdr:rowOff>127953</xdr:rowOff>
    </xdr:from>
    <xdr:ext cx="381000" cy="257175"/>
    <xdr:pic>
      <xdr:nvPicPr>
        <xdr:cNvPr id="29" name="image7.png" title="Image">
          <a:extLst>
            <a:ext uri="{FF2B5EF4-FFF2-40B4-BE49-F238E27FC236}">
              <a16:creationId xmlns:a16="http://schemas.microsoft.com/office/drawing/2014/main" id="{05BC4DA6-5971-4ADE-9F2C-62F7B9F2259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84720" y="522573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26</xdr:row>
      <xdr:rowOff>181293</xdr:rowOff>
    </xdr:from>
    <xdr:ext cx="352425" cy="257175"/>
    <xdr:pic>
      <xdr:nvPicPr>
        <xdr:cNvPr id="30" name="image2.png" title="Image">
          <a:extLst>
            <a:ext uri="{FF2B5EF4-FFF2-40B4-BE49-F238E27FC236}">
              <a16:creationId xmlns:a16="http://schemas.microsoft.com/office/drawing/2014/main" id="{51A6FBFF-3644-42FA-B97A-33012041C903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077200" y="527907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236220</xdr:colOff>
      <xdr:row>26</xdr:row>
      <xdr:rowOff>161290</xdr:rowOff>
    </xdr:from>
    <xdr:ext cx="323850" cy="266700"/>
    <xdr:pic>
      <xdr:nvPicPr>
        <xdr:cNvPr id="31" name="image9.png" title="Image">
          <a:extLst>
            <a:ext uri="{FF2B5EF4-FFF2-40B4-BE49-F238E27FC236}">
              <a16:creationId xmlns:a16="http://schemas.microsoft.com/office/drawing/2014/main" id="{B2964BF4-1AEA-4E42-8190-A159976D23C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8620" y="525907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313690</xdr:colOff>
      <xdr:row>26</xdr:row>
      <xdr:rowOff>135573</xdr:rowOff>
    </xdr:from>
    <xdr:ext cx="171450" cy="257175"/>
    <xdr:pic>
      <xdr:nvPicPr>
        <xdr:cNvPr id="32" name="image8.png" title="Image">
          <a:extLst>
            <a:ext uri="{FF2B5EF4-FFF2-40B4-BE49-F238E27FC236}">
              <a16:creationId xmlns:a16="http://schemas.microsoft.com/office/drawing/2014/main" id="{24DE72C5-1AAC-4AB1-B644-A8228F18E52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68570" y="523335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204470</xdr:colOff>
      <xdr:row>26</xdr:row>
      <xdr:rowOff>112713</xdr:rowOff>
    </xdr:from>
    <xdr:ext cx="381000" cy="257175"/>
    <xdr:pic>
      <xdr:nvPicPr>
        <xdr:cNvPr id="33" name="image6.png" title="Image">
          <a:extLst>
            <a:ext uri="{FF2B5EF4-FFF2-40B4-BE49-F238E27FC236}">
              <a16:creationId xmlns:a16="http://schemas.microsoft.com/office/drawing/2014/main" id="{B0F0F06F-77BD-4BDD-A37F-54733B78239E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51830" y="521049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157480</xdr:colOff>
      <xdr:row>26</xdr:row>
      <xdr:rowOff>125730</xdr:rowOff>
    </xdr:from>
    <xdr:ext cx="476250" cy="266700"/>
    <xdr:pic>
      <xdr:nvPicPr>
        <xdr:cNvPr id="34" name="image5.png" title="Image">
          <a:extLst>
            <a:ext uri="{FF2B5EF4-FFF2-40B4-BE49-F238E27FC236}">
              <a16:creationId xmlns:a16="http://schemas.microsoft.com/office/drawing/2014/main" id="{3423537F-A2FA-4D28-9878-2D15A928BF5B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874760" y="522351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167640</xdr:colOff>
      <xdr:row>26</xdr:row>
      <xdr:rowOff>163830</xdr:rowOff>
    </xdr:from>
    <xdr:ext cx="390525" cy="266700"/>
    <xdr:pic>
      <xdr:nvPicPr>
        <xdr:cNvPr id="35" name="image4.png" title="Image">
          <a:extLst>
            <a:ext uri="{FF2B5EF4-FFF2-40B4-BE49-F238E27FC236}">
              <a16:creationId xmlns:a16="http://schemas.microsoft.com/office/drawing/2014/main" id="{2DE3AFDB-E0AE-469F-A603-DFD9F31178C9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69880" y="526161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149860</xdr:colOff>
      <xdr:row>26</xdr:row>
      <xdr:rowOff>118110</xdr:rowOff>
    </xdr:from>
    <xdr:ext cx="476250" cy="266700"/>
    <xdr:pic>
      <xdr:nvPicPr>
        <xdr:cNvPr id="36" name="image3.png" title="Image">
          <a:extLst>
            <a:ext uri="{FF2B5EF4-FFF2-40B4-BE49-F238E27FC236}">
              <a16:creationId xmlns:a16="http://schemas.microsoft.com/office/drawing/2014/main" id="{0E978173-31A5-4A49-B5EB-A7DC64CB92F9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037060" y="521589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142240</xdr:colOff>
      <xdr:row>26</xdr:row>
      <xdr:rowOff>125730</xdr:rowOff>
    </xdr:from>
    <xdr:ext cx="428625" cy="266700"/>
    <xdr:pic>
      <xdr:nvPicPr>
        <xdr:cNvPr id="37" name="image1.png" title="Image">
          <a:extLst>
            <a:ext uri="{FF2B5EF4-FFF2-40B4-BE49-F238E27FC236}">
              <a16:creationId xmlns:a16="http://schemas.microsoft.com/office/drawing/2014/main" id="{795F007E-5049-48E4-B763-DA2F588D88A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06880" y="522351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</xdr:row>
      <xdr:rowOff>0</xdr:rowOff>
    </xdr:from>
    <xdr:ext cx="5696712" cy="4636008"/>
    <xdr:graphicFrame macro="">
      <xdr:nvGraphicFramePr>
        <xdr:cNvPr id="42" name="Chart 2" title="Chart">
          <a:extLst>
            <a:ext uri="{FF2B5EF4-FFF2-40B4-BE49-F238E27FC236}">
              <a16:creationId xmlns:a16="http://schemas.microsoft.com/office/drawing/2014/main" id="{F5F9739C-834E-486A-B6B8-062510F27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21</xdr:col>
      <xdr:colOff>0</xdr:colOff>
      <xdr:row>1</xdr:row>
      <xdr:rowOff>48846</xdr:rowOff>
    </xdr:from>
    <xdr:ext cx="5699126" cy="4635500"/>
    <xdr:graphicFrame macro="">
      <xdr:nvGraphicFramePr>
        <xdr:cNvPr id="44" name="Chart 2" title="Chart">
          <a:extLst>
            <a:ext uri="{FF2B5EF4-FFF2-40B4-BE49-F238E27FC236}">
              <a16:creationId xmlns:a16="http://schemas.microsoft.com/office/drawing/2014/main" id="{B383101A-218C-44E8-A908-11A240087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167640</xdr:colOff>
      <xdr:row>26</xdr:row>
      <xdr:rowOff>145626</xdr:rowOff>
    </xdr:from>
    <xdr:to>
      <xdr:col>35</xdr:col>
      <xdr:colOff>441960</xdr:colOff>
      <xdr:row>47</xdr:row>
      <xdr:rowOff>76200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6314B5AA-E1C8-59D3-3B9A-2B384EC0B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a\Downloads\LT_CausaEliminada.xlsx" TargetMode="External"/><Relationship Id="rId1" Type="http://schemas.openxmlformats.org/officeDocument/2006/relationships/externalLinkPath" Target="/Users/Ana/Downloads/LT_CausaElimin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Coefficients"/>
      <sheetName val="Model LTs"/>
      <sheetName val="Decrementos Múltiples"/>
      <sheetName val="LT"/>
      <sheetName val="Homicidios"/>
      <sheetName val="Defunciones generales"/>
    </sheetNames>
    <sheetDataSet>
      <sheetData sheetId="0"/>
      <sheetData sheetId="1"/>
      <sheetData sheetId="2"/>
      <sheetData sheetId="3">
        <row r="3">
          <cell r="I3" t="str">
            <v>nqx</v>
          </cell>
          <cell r="M3" t="str">
            <v>nqx_i</v>
          </cell>
        </row>
        <row r="4">
          <cell r="B4">
            <v>0</v>
          </cell>
          <cell r="I4">
            <v>1.3946000000000014E-2</v>
          </cell>
          <cell r="M4">
            <v>1.3901237350577911E-2</v>
          </cell>
        </row>
        <row r="5">
          <cell r="B5">
            <v>1</v>
          </cell>
          <cell r="I5">
            <v>2.4039999999999617E-3</v>
          </cell>
          <cell r="M5">
            <v>2.3516553288746023E-3</v>
          </cell>
        </row>
        <row r="6">
          <cell r="B6">
            <v>5</v>
          </cell>
          <cell r="I6">
            <v>1.2339999999999574E-3</v>
          </cell>
          <cell r="M6">
            <v>1.1897219408725235E-3</v>
          </cell>
        </row>
        <row r="7">
          <cell r="B7">
            <v>10</v>
          </cell>
          <cell r="I7">
            <v>1.6850000000000476E-3</v>
          </cell>
          <cell r="M7">
            <v>1.5477598702997586E-3</v>
          </cell>
        </row>
        <row r="8">
          <cell r="B8">
            <v>15</v>
          </cell>
          <cell r="I8">
            <v>6.1419999999999808E-3</v>
          </cell>
          <cell r="M8">
            <v>4.1705505795028852E-3</v>
          </cell>
        </row>
        <row r="9">
          <cell r="B9">
            <v>20</v>
          </cell>
          <cell r="I9">
            <v>1.1511000000000049E-2</v>
          </cell>
          <cell r="M9">
            <v>6.8453050874192067E-3</v>
          </cell>
        </row>
        <row r="10">
          <cell r="B10">
            <v>25</v>
          </cell>
          <cell r="I10">
            <v>1.4440000000000008E-2</v>
          </cell>
          <cell r="M10">
            <v>8.6463203107169928E-3</v>
          </cell>
        </row>
        <row r="11">
          <cell r="B11">
            <v>30</v>
          </cell>
          <cell r="I11">
            <v>1.5490000000000004E-2</v>
          </cell>
          <cell r="M11">
            <v>9.9127605581336153E-3</v>
          </cell>
        </row>
        <row r="12">
          <cell r="B12">
            <v>35</v>
          </cell>
          <cell r="I12">
            <v>1.7660000000000009E-2</v>
          </cell>
          <cell r="M12">
            <v>1.2838105770011543E-2</v>
          </cell>
        </row>
        <row r="13">
          <cell r="B13">
            <v>40</v>
          </cell>
          <cell r="I13">
            <v>2.2155000000000036E-2</v>
          </cell>
          <cell r="M13">
            <v>1.7862874283550156E-2</v>
          </cell>
        </row>
        <row r="14">
          <cell r="B14">
            <v>45</v>
          </cell>
          <cell r="I14">
            <v>2.7981000000000034E-2</v>
          </cell>
          <cell r="M14">
            <v>2.4524184529211457E-2</v>
          </cell>
        </row>
        <row r="15">
          <cell r="B15">
            <v>50</v>
          </cell>
          <cell r="I15">
            <v>3.7038000000000015E-2</v>
          </cell>
          <cell r="M15">
            <v>3.4605471380265151E-2</v>
          </cell>
        </row>
        <row r="16">
          <cell r="B16">
            <v>55</v>
          </cell>
          <cell r="I16">
            <v>5.4463000000000039E-2</v>
          </cell>
          <cell r="M16">
            <v>5.2579407379676923E-2</v>
          </cell>
        </row>
        <row r="17">
          <cell r="B17">
            <v>60</v>
          </cell>
          <cell r="I17">
            <v>7.3455999999999966E-2</v>
          </cell>
          <cell r="M17">
            <v>7.2059397800988356E-2</v>
          </cell>
        </row>
        <row r="18">
          <cell r="B18">
            <v>65</v>
          </cell>
          <cell r="I18">
            <v>0.10043299999999999</v>
          </cell>
          <cell r="M18">
            <v>9.9408416880534256E-2</v>
          </cell>
        </row>
        <row r="19">
          <cell r="B19">
            <v>70</v>
          </cell>
          <cell r="I19">
            <v>0.14434199999999997</v>
          </cell>
          <cell r="M19">
            <v>0.14352355536102257</v>
          </cell>
        </row>
        <row r="20">
          <cell r="B20">
            <v>75</v>
          </cell>
          <cell r="I20">
            <v>0.20918300000000001</v>
          </cell>
          <cell r="M20">
            <v>0.20854883433630311</v>
          </cell>
        </row>
        <row r="21">
          <cell r="B21">
            <v>80</v>
          </cell>
          <cell r="I21">
            <v>0.31352200000000008</v>
          </cell>
          <cell r="M21">
            <v>0.31299759227638657</v>
          </cell>
        </row>
        <row r="22">
          <cell r="B22">
            <v>85</v>
          </cell>
          <cell r="I22">
            <v>1</v>
          </cell>
          <cell r="M22">
            <v>1</v>
          </cell>
        </row>
        <row r="26">
          <cell r="I26" t="str">
            <v>nqx</v>
          </cell>
          <cell r="M26" t="str">
            <v>nqx_i</v>
          </cell>
        </row>
        <row r="27">
          <cell r="B27">
            <v>0</v>
          </cell>
          <cell r="I27">
            <v>1.1206000000000049E-2</v>
          </cell>
          <cell r="M27">
            <v>1.1167015642007505E-2</v>
          </cell>
        </row>
        <row r="28">
          <cell r="B28">
            <v>1</v>
          </cell>
          <cell r="I28">
            <v>2.0940000000000403E-3</v>
          </cell>
          <cell r="M28">
            <v>2.0446878691188219E-3</v>
          </cell>
        </row>
        <row r="29">
          <cell r="B29">
            <v>5</v>
          </cell>
          <cell r="I29">
            <v>1.0639999999999539E-3</v>
          </cell>
          <cell r="M29">
            <v>1.0304687119264688E-3</v>
          </cell>
        </row>
        <row r="30">
          <cell r="B30">
            <v>10</v>
          </cell>
          <cell r="I30">
            <v>1.2100000000000444E-3</v>
          </cell>
          <cell r="M30">
            <v>1.1554623997390712E-3</v>
          </cell>
        </row>
        <row r="31">
          <cell r="B31">
            <v>15</v>
          </cell>
          <cell r="I31">
            <v>2.3159999999999847E-3</v>
          </cell>
          <cell r="M31">
            <v>1.9527953968966338E-3</v>
          </cell>
        </row>
        <row r="32">
          <cell r="B32">
            <v>20</v>
          </cell>
          <cell r="I32">
            <v>3.0310000000000059E-3</v>
          </cell>
          <cell r="M32">
            <v>2.4402962837497544E-3</v>
          </cell>
        </row>
        <row r="33">
          <cell r="B33">
            <v>25</v>
          </cell>
          <cell r="I33">
            <v>3.6869999999999958E-3</v>
          </cell>
          <cell r="M33">
            <v>3.0911314115840138E-3</v>
          </cell>
        </row>
        <row r="34">
          <cell r="B34">
            <v>30</v>
          </cell>
          <cell r="I34">
            <v>4.438000000000053E-3</v>
          </cell>
          <cell r="M34">
            <v>3.9004742394230796E-3</v>
          </cell>
        </row>
        <row r="35">
          <cell r="B35">
            <v>35</v>
          </cell>
          <cell r="I35">
            <v>5.9169999999999501E-3</v>
          </cell>
          <cell r="M35">
            <v>5.482114678662664E-3</v>
          </cell>
        </row>
        <row r="36">
          <cell r="B36">
            <v>40</v>
          </cell>
          <cell r="I36">
            <v>8.7890000000000468E-3</v>
          </cell>
          <cell r="M36">
            <v>8.3856074005131953E-3</v>
          </cell>
        </row>
        <row r="37">
          <cell r="B37">
            <v>45</v>
          </cell>
          <cell r="I37">
            <v>1.3494000000000006E-2</v>
          </cell>
          <cell r="M37">
            <v>1.3201582867820472E-2</v>
          </cell>
        </row>
        <row r="38">
          <cell r="B38">
            <v>50</v>
          </cell>
          <cell r="I38">
            <v>2.0159000000000038E-2</v>
          </cell>
          <cell r="M38">
            <v>1.9931234105208695E-2</v>
          </cell>
        </row>
        <row r="39">
          <cell r="B39">
            <v>55</v>
          </cell>
          <cell r="I39">
            <v>3.3218999999999999E-2</v>
          </cell>
          <cell r="M39">
            <v>3.2994404605884875E-2</v>
          </cell>
        </row>
        <row r="40">
          <cell r="B40">
            <v>60</v>
          </cell>
          <cell r="I40">
            <v>4.8167999999999989E-2</v>
          </cell>
          <cell r="M40">
            <v>4.8010746034178986E-2</v>
          </cell>
        </row>
        <row r="41">
          <cell r="B41">
            <v>65</v>
          </cell>
          <cell r="I41">
            <v>7.1137000000000006E-2</v>
          </cell>
          <cell r="M41">
            <v>7.0978081822594685E-2</v>
          </cell>
        </row>
        <row r="42">
          <cell r="B42">
            <v>70</v>
          </cell>
          <cell r="I42">
            <v>0.10592199999999996</v>
          </cell>
          <cell r="M42">
            <v>0.1057821389483653</v>
          </cell>
        </row>
        <row r="43">
          <cell r="B43">
            <v>75</v>
          </cell>
          <cell r="I43">
            <v>0.16873800000000005</v>
          </cell>
          <cell r="M43">
            <v>0.16858435010252082</v>
          </cell>
        </row>
        <row r="44">
          <cell r="B44">
            <v>80</v>
          </cell>
          <cell r="I44">
            <v>0.26314300000000002</v>
          </cell>
          <cell r="M44">
            <v>0.26299519383324121</v>
          </cell>
        </row>
        <row r="45">
          <cell r="B45">
            <v>85</v>
          </cell>
          <cell r="I45">
            <v>1</v>
          </cell>
          <cell r="M45">
            <v>1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A322-96DE-4964-9701-72A304D68B88}">
  <sheetPr filterMode="1"/>
  <dimension ref="A2:G2142"/>
  <sheetViews>
    <sheetView workbookViewId="0">
      <selection activeCell="A2" sqref="A2:C2"/>
    </sheetView>
  </sheetViews>
  <sheetFormatPr baseColWidth="10" defaultRowHeight="14.4"/>
  <cols>
    <col min="1" max="1" width="16.6640625" customWidth="1"/>
    <col min="7" max="7" width="16.77734375" customWidth="1"/>
  </cols>
  <sheetData>
    <row r="2" spans="1:7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idden="1">
      <c r="A3" t="s">
        <v>3</v>
      </c>
      <c r="B3" s="1" t="s">
        <v>3</v>
      </c>
      <c r="C3" s="2">
        <v>1990</v>
      </c>
      <c r="D3" s="3">
        <v>2417</v>
      </c>
      <c r="E3" s="3">
        <v>1425</v>
      </c>
      <c r="F3" s="2">
        <v>989</v>
      </c>
      <c r="G3" s="2">
        <v>3</v>
      </c>
    </row>
    <row r="4" spans="1:7" hidden="1">
      <c r="A4" t="s">
        <v>3</v>
      </c>
      <c r="B4" s="1" t="s">
        <v>3</v>
      </c>
      <c r="C4" s="2">
        <v>1991</v>
      </c>
      <c r="D4" s="3">
        <v>2325</v>
      </c>
      <c r="E4" s="3">
        <v>1330</v>
      </c>
      <c r="F4" s="2">
        <v>992</v>
      </c>
      <c r="G4" s="2">
        <v>3</v>
      </c>
    </row>
    <row r="5" spans="1:7" hidden="1">
      <c r="A5" t="s">
        <v>3</v>
      </c>
      <c r="B5" s="1" t="s">
        <v>3</v>
      </c>
      <c r="C5" s="2">
        <v>1992</v>
      </c>
      <c r="D5" s="3">
        <v>2359</v>
      </c>
      <c r="E5" s="3">
        <v>1390</v>
      </c>
      <c r="F5" s="2">
        <v>967</v>
      </c>
      <c r="G5" s="2">
        <v>2</v>
      </c>
    </row>
    <row r="6" spans="1:7" hidden="1">
      <c r="A6" t="s">
        <v>3</v>
      </c>
      <c r="B6" s="1" t="s">
        <v>3</v>
      </c>
      <c r="C6" s="2">
        <v>1993</v>
      </c>
      <c r="D6" s="3">
        <v>2251</v>
      </c>
      <c r="E6" s="3">
        <v>1294</v>
      </c>
      <c r="F6" s="2">
        <v>955</v>
      </c>
      <c r="G6" s="2">
        <v>2</v>
      </c>
    </row>
    <row r="7" spans="1:7" hidden="1">
      <c r="A7" t="s">
        <v>3</v>
      </c>
      <c r="B7" s="1" t="s">
        <v>3</v>
      </c>
      <c r="C7" s="2">
        <v>1994</v>
      </c>
      <c r="D7" s="3">
        <v>2272</v>
      </c>
      <c r="E7" s="3">
        <v>1329</v>
      </c>
      <c r="F7" s="2">
        <v>942</v>
      </c>
      <c r="G7" s="2">
        <v>1</v>
      </c>
    </row>
    <row r="8" spans="1:7" hidden="1">
      <c r="A8" t="s">
        <v>3</v>
      </c>
      <c r="B8" s="1" t="s">
        <v>3</v>
      </c>
      <c r="C8" s="2">
        <v>1995</v>
      </c>
      <c r="D8" s="3">
        <v>2338</v>
      </c>
      <c r="E8" s="3">
        <v>1315</v>
      </c>
      <c r="F8" s="3">
        <v>1022</v>
      </c>
      <c r="G8" s="2">
        <v>1</v>
      </c>
    </row>
    <row r="9" spans="1:7" hidden="1">
      <c r="A9" t="s">
        <v>3</v>
      </c>
      <c r="B9" s="1" t="s">
        <v>3</v>
      </c>
      <c r="C9" s="2">
        <v>1996</v>
      </c>
      <c r="D9" s="3">
        <v>2295</v>
      </c>
      <c r="E9" s="3">
        <v>1308</v>
      </c>
      <c r="F9" s="2">
        <v>986</v>
      </c>
      <c r="G9" s="2">
        <v>1</v>
      </c>
    </row>
    <row r="10" spans="1:7" hidden="1">
      <c r="A10" t="s">
        <v>3</v>
      </c>
      <c r="B10" s="1" t="s">
        <v>3</v>
      </c>
      <c r="C10" s="2">
        <v>1997</v>
      </c>
      <c r="D10" s="3">
        <v>2403</v>
      </c>
      <c r="E10" s="3">
        <v>1366</v>
      </c>
      <c r="F10" s="3">
        <v>1035</v>
      </c>
      <c r="G10" s="2">
        <v>2</v>
      </c>
    </row>
    <row r="11" spans="1:7" hidden="1">
      <c r="A11" t="s">
        <v>3</v>
      </c>
      <c r="B11" s="1" t="s">
        <v>3</v>
      </c>
      <c r="C11" s="2">
        <v>1998</v>
      </c>
      <c r="D11" s="3">
        <v>2370</v>
      </c>
      <c r="E11" s="3">
        <v>1317</v>
      </c>
      <c r="F11" s="3">
        <v>1051</v>
      </c>
      <c r="G11" s="2">
        <v>2</v>
      </c>
    </row>
    <row r="12" spans="1:7" hidden="1">
      <c r="A12" t="s">
        <v>3</v>
      </c>
      <c r="B12" s="1" t="s">
        <v>3</v>
      </c>
      <c r="C12" s="2">
        <v>1999</v>
      </c>
      <c r="D12" s="3">
        <v>2351</v>
      </c>
      <c r="E12" s="3">
        <v>1342</v>
      </c>
      <c r="F12" s="3">
        <v>1008</v>
      </c>
      <c r="G12" s="2">
        <v>1</v>
      </c>
    </row>
    <row r="13" spans="1:7" hidden="1">
      <c r="A13" t="s">
        <v>3</v>
      </c>
      <c r="B13" s="1" t="s">
        <v>3</v>
      </c>
      <c r="C13" s="2">
        <v>2000</v>
      </c>
      <c r="D13" s="3">
        <v>2412</v>
      </c>
      <c r="E13" s="3">
        <v>1381</v>
      </c>
      <c r="F13" s="3">
        <v>1031</v>
      </c>
      <c r="G13" s="1" t="s">
        <v>7</v>
      </c>
    </row>
    <row r="14" spans="1:7" hidden="1">
      <c r="A14" t="s">
        <v>3</v>
      </c>
      <c r="B14" s="1" t="s">
        <v>3</v>
      </c>
      <c r="C14" s="2">
        <v>2001</v>
      </c>
      <c r="D14" s="3">
        <v>2449</v>
      </c>
      <c r="E14" s="3">
        <v>1364</v>
      </c>
      <c r="F14" s="3">
        <v>1083</v>
      </c>
      <c r="G14" s="2">
        <v>2</v>
      </c>
    </row>
    <row r="15" spans="1:7" hidden="1">
      <c r="A15" t="s">
        <v>3</v>
      </c>
      <c r="B15" s="1" t="s">
        <v>3</v>
      </c>
      <c r="C15" s="2">
        <v>2002</v>
      </c>
      <c r="D15" s="3">
        <v>2512</v>
      </c>
      <c r="E15" s="3">
        <v>1459</v>
      </c>
      <c r="F15" s="3">
        <v>1052</v>
      </c>
      <c r="G15" s="2">
        <v>1</v>
      </c>
    </row>
    <row r="16" spans="1:7" hidden="1">
      <c r="A16" t="s">
        <v>3</v>
      </c>
      <c r="B16" s="1" t="s">
        <v>3</v>
      </c>
      <c r="C16" s="2">
        <v>2003</v>
      </c>
      <c r="D16" s="3">
        <v>2442</v>
      </c>
      <c r="E16" s="3">
        <v>1351</v>
      </c>
      <c r="F16" s="3">
        <v>1090</v>
      </c>
      <c r="G16" s="2">
        <v>1</v>
      </c>
    </row>
    <row r="17" spans="1:7" hidden="1">
      <c r="A17" t="s">
        <v>3</v>
      </c>
      <c r="B17" s="1" t="s">
        <v>3</v>
      </c>
      <c r="C17" s="2">
        <v>2004</v>
      </c>
      <c r="D17" s="3">
        <v>2594</v>
      </c>
      <c r="E17" s="3">
        <v>1418</v>
      </c>
      <c r="F17" s="3">
        <v>1175</v>
      </c>
      <c r="G17" s="2">
        <v>1</v>
      </c>
    </row>
    <row r="18" spans="1:7" hidden="1">
      <c r="A18" t="s">
        <v>3</v>
      </c>
      <c r="B18" s="1" t="s">
        <v>3</v>
      </c>
      <c r="C18" s="2">
        <v>2005</v>
      </c>
      <c r="D18" s="3">
        <v>2759</v>
      </c>
      <c r="E18" s="3">
        <v>1579</v>
      </c>
      <c r="F18" s="3">
        <v>1180</v>
      </c>
      <c r="G18" s="1" t="s">
        <v>7</v>
      </c>
    </row>
    <row r="19" spans="1:7" hidden="1">
      <c r="A19" t="s">
        <v>3</v>
      </c>
      <c r="B19" s="1" t="s">
        <v>3</v>
      </c>
      <c r="C19" s="2">
        <v>2006</v>
      </c>
      <c r="D19" s="3">
        <v>2831</v>
      </c>
      <c r="E19" s="3">
        <v>1630</v>
      </c>
      <c r="F19" s="3">
        <v>1200</v>
      </c>
      <c r="G19" s="2">
        <v>1</v>
      </c>
    </row>
    <row r="20" spans="1:7" hidden="1">
      <c r="A20" t="s">
        <v>3</v>
      </c>
      <c r="B20" s="1" t="s">
        <v>3</v>
      </c>
      <c r="C20" s="2">
        <v>2007</v>
      </c>
      <c r="D20" s="3">
        <v>2866</v>
      </c>
      <c r="E20" s="3">
        <v>1679</v>
      </c>
      <c r="F20" s="3">
        <v>1186</v>
      </c>
      <c r="G20" s="2">
        <v>1</v>
      </c>
    </row>
    <row r="21" spans="1:7" hidden="1">
      <c r="A21" t="s">
        <v>3</v>
      </c>
      <c r="B21" s="1" t="s">
        <v>3</v>
      </c>
      <c r="C21" s="2">
        <v>2008</v>
      </c>
      <c r="D21" s="3">
        <v>3052</v>
      </c>
      <c r="E21" s="3">
        <v>1723</v>
      </c>
      <c r="F21" s="3">
        <v>1328</v>
      </c>
      <c r="G21" s="2">
        <v>1</v>
      </c>
    </row>
    <row r="22" spans="1:7" hidden="1">
      <c r="A22" t="s">
        <v>3</v>
      </c>
      <c r="B22" s="1" t="s">
        <v>3</v>
      </c>
      <c r="C22" s="2">
        <v>2009</v>
      </c>
      <c r="D22" s="3">
        <v>3107</v>
      </c>
      <c r="E22" s="3">
        <v>1812</v>
      </c>
      <c r="F22" s="3">
        <v>1295</v>
      </c>
      <c r="G22" s="1" t="s">
        <v>7</v>
      </c>
    </row>
    <row r="23" spans="1:7" hidden="1">
      <c r="A23" t="s">
        <v>3</v>
      </c>
      <c r="B23" s="1" t="s">
        <v>3</v>
      </c>
      <c r="C23" s="2">
        <v>2010</v>
      </c>
      <c r="D23" s="3">
        <v>3223</v>
      </c>
      <c r="E23" s="3">
        <v>1888</v>
      </c>
      <c r="F23" s="3">
        <v>1334</v>
      </c>
      <c r="G23" s="2">
        <v>1</v>
      </c>
    </row>
    <row r="24" spans="1:7" hidden="1">
      <c r="A24" t="s">
        <v>3</v>
      </c>
      <c r="B24" s="1" t="s">
        <v>3</v>
      </c>
      <c r="C24" s="2">
        <v>2011</v>
      </c>
      <c r="D24" s="3">
        <v>3514</v>
      </c>
      <c r="E24" s="3">
        <v>2051</v>
      </c>
      <c r="F24" s="3">
        <v>1461</v>
      </c>
      <c r="G24" s="2">
        <v>2</v>
      </c>
    </row>
    <row r="25" spans="1:7" hidden="1">
      <c r="A25" t="s">
        <v>3</v>
      </c>
      <c r="B25" s="1" t="s">
        <v>3</v>
      </c>
      <c r="C25" s="2">
        <v>2012</v>
      </c>
      <c r="D25" s="3">
        <v>3717</v>
      </c>
      <c r="E25" s="3">
        <v>2190</v>
      </c>
      <c r="F25" s="3">
        <v>1525</v>
      </c>
      <c r="G25" s="2">
        <v>2</v>
      </c>
    </row>
    <row r="26" spans="1:7" hidden="1">
      <c r="A26" t="s">
        <v>3</v>
      </c>
      <c r="B26" s="1" t="s">
        <v>3</v>
      </c>
      <c r="C26" s="2">
        <v>2013</v>
      </c>
      <c r="D26" s="3">
        <v>3790</v>
      </c>
      <c r="E26" s="3">
        <v>2248</v>
      </c>
      <c r="F26" s="3">
        <v>1541</v>
      </c>
      <c r="G26" s="2">
        <v>1</v>
      </c>
    </row>
    <row r="27" spans="1:7" hidden="1">
      <c r="A27" t="s">
        <v>3</v>
      </c>
      <c r="B27" s="1" t="s">
        <v>3</v>
      </c>
      <c r="C27" s="2">
        <v>2014</v>
      </c>
      <c r="D27" s="3">
        <v>3790</v>
      </c>
      <c r="E27" s="3">
        <v>2230</v>
      </c>
      <c r="F27" s="3">
        <v>1558</v>
      </c>
      <c r="G27" s="2">
        <v>2</v>
      </c>
    </row>
    <row r="28" spans="1:7" hidden="1">
      <c r="A28" t="s">
        <v>3</v>
      </c>
      <c r="B28" s="1" t="s">
        <v>3</v>
      </c>
      <c r="C28" s="2">
        <v>2015</v>
      </c>
      <c r="D28" s="3">
        <v>4408</v>
      </c>
      <c r="E28" s="3">
        <v>2599</v>
      </c>
      <c r="F28" s="3">
        <v>1805</v>
      </c>
      <c r="G28" s="2">
        <v>4</v>
      </c>
    </row>
    <row r="29" spans="1:7" hidden="1">
      <c r="A29" t="s">
        <v>3</v>
      </c>
      <c r="B29" s="1" t="s">
        <v>3</v>
      </c>
      <c r="C29" s="2">
        <v>2016</v>
      </c>
      <c r="D29" s="3">
        <v>4486</v>
      </c>
      <c r="E29" s="3">
        <v>2785</v>
      </c>
      <c r="F29" s="3">
        <v>1694</v>
      </c>
      <c r="G29" s="2">
        <v>7</v>
      </c>
    </row>
    <row r="30" spans="1:7" hidden="1">
      <c r="A30" t="s">
        <v>3</v>
      </c>
      <c r="B30" s="1" t="s">
        <v>3</v>
      </c>
      <c r="C30" s="2">
        <v>2017</v>
      </c>
      <c r="D30" s="3">
        <v>4593</v>
      </c>
      <c r="E30" s="3">
        <v>2865</v>
      </c>
      <c r="F30" s="3">
        <v>1728</v>
      </c>
      <c r="G30" s="1" t="s">
        <v>7</v>
      </c>
    </row>
    <row r="31" spans="1:7" hidden="1">
      <c r="A31" t="s">
        <v>3</v>
      </c>
      <c r="B31" s="1" t="s">
        <v>3</v>
      </c>
      <c r="C31" s="2">
        <v>2018</v>
      </c>
      <c r="D31" s="3">
        <v>4533</v>
      </c>
      <c r="E31" s="3">
        <v>2793</v>
      </c>
      <c r="F31" s="3">
        <v>1740</v>
      </c>
      <c r="G31" s="1" t="s">
        <v>7</v>
      </c>
    </row>
    <row r="32" spans="1:7" hidden="1">
      <c r="A32" t="s">
        <v>3</v>
      </c>
      <c r="B32" s="1" t="s">
        <v>3</v>
      </c>
      <c r="C32" s="2">
        <v>2019</v>
      </c>
      <c r="D32" s="3">
        <v>4566</v>
      </c>
      <c r="E32" s="3">
        <v>2774</v>
      </c>
      <c r="F32" s="3">
        <v>1792</v>
      </c>
      <c r="G32" s="1" t="s">
        <v>7</v>
      </c>
    </row>
    <row r="33" spans="1:7" hidden="1">
      <c r="A33" t="s">
        <v>3</v>
      </c>
      <c r="B33" s="1" t="s">
        <v>3</v>
      </c>
      <c r="C33" s="2">
        <v>2020</v>
      </c>
      <c r="D33" s="3">
        <v>6057</v>
      </c>
      <c r="E33" s="3">
        <v>3694</v>
      </c>
      <c r="F33" s="3">
        <v>2363</v>
      </c>
      <c r="G33" s="1" t="s">
        <v>7</v>
      </c>
    </row>
    <row r="34" spans="1:7" hidden="1">
      <c r="A34" t="s">
        <v>3</v>
      </c>
      <c r="B34" s="1" t="s">
        <v>3</v>
      </c>
      <c r="C34" s="2">
        <v>2021</v>
      </c>
      <c r="D34" s="3">
        <v>7121</v>
      </c>
      <c r="E34" s="3">
        <v>4271</v>
      </c>
      <c r="F34" s="3">
        <v>2849</v>
      </c>
      <c r="G34" s="2">
        <v>1</v>
      </c>
    </row>
    <row r="35" spans="1:7" hidden="1">
      <c r="A35" t="s">
        <v>3</v>
      </c>
      <c r="B35" s="1" t="s">
        <v>3</v>
      </c>
      <c r="C35" s="2">
        <v>2022</v>
      </c>
      <c r="D35" s="3">
        <v>5683</v>
      </c>
      <c r="E35" s="3">
        <v>3475</v>
      </c>
      <c r="F35" s="3">
        <v>2206</v>
      </c>
      <c r="G35" s="2">
        <v>2</v>
      </c>
    </row>
    <row r="36" spans="1:7" hidden="1">
      <c r="A36" t="s">
        <v>3</v>
      </c>
      <c r="B36" s="1" t="s">
        <v>3</v>
      </c>
      <c r="C36" s="2">
        <v>2023</v>
      </c>
      <c r="D36" s="3">
        <v>5594</v>
      </c>
      <c r="E36" s="3">
        <v>3355</v>
      </c>
      <c r="F36" s="3">
        <v>2239</v>
      </c>
      <c r="G36" s="1" t="s">
        <v>7</v>
      </c>
    </row>
    <row r="37" spans="1:7" hidden="1">
      <c r="A37" t="s">
        <v>3</v>
      </c>
      <c r="B37" s="1" t="s">
        <v>3</v>
      </c>
      <c r="C37" s="2">
        <v>2024</v>
      </c>
      <c r="D37" s="3">
        <v>5610</v>
      </c>
      <c r="E37" s="3">
        <v>3412</v>
      </c>
      <c r="F37" s="3">
        <v>2198</v>
      </c>
      <c r="G37" s="1" t="s">
        <v>7</v>
      </c>
    </row>
    <row r="38" spans="1:7" hidden="1">
      <c r="A38" t="s">
        <v>3</v>
      </c>
      <c r="B38" s="1" t="s">
        <v>8</v>
      </c>
      <c r="C38" s="2">
        <v>1998</v>
      </c>
      <c r="D38" s="2">
        <v>3</v>
      </c>
      <c r="E38" s="2">
        <v>3</v>
      </c>
      <c r="F38" s="1" t="s">
        <v>7</v>
      </c>
      <c r="G38" s="1" t="s">
        <v>7</v>
      </c>
    </row>
    <row r="39" spans="1:7" hidden="1">
      <c r="A39" t="s">
        <v>3</v>
      </c>
      <c r="B39" s="1" t="s">
        <v>8</v>
      </c>
      <c r="C39" s="2">
        <v>1999</v>
      </c>
      <c r="D39" s="2">
        <v>1</v>
      </c>
      <c r="E39" s="1" t="s">
        <v>7</v>
      </c>
      <c r="F39" s="2">
        <v>1</v>
      </c>
      <c r="G39" s="1" t="s">
        <v>7</v>
      </c>
    </row>
    <row r="40" spans="1:7" hidden="1">
      <c r="A40" t="s">
        <v>3</v>
      </c>
      <c r="B40" s="1" t="s">
        <v>9</v>
      </c>
      <c r="C40" s="2">
        <v>1993</v>
      </c>
      <c r="D40" s="2">
        <v>1</v>
      </c>
      <c r="E40" s="2">
        <v>1</v>
      </c>
      <c r="F40" s="1" t="s">
        <v>7</v>
      </c>
      <c r="G40" s="1" t="s">
        <v>7</v>
      </c>
    </row>
    <row r="41" spans="1:7" hidden="1">
      <c r="A41" t="s">
        <v>3</v>
      </c>
      <c r="B41" s="1" t="s">
        <v>10</v>
      </c>
      <c r="C41" s="2">
        <v>1993</v>
      </c>
      <c r="D41" s="2">
        <v>1</v>
      </c>
      <c r="E41" s="2">
        <v>1</v>
      </c>
      <c r="F41" s="1" t="s">
        <v>7</v>
      </c>
      <c r="G41" s="1" t="s">
        <v>7</v>
      </c>
    </row>
    <row r="42" spans="1:7" hidden="1">
      <c r="A42" t="s">
        <v>3</v>
      </c>
      <c r="B42" s="1" t="s">
        <v>11</v>
      </c>
      <c r="C42" s="2">
        <v>1993</v>
      </c>
      <c r="D42" s="2">
        <v>1</v>
      </c>
      <c r="E42" s="2">
        <v>1</v>
      </c>
      <c r="F42" s="1" t="s">
        <v>7</v>
      </c>
      <c r="G42" s="1" t="s">
        <v>7</v>
      </c>
    </row>
    <row r="43" spans="1:7" hidden="1">
      <c r="A43" t="s">
        <v>3</v>
      </c>
      <c r="B43" s="1" t="s">
        <v>12</v>
      </c>
      <c r="C43" s="2">
        <v>1994</v>
      </c>
      <c r="D43" s="2">
        <v>1</v>
      </c>
      <c r="E43" s="1" t="s">
        <v>7</v>
      </c>
      <c r="F43" s="2">
        <v>1</v>
      </c>
      <c r="G43" s="1" t="s">
        <v>7</v>
      </c>
    </row>
    <row r="44" spans="1:7" hidden="1">
      <c r="A44" t="s">
        <v>3</v>
      </c>
      <c r="B44" s="1" t="s">
        <v>13</v>
      </c>
      <c r="C44" s="2">
        <v>1997</v>
      </c>
      <c r="D44" s="2">
        <v>1</v>
      </c>
      <c r="E44" s="2">
        <v>1</v>
      </c>
      <c r="F44" s="1" t="s">
        <v>7</v>
      </c>
      <c r="G44" s="1" t="s">
        <v>7</v>
      </c>
    </row>
    <row r="45" spans="1:7" hidden="1">
      <c r="A45" t="s">
        <v>3</v>
      </c>
      <c r="B45" s="1" t="s">
        <v>14</v>
      </c>
      <c r="C45" s="2">
        <v>1994</v>
      </c>
      <c r="D45" s="2">
        <v>1</v>
      </c>
      <c r="E45" s="2">
        <v>1</v>
      </c>
      <c r="F45" s="1" t="s">
        <v>7</v>
      </c>
      <c r="G45" s="1" t="s">
        <v>7</v>
      </c>
    </row>
    <row r="46" spans="1:7" hidden="1">
      <c r="A46" t="s">
        <v>3</v>
      </c>
      <c r="B46" s="1" t="s">
        <v>14</v>
      </c>
      <c r="C46" s="2">
        <v>2003</v>
      </c>
      <c r="D46" s="2">
        <v>1</v>
      </c>
      <c r="E46" s="2">
        <v>1</v>
      </c>
      <c r="F46" s="1" t="s">
        <v>7</v>
      </c>
      <c r="G46" s="1" t="s">
        <v>7</v>
      </c>
    </row>
    <row r="47" spans="1:7" hidden="1">
      <c r="A47" t="s">
        <v>3</v>
      </c>
      <c r="B47" s="1" t="s">
        <v>15</v>
      </c>
      <c r="C47" s="2">
        <v>2004</v>
      </c>
      <c r="D47" s="2">
        <v>1</v>
      </c>
      <c r="E47" s="1" t="s">
        <v>7</v>
      </c>
      <c r="F47" s="2">
        <v>1</v>
      </c>
      <c r="G47" s="1" t="s">
        <v>7</v>
      </c>
    </row>
    <row r="48" spans="1:7" hidden="1">
      <c r="A48" t="s">
        <v>3</v>
      </c>
      <c r="B48" s="1" t="s">
        <v>16</v>
      </c>
      <c r="C48" s="2">
        <v>2000</v>
      </c>
      <c r="D48" s="2">
        <v>1</v>
      </c>
      <c r="E48" s="1" t="s">
        <v>7</v>
      </c>
      <c r="F48" s="2">
        <v>1</v>
      </c>
      <c r="G48" s="1" t="s">
        <v>7</v>
      </c>
    </row>
    <row r="49" spans="1:7" hidden="1">
      <c r="A49" t="s">
        <v>3</v>
      </c>
      <c r="B49" s="1" t="s">
        <v>17</v>
      </c>
      <c r="C49" s="2">
        <v>2008</v>
      </c>
      <c r="D49" s="2">
        <v>1</v>
      </c>
      <c r="E49" s="1" t="s">
        <v>7</v>
      </c>
      <c r="F49" s="2">
        <v>1</v>
      </c>
      <c r="G49" s="1" t="s">
        <v>7</v>
      </c>
    </row>
    <row r="50" spans="1:7" hidden="1">
      <c r="A50" t="s">
        <v>3</v>
      </c>
      <c r="B50" s="1" t="s">
        <v>18</v>
      </c>
      <c r="C50" s="2">
        <v>2014</v>
      </c>
      <c r="D50" s="2">
        <v>1</v>
      </c>
      <c r="E50" s="2">
        <v>1</v>
      </c>
      <c r="F50" s="1" t="s">
        <v>7</v>
      </c>
      <c r="G50" s="1" t="s">
        <v>7</v>
      </c>
    </row>
    <row r="51" spans="1:7" hidden="1">
      <c r="A51" t="s">
        <v>3</v>
      </c>
      <c r="B51" s="1" t="s">
        <v>19</v>
      </c>
      <c r="C51" s="2">
        <v>1999</v>
      </c>
      <c r="D51" s="2">
        <v>2</v>
      </c>
      <c r="E51" s="2">
        <v>2</v>
      </c>
      <c r="F51" s="1" t="s">
        <v>7</v>
      </c>
      <c r="G51" s="1" t="s">
        <v>7</v>
      </c>
    </row>
    <row r="52" spans="1:7" hidden="1">
      <c r="A52" t="s">
        <v>3</v>
      </c>
      <c r="B52" s="1" t="s">
        <v>20</v>
      </c>
      <c r="C52" s="2">
        <v>1999</v>
      </c>
      <c r="D52" s="2">
        <v>1</v>
      </c>
      <c r="E52" s="1" t="s">
        <v>7</v>
      </c>
      <c r="F52" s="2">
        <v>1</v>
      </c>
      <c r="G52" s="1" t="s">
        <v>7</v>
      </c>
    </row>
    <row r="53" spans="1:7" hidden="1">
      <c r="A53" t="s">
        <v>3</v>
      </c>
      <c r="B53" s="1" t="s">
        <v>21</v>
      </c>
      <c r="C53" s="2">
        <v>1997</v>
      </c>
      <c r="D53" s="2">
        <v>1</v>
      </c>
      <c r="E53" s="2">
        <v>1</v>
      </c>
      <c r="F53" s="1" t="s">
        <v>7</v>
      </c>
      <c r="G53" s="1" t="s">
        <v>7</v>
      </c>
    </row>
    <row r="54" spans="1:7" hidden="1">
      <c r="A54" t="s">
        <v>3</v>
      </c>
      <c r="B54" s="1" t="s">
        <v>21</v>
      </c>
      <c r="C54" s="2">
        <v>2003</v>
      </c>
      <c r="D54" s="2">
        <v>1</v>
      </c>
      <c r="E54" s="1" t="s">
        <v>7</v>
      </c>
      <c r="F54" s="2">
        <v>1</v>
      </c>
      <c r="G54" s="1" t="s">
        <v>7</v>
      </c>
    </row>
    <row r="55" spans="1:7" hidden="1">
      <c r="A55" t="s">
        <v>3</v>
      </c>
      <c r="B55" s="1" t="s">
        <v>22</v>
      </c>
      <c r="C55" s="2">
        <v>2013</v>
      </c>
      <c r="D55" s="2">
        <v>1</v>
      </c>
      <c r="E55" s="1" t="s">
        <v>7</v>
      </c>
      <c r="F55" s="2">
        <v>1</v>
      </c>
      <c r="G55" s="1" t="s">
        <v>7</v>
      </c>
    </row>
    <row r="56" spans="1:7" hidden="1">
      <c r="A56" t="s">
        <v>3</v>
      </c>
      <c r="B56" s="1" t="s">
        <v>23</v>
      </c>
      <c r="C56" s="2">
        <v>2003</v>
      </c>
      <c r="D56" s="2">
        <v>1</v>
      </c>
      <c r="E56" s="2">
        <v>1</v>
      </c>
      <c r="F56" s="1" t="s">
        <v>7</v>
      </c>
      <c r="G56" s="1" t="s">
        <v>7</v>
      </c>
    </row>
    <row r="57" spans="1:7" hidden="1">
      <c r="A57" t="s">
        <v>3</v>
      </c>
      <c r="B57" s="1" t="s">
        <v>23</v>
      </c>
      <c r="C57" s="2">
        <v>2011</v>
      </c>
      <c r="D57" s="2">
        <v>1</v>
      </c>
      <c r="E57" s="2">
        <v>1</v>
      </c>
      <c r="F57" s="1" t="s">
        <v>7</v>
      </c>
      <c r="G57" s="1" t="s">
        <v>7</v>
      </c>
    </row>
    <row r="58" spans="1:7" hidden="1">
      <c r="A58" t="s">
        <v>3</v>
      </c>
      <c r="B58" s="1" t="s">
        <v>24</v>
      </c>
      <c r="C58" s="2">
        <v>1995</v>
      </c>
      <c r="D58" s="2">
        <v>1</v>
      </c>
      <c r="E58" s="2">
        <v>1</v>
      </c>
      <c r="F58" s="1" t="s">
        <v>7</v>
      </c>
      <c r="G58" s="1" t="s">
        <v>7</v>
      </c>
    </row>
    <row r="59" spans="1:7" hidden="1">
      <c r="A59" t="s">
        <v>3</v>
      </c>
      <c r="B59" s="1" t="s">
        <v>25</v>
      </c>
      <c r="C59" s="2">
        <v>2000</v>
      </c>
      <c r="D59" s="2">
        <v>1</v>
      </c>
      <c r="E59" s="2">
        <v>1</v>
      </c>
      <c r="F59" s="1" t="s">
        <v>7</v>
      </c>
      <c r="G59" s="1" t="s">
        <v>7</v>
      </c>
    </row>
    <row r="60" spans="1:7" hidden="1">
      <c r="A60" t="s">
        <v>3</v>
      </c>
      <c r="B60" s="1" t="s">
        <v>26</v>
      </c>
      <c r="C60" s="2">
        <v>2003</v>
      </c>
      <c r="D60" s="2">
        <v>1</v>
      </c>
      <c r="E60" s="2">
        <v>1</v>
      </c>
      <c r="F60" s="1" t="s">
        <v>7</v>
      </c>
      <c r="G60" s="1" t="s">
        <v>7</v>
      </c>
    </row>
    <row r="61" spans="1:7" hidden="1">
      <c r="A61" t="s">
        <v>3</v>
      </c>
      <c r="B61" s="1" t="s">
        <v>27</v>
      </c>
      <c r="C61" s="2">
        <v>1996</v>
      </c>
      <c r="D61" s="2">
        <v>1</v>
      </c>
      <c r="E61" s="1" t="s">
        <v>7</v>
      </c>
      <c r="F61" s="2">
        <v>1</v>
      </c>
      <c r="G61" s="1" t="s">
        <v>7</v>
      </c>
    </row>
    <row r="62" spans="1:7" hidden="1">
      <c r="A62" t="s">
        <v>3</v>
      </c>
      <c r="B62" s="1" t="s">
        <v>28</v>
      </c>
      <c r="C62" s="2">
        <v>1994</v>
      </c>
      <c r="D62" s="2">
        <v>1</v>
      </c>
      <c r="E62" s="1" t="s">
        <v>7</v>
      </c>
      <c r="F62" s="2">
        <v>1</v>
      </c>
      <c r="G62" s="1" t="s">
        <v>7</v>
      </c>
    </row>
    <row r="63" spans="1:7" hidden="1">
      <c r="A63" t="s">
        <v>3</v>
      </c>
      <c r="B63" s="1" t="s">
        <v>29</v>
      </c>
      <c r="C63" s="2">
        <v>1994</v>
      </c>
      <c r="D63" s="2">
        <v>1</v>
      </c>
      <c r="E63" s="1" t="s">
        <v>7</v>
      </c>
      <c r="F63" s="2">
        <v>1</v>
      </c>
      <c r="G63" s="1" t="s">
        <v>7</v>
      </c>
    </row>
    <row r="64" spans="1:7" hidden="1">
      <c r="A64" t="s">
        <v>3</v>
      </c>
      <c r="B64" s="1" t="s">
        <v>30</v>
      </c>
      <c r="C64" s="2">
        <v>1995</v>
      </c>
      <c r="D64" s="2">
        <v>1</v>
      </c>
      <c r="E64" s="2">
        <v>1</v>
      </c>
      <c r="F64" s="1" t="s">
        <v>7</v>
      </c>
      <c r="G64" s="1" t="s">
        <v>7</v>
      </c>
    </row>
    <row r="65" spans="1:7" hidden="1">
      <c r="A65" t="s">
        <v>3</v>
      </c>
      <c r="B65" s="1" t="s">
        <v>31</v>
      </c>
      <c r="C65" s="2">
        <v>1995</v>
      </c>
      <c r="D65" s="2">
        <v>1</v>
      </c>
      <c r="E65" s="1" t="s">
        <v>7</v>
      </c>
      <c r="F65" s="2">
        <v>1</v>
      </c>
      <c r="G65" s="1" t="s">
        <v>7</v>
      </c>
    </row>
    <row r="66" spans="1:7" hidden="1">
      <c r="A66" t="s">
        <v>3</v>
      </c>
      <c r="B66" s="1" t="s">
        <v>32</v>
      </c>
      <c r="C66" s="2">
        <v>2002</v>
      </c>
      <c r="D66" s="2">
        <v>1</v>
      </c>
      <c r="E66" s="2">
        <v>1</v>
      </c>
      <c r="F66" s="1" t="s">
        <v>7</v>
      </c>
      <c r="G66" s="1" t="s">
        <v>7</v>
      </c>
    </row>
    <row r="67" spans="1:7" hidden="1">
      <c r="A67" t="s">
        <v>3</v>
      </c>
      <c r="B67" s="1" t="s">
        <v>33</v>
      </c>
      <c r="C67" s="2">
        <v>1995</v>
      </c>
      <c r="D67" s="2">
        <v>1</v>
      </c>
      <c r="E67" s="2">
        <v>1</v>
      </c>
      <c r="F67" s="1" t="s">
        <v>7</v>
      </c>
      <c r="G67" s="1" t="s">
        <v>7</v>
      </c>
    </row>
    <row r="68" spans="1:7" hidden="1">
      <c r="A68" t="s">
        <v>3</v>
      </c>
      <c r="B68" s="1" t="s">
        <v>33</v>
      </c>
      <c r="C68" s="2">
        <v>2004</v>
      </c>
      <c r="D68" s="2">
        <v>1</v>
      </c>
      <c r="E68" s="2">
        <v>1</v>
      </c>
      <c r="F68" s="1" t="s">
        <v>7</v>
      </c>
      <c r="G68" s="1" t="s">
        <v>7</v>
      </c>
    </row>
    <row r="69" spans="1:7" hidden="1">
      <c r="A69" t="s">
        <v>3</v>
      </c>
      <c r="B69" s="1" t="s">
        <v>34</v>
      </c>
      <c r="C69" s="2">
        <v>1999</v>
      </c>
      <c r="D69" s="2">
        <v>1</v>
      </c>
      <c r="E69" s="1" t="s">
        <v>7</v>
      </c>
      <c r="F69" s="2">
        <v>1</v>
      </c>
      <c r="G69" s="1" t="s">
        <v>7</v>
      </c>
    </row>
    <row r="70" spans="1:7" hidden="1">
      <c r="A70" t="s">
        <v>3</v>
      </c>
      <c r="B70" s="1" t="s">
        <v>35</v>
      </c>
      <c r="C70" s="2">
        <v>1990</v>
      </c>
      <c r="D70" s="3">
        <v>2349</v>
      </c>
      <c r="E70" s="3">
        <v>1368</v>
      </c>
      <c r="F70" s="2">
        <v>979</v>
      </c>
      <c r="G70" s="2">
        <v>2</v>
      </c>
    </row>
    <row r="71" spans="1:7" hidden="1">
      <c r="A71" t="s">
        <v>3</v>
      </c>
      <c r="B71" s="1" t="s">
        <v>35</v>
      </c>
      <c r="C71" s="2">
        <v>1994</v>
      </c>
      <c r="D71" s="2">
        <v>1</v>
      </c>
      <c r="E71" s="2">
        <v>1</v>
      </c>
      <c r="F71" s="1" t="s">
        <v>7</v>
      </c>
      <c r="G71" s="1" t="s">
        <v>7</v>
      </c>
    </row>
    <row r="72" spans="1:7" hidden="1">
      <c r="A72" t="s">
        <v>3</v>
      </c>
      <c r="B72" s="1" t="s">
        <v>35</v>
      </c>
      <c r="C72" s="2">
        <v>1998</v>
      </c>
      <c r="D72" s="2">
        <v>1</v>
      </c>
      <c r="E72" s="1" t="s">
        <v>7</v>
      </c>
      <c r="F72" s="2">
        <v>1</v>
      </c>
      <c r="G72" s="1" t="s">
        <v>7</v>
      </c>
    </row>
    <row r="73" spans="1:7" hidden="1">
      <c r="A73" t="s">
        <v>3</v>
      </c>
      <c r="B73" s="1" t="s">
        <v>35</v>
      </c>
      <c r="C73" s="2">
        <v>2004</v>
      </c>
      <c r="D73" s="2">
        <v>1</v>
      </c>
      <c r="E73" s="2">
        <v>1</v>
      </c>
      <c r="F73" s="1" t="s">
        <v>7</v>
      </c>
      <c r="G73" s="1" t="s">
        <v>7</v>
      </c>
    </row>
    <row r="74" spans="1:7" hidden="1">
      <c r="A74" t="s">
        <v>3</v>
      </c>
      <c r="B74" s="1" t="s">
        <v>35</v>
      </c>
      <c r="C74" s="2">
        <v>2005</v>
      </c>
      <c r="D74" s="2">
        <v>1</v>
      </c>
      <c r="E74" s="2">
        <v>1</v>
      </c>
      <c r="F74" s="1" t="s">
        <v>7</v>
      </c>
      <c r="G74" s="1" t="s">
        <v>7</v>
      </c>
    </row>
    <row r="75" spans="1:7" hidden="1">
      <c r="A75" t="s">
        <v>3</v>
      </c>
      <c r="B75" s="1" t="s">
        <v>36</v>
      </c>
      <c r="C75" s="2">
        <v>1991</v>
      </c>
      <c r="D75" s="3">
        <v>2277</v>
      </c>
      <c r="E75" s="3">
        <v>1292</v>
      </c>
      <c r="F75" s="2">
        <v>982</v>
      </c>
      <c r="G75" s="2">
        <v>3</v>
      </c>
    </row>
    <row r="76" spans="1:7" hidden="1">
      <c r="A76" t="s">
        <v>3</v>
      </c>
      <c r="B76" s="1" t="s">
        <v>36</v>
      </c>
      <c r="C76" s="2">
        <v>1993</v>
      </c>
      <c r="D76" s="2">
        <v>2</v>
      </c>
      <c r="E76" s="1" t="s">
        <v>7</v>
      </c>
      <c r="F76" s="2">
        <v>2</v>
      </c>
      <c r="G76" s="1" t="s">
        <v>7</v>
      </c>
    </row>
    <row r="77" spans="1:7" hidden="1">
      <c r="A77" t="s">
        <v>3</v>
      </c>
      <c r="B77" s="1" t="s">
        <v>36</v>
      </c>
      <c r="C77" s="2">
        <v>1995</v>
      </c>
      <c r="D77" s="2">
        <v>1</v>
      </c>
      <c r="E77" s="2">
        <v>1</v>
      </c>
      <c r="F77" s="1" t="s">
        <v>7</v>
      </c>
      <c r="G77" s="1" t="s">
        <v>7</v>
      </c>
    </row>
    <row r="78" spans="1:7" hidden="1">
      <c r="A78" t="s">
        <v>3</v>
      </c>
      <c r="B78" s="1" t="s">
        <v>36</v>
      </c>
      <c r="C78" s="2">
        <v>1997</v>
      </c>
      <c r="D78" s="2">
        <v>1</v>
      </c>
      <c r="E78" s="2">
        <v>1</v>
      </c>
      <c r="F78" s="1" t="s">
        <v>7</v>
      </c>
      <c r="G78" s="1" t="s">
        <v>7</v>
      </c>
    </row>
    <row r="79" spans="1:7" hidden="1">
      <c r="A79" t="s">
        <v>3</v>
      </c>
      <c r="B79" s="1" t="s">
        <v>37</v>
      </c>
      <c r="C79" s="2">
        <v>1992</v>
      </c>
      <c r="D79" s="3">
        <v>2248</v>
      </c>
      <c r="E79" s="3">
        <v>1296</v>
      </c>
      <c r="F79" s="2">
        <v>950</v>
      </c>
      <c r="G79" s="2">
        <v>2</v>
      </c>
    </row>
    <row r="80" spans="1:7" hidden="1">
      <c r="A80" t="s">
        <v>3</v>
      </c>
      <c r="B80" s="1" t="s">
        <v>37</v>
      </c>
      <c r="C80" s="2">
        <v>1993</v>
      </c>
      <c r="D80" s="2">
        <v>16</v>
      </c>
      <c r="E80" s="2">
        <v>8</v>
      </c>
      <c r="F80" s="2">
        <v>8</v>
      </c>
      <c r="G80" s="1" t="s">
        <v>7</v>
      </c>
    </row>
    <row r="81" spans="1:7" hidden="1">
      <c r="A81" t="s">
        <v>3</v>
      </c>
      <c r="B81" s="1" t="s">
        <v>37</v>
      </c>
      <c r="C81" s="2">
        <v>1994</v>
      </c>
      <c r="D81" s="2">
        <v>1</v>
      </c>
      <c r="E81" s="1" t="s">
        <v>7</v>
      </c>
      <c r="F81" s="2">
        <v>1</v>
      </c>
      <c r="G81" s="1" t="s">
        <v>7</v>
      </c>
    </row>
    <row r="82" spans="1:7" hidden="1">
      <c r="A82" t="s">
        <v>3</v>
      </c>
      <c r="B82" s="1" t="s">
        <v>38</v>
      </c>
      <c r="C82" s="2">
        <v>1993</v>
      </c>
      <c r="D82" s="3">
        <v>2201</v>
      </c>
      <c r="E82" s="3">
        <v>1258</v>
      </c>
      <c r="F82" s="2">
        <v>942</v>
      </c>
      <c r="G82" s="2">
        <v>1</v>
      </c>
    </row>
    <row r="83" spans="1:7" hidden="1">
      <c r="A83" t="s">
        <v>3</v>
      </c>
      <c r="B83" s="1" t="s">
        <v>38</v>
      </c>
      <c r="C83" s="2">
        <v>1994</v>
      </c>
      <c r="D83" s="2">
        <v>4</v>
      </c>
      <c r="E83" s="2">
        <v>3</v>
      </c>
      <c r="F83" s="2">
        <v>1</v>
      </c>
      <c r="G83" s="1" t="s">
        <v>7</v>
      </c>
    </row>
    <row r="84" spans="1:7" hidden="1">
      <c r="A84" t="s">
        <v>3</v>
      </c>
      <c r="B84" s="1" t="s">
        <v>38</v>
      </c>
      <c r="C84" s="2">
        <v>1995</v>
      </c>
      <c r="D84" s="2">
        <v>2</v>
      </c>
      <c r="E84" s="2">
        <v>1</v>
      </c>
      <c r="F84" s="2">
        <v>1</v>
      </c>
      <c r="G84" s="1" t="s">
        <v>7</v>
      </c>
    </row>
    <row r="85" spans="1:7" hidden="1">
      <c r="A85" t="s">
        <v>3</v>
      </c>
      <c r="B85" s="1" t="s">
        <v>38</v>
      </c>
      <c r="C85" s="2">
        <v>1998</v>
      </c>
      <c r="D85" s="2">
        <v>1</v>
      </c>
      <c r="E85" s="2">
        <v>1</v>
      </c>
      <c r="F85" s="1" t="s">
        <v>7</v>
      </c>
      <c r="G85" s="1" t="s">
        <v>7</v>
      </c>
    </row>
    <row r="86" spans="1:7" hidden="1">
      <c r="A86" t="s">
        <v>3</v>
      </c>
      <c r="B86" s="1" t="s">
        <v>39</v>
      </c>
      <c r="C86" s="2">
        <v>1994</v>
      </c>
      <c r="D86" s="3">
        <v>2258</v>
      </c>
      <c r="E86" s="3">
        <v>1322</v>
      </c>
      <c r="F86" s="2">
        <v>935</v>
      </c>
      <c r="G86" s="2">
        <v>1</v>
      </c>
    </row>
    <row r="87" spans="1:7" hidden="1">
      <c r="A87" t="s">
        <v>3</v>
      </c>
      <c r="B87" s="1" t="s">
        <v>39</v>
      </c>
      <c r="C87" s="2">
        <v>1995</v>
      </c>
      <c r="D87" s="2">
        <v>10</v>
      </c>
      <c r="E87" s="2">
        <v>7</v>
      </c>
      <c r="F87" s="2">
        <v>3</v>
      </c>
      <c r="G87" s="1" t="s">
        <v>7</v>
      </c>
    </row>
    <row r="88" spans="1:7" hidden="1">
      <c r="A88" t="s">
        <v>3</v>
      </c>
      <c r="B88" s="1" t="s">
        <v>39</v>
      </c>
      <c r="C88" s="2">
        <v>1999</v>
      </c>
      <c r="D88" s="2">
        <v>1</v>
      </c>
      <c r="E88" s="1" t="s">
        <v>7</v>
      </c>
      <c r="F88" s="2">
        <v>1</v>
      </c>
      <c r="G88" s="1" t="s">
        <v>7</v>
      </c>
    </row>
    <row r="89" spans="1:7" hidden="1">
      <c r="A89" t="s">
        <v>3</v>
      </c>
      <c r="B89" s="1" t="s">
        <v>40</v>
      </c>
      <c r="C89" s="2">
        <v>1995</v>
      </c>
      <c r="D89" s="3">
        <v>2315</v>
      </c>
      <c r="E89" s="3">
        <v>1299</v>
      </c>
      <c r="F89" s="3">
        <v>1016</v>
      </c>
      <c r="G89" s="1" t="s">
        <v>7</v>
      </c>
    </row>
    <row r="90" spans="1:7" hidden="1">
      <c r="A90" t="s">
        <v>3</v>
      </c>
      <c r="B90" s="1" t="s">
        <v>40</v>
      </c>
      <c r="C90" s="2">
        <v>1996</v>
      </c>
      <c r="D90" s="2">
        <v>10</v>
      </c>
      <c r="E90" s="2">
        <v>6</v>
      </c>
      <c r="F90" s="2">
        <v>4</v>
      </c>
      <c r="G90" s="1" t="s">
        <v>7</v>
      </c>
    </row>
    <row r="91" spans="1:7" hidden="1">
      <c r="A91" t="s">
        <v>3</v>
      </c>
      <c r="B91" s="1" t="s">
        <v>40</v>
      </c>
      <c r="C91" s="2">
        <v>1997</v>
      </c>
      <c r="D91" s="2">
        <v>1</v>
      </c>
      <c r="E91" s="2">
        <v>1</v>
      </c>
      <c r="F91" s="1" t="s">
        <v>7</v>
      </c>
      <c r="G91" s="1" t="s">
        <v>7</v>
      </c>
    </row>
    <row r="92" spans="1:7" hidden="1">
      <c r="A92" t="s">
        <v>3</v>
      </c>
      <c r="B92" s="1" t="s">
        <v>40</v>
      </c>
      <c r="C92" s="2">
        <v>1999</v>
      </c>
      <c r="D92" s="2">
        <v>2</v>
      </c>
      <c r="E92" s="2">
        <v>1</v>
      </c>
      <c r="F92" s="2">
        <v>1</v>
      </c>
      <c r="G92" s="1" t="s">
        <v>7</v>
      </c>
    </row>
    <row r="93" spans="1:7" hidden="1">
      <c r="A93" t="s">
        <v>3</v>
      </c>
      <c r="B93" s="1" t="s">
        <v>40</v>
      </c>
      <c r="C93" s="2">
        <v>2004</v>
      </c>
      <c r="D93" s="2">
        <v>1</v>
      </c>
      <c r="E93" s="2">
        <v>1</v>
      </c>
      <c r="F93" s="1" t="s">
        <v>7</v>
      </c>
      <c r="G93" s="1" t="s">
        <v>7</v>
      </c>
    </row>
    <row r="94" spans="1:7" hidden="1">
      <c r="A94" t="s">
        <v>3</v>
      </c>
      <c r="B94" s="1" t="s">
        <v>41</v>
      </c>
      <c r="C94" s="2">
        <v>1996</v>
      </c>
      <c r="D94" s="3">
        <v>2282</v>
      </c>
      <c r="E94" s="3">
        <v>1300</v>
      </c>
      <c r="F94" s="2">
        <v>981</v>
      </c>
      <c r="G94" s="2">
        <v>1</v>
      </c>
    </row>
    <row r="95" spans="1:7" hidden="1">
      <c r="A95" t="s">
        <v>3</v>
      </c>
      <c r="B95" s="1" t="s">
        <v>41</v>
      </c>
      <c r="C95" s="2">
        <v>1997</v>
      </c>
      <c r="D95" s="2">
        <v>9</v>
      </c>
      <c r="E95" s="2">
        <v>6</v>
      </c>
      <c r="F95" s="2">
        <v>3</v>
      </c>
      <c r="G95" s="1" t="s">
        <v>7</v>
      </c>
    </row>
    <row r="96" spans="1:7" hidden="1">
      <c r="A96" t="s">
        <v>3</v>
      </c>
      <c r="B96" s="1" t="s">
        <v>41</v>
      </c>
      <c r="C96" s="2">
        <v>1998</v>
      </c>
      <c r="D96" s="2">
        <v>1</v>
      </c>
      <c r="E96" s="1" t="s">
        <v>7</v>
      </c>
      <c r="F96" s="2">
        <v>1</v>
      </c>
      <c r="G96" s="1" t="s">
        <v>7</v>
      </c>
    </row>
    <row r="97" spans="1:7" hidden="1">
      <c r="A97" t="s">
        <v>3</v>
      </c>
      <c r="B97" s="1" t="s">
        <v>41</v>
      </c>
      <c r="C97" s="2">
        <v>2004</v>
      </c>
      <c r="D97" s="2">
        <v>1</v>
      </c>
      <c r="E97" s="1" t="s">
        <v>7</v>
      </c>
      <c r="F97" s="2">
        <v>1</v>
      </c>
      <c r="G97" s="1" t="s">
        <v>7</v>
      </c>
    </row>
    <row r="98" spans="1:7" hidden="1">
      <c r="A98" t="s">
        <v>3</v>
      </c>
      <c r="B98" s="1" t="s">
        <v>42</v>
      </c>
      <c r="C98" s="2">
        <v>1997</v>
      </c>
      <c r="D98" s="3">
        <v>2388</v>
      </c>
      <c r="E98" s="3">
        <v>1355</v>
      </c>
      <c r="F98" s="3">
        <v>1032</v>
      </c>
      <c r="G98" s="2">
        <v>1</v>
      </c>
    </row>
    <row r="99" spans="1:7" hidden="1">
      <c r="A99" t="s">
        <v>3</v>
      </c>
      <c r="B99" s="1" t="s">
        <v>42</v>
      </c>
      <c r="C99" s="2">
        <v>1998</v>
      </c>
      <c r="D99" s="2">
        <v>12</v>
      </c>
      <c r="E99" s="2">
        <v>10</v>
      </c>
      <c r="F99" s="2">
        <v>2</v>
      </c>
      <c r="G99" s="1" t="s">
        <v>7</v>
      </c>
    </row>
    <row r="100" spans="1:7" hidden="1">
      <c r="A100" t="s">
        <v>3</v>
      </c>
      <c r="B100" s="1" t="s">
        <v>42</v>
      </c>
      <c r="C100" s="2">
        <v>1999</v>
      </c>
      <c r="D100" s="2">
        <v>1</v>
      </c>
      <c r="E100" s="1" t="s">
        <v>7</v>
      </c>
      <c r="F100" s="2">
        <v>1</v>
      </c>
      <c r="G100" s="1" t="s">
        <v>7</v>
      </c>
    </row>
    <row r="101" spans="1:7" hidden="1">
      <c r="A101" t="s">
        <v>3</v>
      </c>
      <c r="B101" s="1" t="s">
        <v>42</v>
      </c>
      <c r="C101" s="2">
        <v>2002</v>
      </c>
      <c r="D101" s="2">
        <v>1</v>
      </c>
      <c r="E101" s="2">
        <v>1</v>
      </c>
      <c r="F101" s="1" t="s">
        <v>7</v>
      </c>
      <c r="G101" s="1" t="s">
        <v>7</v>
      </c>
    </row>
    <row r="102" spans="1:7" hidden="1">
      <c r="A102" t="s">
        <v>3</v>
      </c>
      <c r="B102" s="1" t="s">
        <v>42</v>
      </c>
      <c r="C102" s="2">
        <v>2003</v>
      </c>
      <c r="D102" s="2">
        <v>1</v>
      </c>
      <c r="E102" s="1" t="s">
        <v>7</v>
      </c>
      <c r="F102" s="2">
        <v>1</v>
      </c>
      <c r="G102" s="1" t="s">
        <v>7</v>
      </c>
    </row>
    <row r="103" spans="1:7" hidden="1">
      <c r="A103" t="s">
        <v>3</v>
      </c>
      <c r="B103" s="1" t="s">
        <v>42</v>
      </c>
      <c r="C103" s="2">
        <v>2006</v>
      </c>
      <c r="D103" s="2">
        <v>1</v>
      </c>
      <c r="E103" s="2">
        <v>1</v>
      </c>
      <c r="F103" s="1" t="s">
        <v>7</v>
      </c>
      <c r="G103" s="1" t="s">
        <v>7</v>
      </c>
    </row>
    <row r="104" spans="1:7" hidden="1">
      <c r="A104" t="s">
        <v>3</v>
      </c>
      <c r="B104" s="1" t="s">
        <v>42</v>
      </c>
      <c r="C104" s="2">
        <v>2012</v>
      </c>
      <c r="D104" s="2">
        <v>1</v>
      </c>
      <c r="E104" s="1" t="s">
        <v>7</v>
      </c>
      <c r="F104" s="2">
        <v>1</v>
      </c>
      <c r="G104" s="1" t="s">
        <v>7</v>
      </c>
    </row>
    <row r="105" spans="1:7" hidden="1">
      <c r="A105" t="s">
        <v>3</v>
      </c>
      <c r="B105" s="1" t="s">
        <v>42</v>
      </c>
      <c r="C105" s="2">
        <v>2014</v>
      </c>
      <c r="D105" s="2">
        <v>1</v>
      </c>
      <c r="E105" s="2">
        <v>1</v>
      </c>
      <c r="F105" s="1" t="s">
        <v>7</v>
      </c>
      <c r="G105" s="1" t="s">
        <v>7</v>
      </c>
    </row>
    <row r="106" spans="1:7" hidden="1">
      <c r="A106" t="s">
        <v>3</v>
      </c>
      <c r="B106" s="1" t="s">
        <v>43</v>
      </c>
      <c r="C106" s="2">
        <v>1998</v>
      </c>
      <c r="D106" s="3">
        <v>2352</v>
      </c>
      <c r="E106" s="3">
        <v>1303</v>
      </c>
      <c r="F106" s="3">
        <v>1047</v>
      </c>
      <c r="G106" s="2">
        <v>2</v>
      </c>
    </row>
    <row r="107" spans="1:7" hidden="1">
      <c r="A107" t="s">
        <v>3</v>
      </c>
      <c r="B107" s="1" t="s">
        <v>43</v>
      </c>
      <c r="C107" s="2">
        <v>1999</v>
      </c>
      <c r="D107" s="2">
        <v>9</v>
      </c>
      <c r="E107" s="2">
        <v>7</v>
      </c>
      <c r="F107" s="2">
        <v>2</v>
      </c>
      <c r="G107" s="1" t="s">
        <v>7</v>
      </c>
    </row>
    <row r="108" spans="1:7" hidden="1">
      <c r="A108" t="s">
        <v>3</v>
      </c>
      <c r="B108" s="1" t="s">
        <v>43</v>
      </c>
      <c r="C108" s="2">
        <v>2012</v>
      </c>
      <c r="D108" s="2">
        <v>1</v>
      </c>
      <c r="E108" s="2">
        <v>1</v>
      </c>
      <c r="F108" s="1" t="s">
        <v>7</v>
      </c>
      <c r="G108" s="1" t="s">
        <v>7</v>
      </c>
    </row>
    <row r="109" spans="1:7" hidden="1">
      <c r="A109" t="s">
        <v>3</v>
      </c>
      <c r="B109" s="1" t="s">
        <v>44</v>
      </c>
      <c r="C109" s="2">
        <v>1999</v>
      </c>
      <c r="D109" s="3">
        <v>2333</v>
      </c>
      <c r="E109" s="3">
        <v>1332</v>
      </c>
      <c r="F109" s="3">
        <v>1000</v>
      </c>
      <c r="G109" s="2">
        <v>1</v>
      </c>
    </row>
    <row r="110" spans="1:7" hidden="1">
      <c r="A110" t="s">
        <v>3</v>
      </c>
      <c r="B110" s="1" t="s">
        <v>44</v>
      </c>
      <c r="C110" s="2">
        <v>2000</v>
      </c>
      <c r="D110" s="2">
        <v>7</v>
      </c>
      <c r="E110" s="2">
        <v>6</v>
      </c>
      <c r="F110" s="2">
        <v>1</v>
      </c>
      <c r="G110" s="1" t="s">
        <v>7</v>
      </c>
    </row>
    <row r="111" spans="1:7" hidden="1">
      <c r="A111" t="s">
        <v>3</v>
      </c>
      <c r="B111" s="1" t="s">
        <v>44</v>
      </c>
      <c r="C111" s="2">
        <v>2004</v>
      </c>
      <c r="D111" s="2">
        <v>1</v>
      </c>
      <c r="E111" s="2">
        <v>1</v>
      </c>
      <c r="F111" s="1" t="s">
        <v>7</v>
      </c>
      <c r="G111" s="1" t="s">
        <v>7</v>
      </c>
    </row>
    <row r="112" spans="1:7" hidden="1">
      <c r="A112" t="s">
        <v>3</v>
      </c>
      <c r="B112" s="1" t="s">
        <v>44</v>
      </c>
      <c r="C112" s="2">
        <v>2013</v>
      </c>
      <c r="D112" s="2">
        <v>1</v>
      </c>
      <c r="E112" s="1" t="s">
        <v>7</v>
      </c>
      <c r="F112" s="2">
        <v>1</v>
      </c>
      <c r="G112" s="1" t="s">
        <v>7</v>
      </c>
    </row>
    <row r="113" spans="1:7" hidden="1">
      <c r="A113" t="s">
        <v>3</v>
      </c>
      <c r="B113" s="1" t="s">
        <v>45</v>
      </c>
      <c r="C113" s="2">
        <v>2000</v>
      </c>
      <c r="D113" s="3">
        <v>2402</v>
      </c>
      <c r="E113" s="3">
        <v>1374</v>
      </c>
      <c r="F113" s="3">
        <v>1028</v>
      </c>
      <c r="G113" s="1" t="s">
        <v>7</v>
      </c>
    </row>
    <row r="114" spans="1:7" hidden="1">
      <c r="A114" t="s">
        <v>3</v>
      </c>
      <c r="B114" s="1" t="s">
        <v>45</v>
      </c>
      <c r="C114" s="2">
        <v>2001</v>
      </c>
      <c r="D114" s="2">
        <v>14</v>
      </c>
      <c r="E114" s="2">
        <v>9</v>
      </c>
      <c r="F114" s="2">
        <v>5</v>
      </c>
      <c r="G114" s="1" t="s">
        <v>7</v>
      </c>
    </row>
    <row r="115" spans="1:7" hidden="1">
      <c r="A115" t="s">
        <v>3</v>
      </c>
      <c r="B115" s="1" t="s">
        <v>45</v>
      </c>
      <c r="C115" s="2">
        <v>2008</v>
      </c>
      <c r="D115" s="2">
        <v>1</v>
      </c>
      <c r="E115" s="1" t="s">
        <v>7</v>
      </c>
      <c r="F115" s="2">
        <v>1</v>
      </c>
      <c r="G115" s="1" t="s">
        <v>7</v>
      </c>
    </row>
    <row r="116" spans="1:7" hidden="1">
      <c r="A116" t="s">
        <v>3</v>
      </c>
      <c r="B116" s="1" t="s">
        <v>45</v>
      </c>
      <c r="C116" s="2">
        <v>2009</v>
      </c>
      <c r="D116" s="2">
        <v>1</v>
      </c>
      <c r="E116" s="2">
        <v>1</v>
      </c>
      <c r="F116" s="1" t="s">
        <v>7</v>
      </c>
      <c r="G116" s="1" t="s">
        <v>7</v>
      </c>
    </row>
    <row r="117" spans="1:7" hidden="1">
      <c r="A117" t="s">
        <v>3</v>
      </c>
      <c r="B117" s="1" t="s">
        <v>45</v>
      </c>
      <c r="C117" s="2">
        <v>2011</v>
      </c>
      <c r="D117" s="2">
        <v>1</v>
      </c>
      <c r="E117" s="2">
        <v>1</v>
      </c>
      <c r="F117" s="1" t="s">
        <v>7</v>
      </c>
      <c r="G117" s="1" t="s">
        <v>7</v>
      </c>
    </row>
    <row r="118" spans="1:7" hidden="1">
      <c r="A118" t="s">
        <v>3</v>
      </c>
      <c r="B118" s="1" t="s">
        <v>46</v>
      </c>
      <c r="C118" s="2">
        <v>2001</v>
      </c>
      <c r="D118" s="3">
        <v>2435</v>
      </c>
      <c r="E118" s="3">
        <v>1355</v>
      </c>
      <c r="F118" s="3">
        <v>1078</v>
      </c>
      <c r="G118" s="2">
        <v>2</v>
      </c>
    </row>
    <row r="119" spans="1:7" hidden="1">
      <c r="A119" t="s">
        <v>3</v>
      </c>
      <c r="B119" s="1" t="s">
        <v>46</v>
      </c>
      <c r="C119" s="2">
        <v>2002</v>
      </c>
      <c r="D119" s="2">
        <v>17</v>
      </c>
      <c r="E119" s="2">
        <v>11</v>
      </c>
      <c r="F119" s="2">
        <v>6</v>
      </c>
      <c r="G119" s="1" t="s">
        <v>7</v>
      </c>
    </row>
    <row r="120" spans="1:7" hidden="1">
      <c r="A120" t="s">
        <v>3</v>
      </c>
      <c r="B120" s="1" t="s">
        <v>46</v>
      </c>
      <c r="C120" s="2">
        <v>2009</v>
      </c>
      <c r="D120" s="2">
        <v>1</v>
      </c>
      <c r="E120" s="1" t="s">
        <v>7</v>
      </c>
      <c r="F120" s="2">
        <v>1</v>
      </c>
      <c r="G120" s="1" t="s">
        <v>7</v>
      </c>
    </row>
    <row r="121" spans="1:7" hidden="1">
      <c r="A121" t="s">
        <v>3</v>
      </c>
      <c r="B121" s="1" t="s">
        <v>46</v>
      </c>
      <c r="C121" s="2">
        <v>2011</v>
      </c>
      <c r="D121" s="2">
        <v>2</v>
      </c>
      <c r="E121" s="2">
        <v>1</v>
      </c>
      <c r="F121" s="2">
        <v>1</v>
      </c>
      <c r="G121" s="1" t="s">
        <v>7</v>
      </c>
    </row>
    <row r="122" spans="1:7" hidden="1">
      <c r="A122" t="s">
        <v>3</v>
      </c>
      <c r="B122" s="1" t="s">
        <v>47</v>
      </c>
      <c r="C122" s="2">
        <v>2002</v>
      </c>
      <c r="D122" s="3">
        <v>2493</v>
      </c>
      <c r="E122" s="3">
        <v>1446</v>
      </c>
      <c r="F122" s="3">
        <v>1046</v>
      </c>
      <c r="G122" s="2">
        <v>1</v>
      </c>
    </row>
    <row r="123" spans="1:7" hidden="1">
      <c r="A123" t="s">
        <v>3</v>
      </c>
      <c r="B123" s="1" t="s">
        <v>47</v>
      </c>
      <c r="C123" s="2">
        <v>2003</v>
      </c>
      <c r="D123" s="2">
        <v>7</v>
      </c>
      <c r="E123" s="2">
        <v>5</v>
      </c>
      <c r="F123" s="2">
        <v>2</v>
      </c>
      <c r="G123" s="1" t="s">
        <v>7</v>
      </c>
    </row>
    <row r="124" spans="1:7" hidden="1">
      <c r="A124" t="s">
        <v>3</v>
      </c>
      <c r="B124" s="1" t="s">
        <v>48</v>
      </c>
      <c r="C124" s="2">
        <v>2003</v>
      </c>
      <c r="D124" s="3">
        <v>2430</v>
      </c>
      <c r="E124" s="3">
        <v>1343</v>
      </c>
      <c r="F124" s="3">
        <v>1086</v>
      </c>
      <c r="G124" s="2">
        <v>1</v>
      </c>
    </row>
    <row r="125" spans="1:7" hidden="1">
      <c r="A125" t="s">
        <v>3</v>
      </c>
      <c r="B125" s="1" t="s">
        <v>48</v>
      </c>
      <c r="C125" s="2">
        <v>2004</v>
      </c>
      <c r="D125" s="2">
        <v>13</v>
      </c>
      <c r="E125" s="2">
        <v>7</v>
      </c>
      <c r="F125" s="2">
        <v>6</v>
      </c>
      <c r="G125" s="1" t="s">
        <v>7</v>
      </c>
    </row>
    <row r="126" spans="1:7" hidden="1">
      <c r="A126" t="s">
        <v>3</v>
      </c>
      <c r="B126" s="1" t="s">
        <v>48</v>
      </c>
      <c r="C126" s="2">
        <v>2005</v>
      </c>
      <c r="D126" s="2">
        <v>2</v>
      </c>
      <c r="E126" s="2">
        <v>1</v>
      </c>
      <c r="F126" s="2">
        <v>1</v>
      </c>
      <c r="G126" s="1" t="s">
        <v>7</v>
      </c>
    </row>
    <row r="127" spans="1:7" hidden="1">
      <c r="A127" t="s">
        <v>3</v>
      </c>
      <c r="B127" s="1" t="s">
        <v>49</v>
      </c>
      <c r="C127" s="2">
        <v>2004</v>
      </c>
      <c r="D127" s="3">
        <v>2575</v>
      </c>
      <c r="E127" s="3">
        <v>1407</v>
      </c>
      <c r="F127" s="3">
        <v>1167</v>
      </c>
      <c r="G127" s="2">
        <v>1</v>
      </c>
    </row>
    <row r="128" spans="1:7" hidden="1">
      <c r="A128" t="s">
        <v>3</v>
      </c>
      <c r="B128" s="1" t="s">
        <v>49</v>
      </c>
      <c r="C128" s="2">
        <v>2005</v>
      </c>
      <c r="D128" s="2">
        <v>13</v>
      </c>
      <c r="E128" s="2">
        <v>8</v>
      </c>
      <c r="F128" s="2">
        <v>5</v>
      </c>
      <c r="G128" s="1" t="s">
        <v>7</v>
      </c>
    </row>
    <row r="129" spans="1:7" hidden="1">
      <c r="A129" t="s">
        <v>3</v>
      </c>
      <c r="B129" s="1" t="s">
        <v>49</v>
      </c>
      <c r="C129" s="2">
        <v>2006</v>
      </c>
      <c r="D129" s="2">
        <v>1</v>
      </c>
      <c r="E129" s="1" t="s">
        <v>7</v>
      </c>
      <c r="F129" s="2">
        <v>1</v>
      </c>
      <c r="G129" s="1" t="s">
        <v>7</v>
      </c>
    </row>
    <row r="130" spans="1:7" hidden="1">
      <c r="A130" t="s">
        <v>3</v>
      </c>
      <c r="B130" s="1" t="s">
        <v>49</v>
      </c>
      <c r="C130" s="2">
        <v>2009</v>
      </c>
      <c r="D130" s="2">
        <v>1</v>
      </c>
      <c r="E130" s="2">
        <v>1</v>
      </c>
      <c r="F130" s="1" t="s">
        <v>7</v>
      </c>
      <c r="G130" s="1" t="s">
        <v>7</v>
      </c>
    </row>
    <row r="131" spans="1:7" hidden="1">
      <c r="A131" t="s">
        <v>3</v>
      </c>
      <c r="B131" s="1" t="s">
        <v>50</v>
      </c>
      <c r="C131" s="2">
        <v>2005</v>
      </c>
      <c r="D131" s="3">
        <v>2743</v>
      </c>
      <c r="E131" s="3">
        <v>1569</v>
      </c>
      <c r="F131" s="3">
        <v>1174</v>
      </c>
      <c r="G131" s="1" t="s">
        <v>7</v>
      </c>
    </row>
    <row r="132" spans="1:7" hidden="1">
      <c r="A132" t="s">
        <v>3</v>
      </c>
      <c r="B132" s="1" t="s">
        <v>50</v>
      </c>
      <c r="C132" s="2">
        <v>2006</v>
      </c>
      <c r="D132" s="2">
        <v>14</v>
      </c>
      <c r="E132" s="2">
        <v>7</v>
      </c>
      <c r="F132" s="2">
        <v>7</v>
      </c>
      <c r="G132" s="1" t="s">
        <v>7</v>
      </c>
    </row>
    <row r="133" spans="1:7" hidden="1">
      <c r="A133" t="s">
        <v>3</v>
      </c>
      <c r="B133" s="1" t="s">
        <v>50</v>
      </c>
      <c r="C133" s="2">
        <v>2019</v>
      </c>
      <c r="D133" s="2">
        <v>1</v>
      </c>
      <c r="E133" s="2">
        <v>1</v>
      </c>
      <c r="F133" s="1" t="s">
        <v>7</v>
      </c>
      <c r="G133" s="1" t="s">
        <v>7</v>
      </c>
    </row>
    <row r="134" spans="1:7" hidden="1">
      <c r="A134" t="s">
        <v>3</v>
      </c>
      <c r="B134" s="1" t="s">
        <v>51</v>
      </c>
      <c r="C134" s="2">
        <v>2006</v>
      </c>
      <c r="D134" s="3">
        <v>2815</v>
      </c>
      <c r="E134" s="3">
        <v>1622</v>
      </c>
      <c r="F134" s="3">
        <v>1192</v>
      </c>
      <c r="G134" s="2">
        <v>1</v>
      </c>
    </row>
    <row r="135" spans="1:7" hidden="1">
      <c r="A135" t="s">
        <v>3</v>
      </c>
      <c r="B135" s="1" t="s">
        <v>51</v>
      </c>
      <c r="C135" s="2">
        <v>2007</v>
      </c>
      <c r="D135" s="2">
        <v>16</v>
      </c>
      <c r="E135" s="2">
        <v>12</v>
      </c>
      <c r="F135" s="2">
        <v>4</v>
      </c>
      <c r="G135" s="1" t="s">
        <v>7</v>
      </c>
    </row>
    <row r="136" spans="1:7" hidden="1">
      <c r="A136" t="s">
        <v>3</v>
      </c>
      <c r="B136" s="1" t="s">
        <v>52</v>
      </c>
      <c r="C136" s="2">
        <v>2007</v>
      </c>
      <c r="D136" s="3">
        <v>2850</v>
      </c>
      <c r="E136" s="3">
        <v>1667</v>
      </c>
      <c r="F136" s="3">
        <v>1182</v>
      </c>
      <c r="G136" s="2">
        <v>1</v>
      </c>
    </row>
    <row r="137" spans="1:7" hidden="1">
      <c r="A137" t="s">
        <v>3</v>
      </c>
      <c r="B137" s="1" t="s">
        <v>52</v>
      </c>
      <c r="C137" s="2">
        <v>2008</v>
      </c>
      <c r="D137" s="2">
        <v>13</v>
      </c>
      <c r="E137" s="2">
        <v>8</v>
      </c>
      <c r="F137" s="2">
        <v>4</v>
      </c>
      <c r="G137" s="2">
        <v>1</v>
      </c>
    </row>
    <row r="138" spans="1:7" hidden="1">
      <c r="A138" t="s">
        <v>3</v>
      </c>
      <c r="B138" s="1" t="s">
        <v>52</v>
      </c>
      <c r="C138" s="2">
        <v>2009</v>
      </c>
      <c r="D138" s="2">
        <v>1</v>
      </c>
      <c r="E138" s="2">
        <v>1</v>
      </c>
      <c r="F138" s="1" t="s">
        <v>7</v>
      </c>
      <c r="G138" s="1" t="s">
        <v>7</v>
      </c>
    </row>
    <row r="139" spans="1:7" hidden="1">
      <c r="A139" t="s">
        <v>3</v>
      </c>
      <c r="B139" s="1" t="s">
        <v>52</v>
      </c>
      <c r="C139" s="2">
        <v>2022</v>
      </c>
      <c r="D139" s="2">
        <v>1</v>
      </c>
      <c r="E139" s="2">
        <v>1</v>
      </c>
      <c r="F139" s="1" t="s">
        <v>7</v>
      </c>
      <c r="G139" s="1" t="s">
        <v>7</v>
      </c>
    </row>
    <row r="140" spans="1:7" hidden="1">
      <c r="A140" t="s">
        <v>3</v>
      </c>
      <c r="B140" s="1" t="s">
        <v>53</v>
      </c>
      <c r="C140" s="2">
        <v>2008</v>
      </c>
      <c r="D140" s="3">
        <v>3037</v>
      </c>
      <c r="E140" s="3">
        <v>1715</v>
      </c>
      <c r="F140" s="3">
        <v>1322</v>
      </c>
      <c r="G140" s="1" t="s">
        <v>7</v>
      </c>
    </row>
    <row r="141" spans="1:7" hidden="1">
      <c r="A141" t="s">
        <v>3</v>
      </c>
      <c r="B141" s="1" t="s">
        <v>53</v>
      </c>
      <c r="C141" s="2">
        <v>2009</v>
      </c>
      <c r="D141" s="2">
        <v>12</v>
      </c>
      <c r="E141" s="2">
        <v>8</v>
      </c>
      <c r="F141" s="2">
        <v>4</v>
      </c>
      <c r="G141" s="1" t="s">
        <v>7</v>
      </c>
    </row>
    <row r="142" spans="1:7" hidden="1">
      <c r="A142" t="s">
        <v>3</v>
      </c>
      <c r="B142" s="1" t="s">
        <v>54</v>
      </c>
      <c r="C142" s="2">
        <v>2009</v>
      </c>
      <c r="D142" s="3">
        <v>3091</v>
      </c>
      <c r="E142" s="3">
        <v>1801</v>
      </c>
      <c r="F142" s="3">
        <v>1290</v>
      </c>
      <c r="G142" s="1" t="s">
        <v>7</v>
      </c>
    </row>
    <row r="143" spans="1:7" hidden="1">
      <c r="A143" t="s">
        <v>3</v>
      </c>
      <c r="B143" s="1" t="s">
        <v>54</v>
      </c>
      <c r="C143" s="2">
        <v>2010</v>
      </c>
      <c r="D143" s="2">
        <v>13</v>
      </c>
      <c r="E143" s="2">
        <v>9</v>
      </c>
      <c r="F143" s="2">
        <v>4</v>
      </c>
      <c r="G143" s="1" t="s">
        <v>7</v>
      </c>
    </row>
    <row r="144" spans="1:7" hidden="1">
      <c r="A144" t="s">
        <v>3</v>
      </c>
      <c r="B144" s="1" t="s">
        <v>55</v>
      </c>
      <c r="C144" s="2">
        <v>2010</v>
      </c>
      <c r="D144" s="3">
        <v>3209</v>
      </c>
      <c r="E144" s="3">
        <v>1878</v>
      </c>
      <c r="F144" s="3">
        <v>1330</v>
      </c>
      <c r="G144" s="2">
        <v>1</v>
      </c>
    </row>
    <row r="145" spans="1:7" hidden="1">
      <c r="A145" t="s">
        <v>3</v>
      </c>
      <c r="B145" s="1" t="s">
        <v>55</v>
      </c>
      <c r="C145" s="2">
        <v>2011</v>
      </c>
      <c r="D145" s="2">
        <v>15</v>
      </c>
      <c r="E145" s="2">
        <v>12</v>
      </c>
      <c r="F145" s="2">
        <v>3</v>
      </c>
      <c r="G145" s="1" t="s">
        <v>7</v>
      </c>
    </row>
    <row r="146" spans="1:7" hidden="1">
      <c r="A146" t="s">
        <v>3</v>
      </c>
      <c r="B146" s="1" t="s">
        <v>55</v>
      </c>
      <c r="C146" s="2">
        <v>2012</v>
      </c>
      <c r="D146" s="2">
        <v>1</v>
      </c>
      <c r="E146" s="1" t="s">
        <v>7</v>
      </c>
      <c r="F146" s="2">
        <v>1</v>
      </c>
      <c r="G146" s="1" t="s">
        <v>7</v>
      </c>
    </row>
    <row r="147" spans="1:7" hidden="1">
      <c r="A147" t="s">
        <v>3</v>
      </c>
      <c r="B147" s="1" t="s">
        <v>55</v>
      </c>
      <c r="C147" s="2">
        <v>2013</v>
      </c>
      <c r="D147" s="2">
        <v>1</v>
      </c>
      <c r="E147" s="2">
        <v>1</v>
      </c>
      <c r="F147" s="1" t="s">
        <v>7</v>
      </c>
      <c r="G147" s="1" t="s">
        <v>7</v>
      </c>
    </row>
    <row r="148" spans="1:7" hidden="1">
      <c r="A148" t="s">
        <v>3</v>
      </c>
      <c r="B148" s="1" t="s">
        <v>56</v>
      </c>
      <c r="C148" s="2">
        <v>2011</v>
      </c>
      <c r="D148" s="3">
        <v>3494</v>
      </c>
      <c r="E148" s="3">
        <v>2035</v>
      </c>
      <c r="F148" s="3">
        <v>1457</v>
      </c>
      <c r="G148" s="2">
        <v>2</v>
      </c>
    </row>
    <row r="149" spans="1:7" hidden="1">
      <c r="A149" t="s">
        <v>3</v>
      </c>
      <c r="B149" s="1" t="s">
        <v>56</v>
      </c>
      <c r="C149" s="2">
        <v>2012</v>
      </c>
      <c r="D149" s="2">
        <v>18</v>
      </c>
      <c r="E149" s="2">
        <v>15</v>
      </c>
      <c r="F149" s="2">
        <v>3</v>
      </c>
      <c r="G149" s="1" t="s">
        <v>7</v>
      </c>
    </row>
    <row r="150" spans="1:7" hidden="1">
      <c r="A150" t="s">
        <v>3</v>
      </c>
      <c r="B150" s="1" t="s">
        <v>57</v>
      </c>
      <c r="C150" s="2">
        <v>2012</v>
      </c>
      <c r="D150" s="3">
        <v>3696</v>
      </c>
      <c r="E150" s="3">
        <v>2174</v>
      </c>
      <c r="F150" s="3">
        <v>1520</v>
      </c>
      <c r="G150" s="2">
        <v>2</v>
      </c>
    </row>
    <row r="151" spans="1:7" hidden="1">
      <c r="A151" t="s">
        <v>3</v>
      </c>
      <c r="B151" s="1" t="s">
        <v>57</v>
      </c>
      <c r="C151" s="2">
        <v>2013</v>
      </c>
      <c r="D151" s="2">
        <v>26</v>
      </c>
      <c r="E151" s="2">
        <v>16</v>
      </c>
      <c r="F151" s="2">
        <v>10</v>
      </c>
      <c r="G151" s="1" t="s">
        <v>7</v>
      </c>
    </row>
    <row r="152" spans="1:7" hidden="1">
      <c r="A152" t="s">
        <v>3</v>
      </c>
      <c r="B152" s="1" t="s">
        <v>57</v>
      </c>
      <c r="C152" s="2">
        <v>2014</v>
      </c>
      <c r="D152" s="2">
        <v>2</v>
      </c>
      <c r="E152" s="2">
        <v>2</v>
      </c>
      <c r="F152" s="1" t="s">
        <v>7</v>
      </c>
      <c r="G152" s="1" t="s">
        <v>7</v>
      </c>
    </row>
    <row r="153" spans="1:7" hidden="1">
      <c r="A153" t="s">
        <v>3</v>
      </c>
      <c r="B153" s="1" t="s">
        <v>57</v>
      </c>
      <c r="C153" s="2">
        <v>2016</v>
      </c>
      <c r="D153" s="2">
        <v>3</v>
      </c>
      <c r="E153" s="2">
        <v>3</v>
      </c>
      <c r="F153" s="1" t="s">
        <v>7</v>
      </c>
      <c r="G153" s="1" t="s">
        <v>7</v>
      </c>
    </row>
    <row r="154" spans="1:7" hidden="1">
      <c r="A154" t="s">
        <v>3</v>
      </c>
      <c r="B154" s="1" t="s">
        <v>58</v>
      </c>
      <c r="C154" s="2">
        <v>2013</v>
      </c>
      <c r="D154" s="3">
        <v>3759</v>
      </c>
      <c r="E154" s="3">
        <v>2229</v>
      </c>
      <c r="F154" s="3">
        <v>1529</v>
      </c>
      <c r="G154" s="2">
        <v>1</v>
      </c>
    </row>
    <row r="155" spans="1:7" hidden="1">
      <c r="A155" t="s">
        <v>3</v>
      </c>
      <c r="B155" s="1" t="s">
        <v>58</v>
      </c>
      <c r="C155" s="2">
        <v>2014</v>
      </c>
      <c r="D155" s="2">
        <v>27</v>
      </c>
      <c r="E155" s="2">
        <v>16</v>
      </c>
      <c r="F155" s="2">
        <v>11</v>
      </c>
      <c r="G155" s="1" t="s">
        <v>7</v>
      </c>
    </row>
    <row r="156" spans="1:7" hidden="1">
      <c r="A156" t="s">
        <v>3</v>
      </c>
      <c r="B156" s="1" t="s">
        <v>58</v>
      </c>
      <c r="C156" s="2">
        <v>2015</v>
      </c>
      <c r="D156" s="2">
        <v>1</v>
      </c>
      <c r="E156" s="2">
        <v>1</v>
      </c>
      <c r="F156" s="1" t="s">
        <v>7</v>
      </c>
      <c r="G156" s="1" t="s">
        <v>7</v>
      </c>
    </row>
    <row r="157" spans="1:7" hidden="1">
      <c r="A157" t="s">
        <v>3</v>
      </c>
      <c r="B157" s="1" t="s">
        <v>58</v>
      </c>
      <c r="C157" s="2">
        <v>2016</v>
      </c>
      <c r="D157" s="2">
        <v>4</v>
      </c>
      <c r="E157" s="2">
        <v>2</v>
      </c>
      <c r="F157" s="1" t="s">
        <v>7</v>
      </c>
      <c r="G157" s="2">
        <v>2</v>
      </c>
    </row>
    <row r="158" spans="1:7" hidden="1">
      <c r="A158" t="s">
        <v>3</v>
      </c>
      <c r="B158" s="1" t="s">
        <v>59</v>
      </c>
      <c r="C158" s="2">
        <v>2014</v>
      </c>
      <c r="D158" s="3">
        <v>3759</v>
      </c>
      <c r="E158" s="3">
        <v>2210</v>
      </c>
      <c r="F158" s="3">
        <v>1547</v>
      </c>
      <c r="G158" s="2">
        <v>2</v>
      </c>
    </row>
    <row r="159" spans="1:7" hidden="1">
      <c r="A159" t="s">
        <v>3</v>
      </c>
      <c r="B159" s="1" t="s">
        <v>59</v>
      </c>
      <c r="C159" s="2">
        <v>2015</v>
      </c>
      <c r="D159" s="2">
        <v>20</v>
      </c>
      <c r="E159" s="2">
        <v>14</v>
      </c>
      <c r="F159" s="2">
        <v>6</v>
      </c>
      <c r="G159" s="1" t="s">
        <v>7</v>
      </c>
    </row>
    <row r="160" spans="1:7" hidden="1">
      <c r="A160" t="s">
        <v>3</v>
      </c>
      <c r="B160" s="1" t="s">
        <v>59</v>
      </c>
      <c r="C160" s="2">
        <v>2016</v>
      </c>
      <c r="D160" s="2">
        <v>4</v>
      </c>
      <c r="E160" s="2">
        <v>4</v>
      </c>
      <c r="F160" s="1" t="s">
        <v>7</v>
      </c>
      <c r="G160" s="1" t="s">
        <v>7</v>
      </c>
    </row>
    <row r="161" spans="1:7" hidden="1">
      <c r="A161" t="s">
        <v>3</v>
      </c>
      <c r="B161" s="1" t="s">
        <v>60</v>
      </c>
      <c r="C161" s="2">
        <v>2015</v>
      </c>
      <c r="D161" s="3">
        <v>4387</v>
      </c>
      <c r="E161" s="3">
        <v>2584</v>
      </c>
      <c r="F161" s="3">
        <v>1799</v>
      </c>
      <c r="G161" s="2">
        <v>4</v>
      </c>
    </row>
    <row r="162" spans="1:7" hidden="1">
      <c r="A162" t="s">
        <v>3</v>
      </c>
      <c r="B162" s="1" t="s">
        <v>60</v>
      </c>
      <c r="C162" s="2">
        <v>2016</v>
      </c>
      <c r="D162" s="2">
        <v>20</v>
      </c>
      <c r="E162" s="2">
        <v>15</v>
      </c>
      <c r="F162" s="2">
        <v>5</v>
      </c>
      <c r="G162" s="1" t="s">
        <v>7</v>
      </c>
    </row>
    <row r="163" spans="1:7" hidden="1">
      <c r="A163" t="s">
        <v>3</v>
      </c>
      <c r="B163" s="1" t="s">
        <v>61</v>
      </c>
      <c r="C163" s="2">
        <v>2016</v>
      </c>
      <c r="D163" s="3">
        <v>4449</v>
      </c>
      <c r="E163" s="3">
        <v>2756</v>
      </c>
      <c r="F163" s="3">
        <v>1688</v>
      </c>
      <c r="G163" s="2">
        <v>5</v>
      </c>
    </row>
    <row r="164" spans="1:7" hidden="1">
      <c r="A164" t="s">
        <v>3</v>
      </c>
      <c r="B164" s="1" t="s">
        <v>61</v>
      </c>
      <c r="C164" s="2">
        <v>2017</v>
      </c>
      <c r="D164" s="2">
        <v>21</v>
      </c>
      <c r="E164" s="2">
        <v>20</v>
      </c>
      <c r="F164" s="2">
        <v>1</v>
      </c>
      <c r="G164" s="1" t="s">
        <v>7</v>
      </c>
    </row>
    <row r="165" spans="1:7" hidden="1">
      <c r="A165" t="s">
        <v>3</v>
      </c>
      <c r="B165" s="1" t="s">
        <v>62</v>
      </c>
      <c r="C165" s="2">
        <v>2017</v>
      </c>
      <c r="D165" s="3">
        <v>4571</v>
      </c>
      <c r="E165" s="3">
        <v>2845</v>
      </c>
      <c r="F165" s="3">
        <v>1726</v>
      </c>
      <c r="G165" s="1" t="s">
        <v>7</v>
      </c>
    </row>
    <row r="166" spans="1:7" hidden="1">
      <c r="A166" t="s">
        <v>3</v>
      </c>
      <c r="B166" s="1" t="s">
        <v>62</v>
      </c>
      <c r="C166" s="2">
        <v>2018</v>
      </c>
      <c r="D166" s="2">
        <v>18</v>
      </c>
      <c r="E166" s="2">
        <v>12</v>
      </c>
      <c r="F166" s="2">
        <v>6</v>
      </c>
      <c r="G166" s="1" t="s">
        <v>7</v>
      </c>
    </row>
    <row r="167" spans="1:7" hidden="1">
      <c r="A167" t="s">
        <v>3</v>
      </c>
      <c r="B167" s="1" t="s">
        <v>63</v>
      </c>
      <c r="C167" s="2">
        <v>2018</v>
      </c>
      <c r="D167" s="3">
        <v>4511</v>
      </c>
      <c r="E167" s="3">
        <v>2778</v>
      </c>
      <c r="F167" s="3">
        <v>1733</v>
      </c>
      <c r="G167" s="1" t="s">
        <v>7</v>
      </c>
    </row>
    <row r="168" spans="1:7" hidden="1">
      <c r="A168" t="s">
        <v>3</v>
      </c>
      <c r="B168" s="1" t="s">
        <v>63</v>
      </c>
      <c r="C168" s="2">
        <v>2019</v>
      </c>
      <c r="D168" s="2">
        <v>36</v>
      </c>
      <c r="E168" s="2">
        <v>27</v>
      </c>
      <c r="F168" s="2">
        <v>9</v>
      </c>
      <c r="G168" s="1" t="s">
        <v>7</v>
      </c>
    </row>
    <row r="169" spans="1:7" hidden="1">
      <c r="A169" t="s">
        <v>3</v>
      </c>
      <c r="B169" s="1" t="s">
        <v>63</v>
      </c>
      <c r="C169" s="2">
        <v>2020</v>
      </c>
      <c r="D169" s="2">
        <v>7</v>
      </c>
      <c r="E169" s="2">
        <v>5</v>
      </c>
      <c r="F169" s="2">
        <v>2</v>
      </c>
      <c r="G169" s="1" t="s">
        <v>7</v>
      </c>
    </row>
    <row r="170" spans="1:7" hidden="1">
      <c r="A170" t="s">
        <v>3</v>
      </c>
      <c r="B170" s="1" t="s">
        <v>63</v>
      </c>
      <c r="C170" s="2">
        <v>2023</v>
      </c>
      <c r="D170" s="2">
        <v>1</v>
      </c>
      <c r="E170" s="2">
        <v>1</v>
      </c>
      <c r="F170" s="1" t="s">
        <v>7</v>
      </c>
      <c r="G170" s="1" t="s">
        <v>7</v>
      </c>
    </row>
    <row r="171" spans="1:7" hidden="1">
      <c r="A171" t="s">
        <v>3</v>
      </c>
      <c r="B171" s="1" t="s">
        <v>64</v>
      </c>
      <c r="C171" s="2">
        <v>2019</v>
      </c>
      <c r="D171" s="3">
        <v>4523</v>
      </c>
      <c r="E171" s="3">
        <v>2743</v>
      </c>
      <c r="F171" s="3">
        <v>1780</v>
      </c>
      <c r="G171" s="1" t="s">
        <v>7</v>
      </c>
    </row>
    <row r="172" spans="1:7" hidden="1">
      <c r="A172" t="s">
        <v>3</v>
      </c>
      <c r="B172" s="1" t="s">
        <v>64</v>
      </c>
      <c r="C172" s="2">
        <v>2020</v>
      </c>
      <c r="D172" s="2">
        <v>18</v>
      </c>
      <c r="E172" s="2">
        <v>14</v>
      </c>
      <c r="F172" s="2">
        <v>4</v>
      </c>
      <c r="G172" s="1" t="s">
        <v>7</v>
      </c>
    </row>
    <row r="173" spans="1:7" hidden="1">
      <c r="A173" t="s">
        <v>3</v>
      </c>
      <c r="B173" s="1" t="s">
        <v>64</v>
      </c>
      <c r="C173" s="2">
        <v>2021</v>
      </c>
      <c r="D173" s="2">
        <v>5</v>
      </c>
      <c r="E173" s="2">
        <v>4</v>
      </c>
      <c r="F173" s="2">
        <v>1</v>
      </c>
      <c r="G173" s="1" t="s">
        <v>7</v>
      </c>
    </row>
    <row r="174" spans="1:7" hidden="1">
      <c r="A174" t="s">
        <v>3</v>
      </c>
      <c r="B174" s="1" t="s">
        <v>64</v>
      </c>
      <c r="C174" s="2">
        <v>2022</v>
      </c>
      <c r="D174" s="2">
        <v>1</v>
      </c>
      <c r="E174" s="2">
        <v>1</v>
      </c>
      <c r="F174" s="1" t="s">
        <v>7</v>
      </c>
      <c r="G174" s="1" t="s">
        <v>7</v>
      </c>
    </row>
    <row r="175" spans="1:7" hidden="1">
      <c r="A175" t="s">
        <v>3</v>
      </c>
      <c r="B175" s="1" t="s">
        <v>65</v>
      </c>
      <c r="C175" s="2">
        <v>2020</v>
      </c>
      <c r="D175" s="3">
        <v>6030</v>
      </c>
      <c r="E175" s="3">
        <v>3673</v>
      </c>
      <c r="F175" s="3">
        <v>2357</v>
      </c>
      <c r="G175" s="1" t="s">
        <v>7</v>
      </c>
    </row>
    <row r="176" spans="1:7" hidden="1">
      <c r="A176" t="s">
        <v>3</v>
      </c>
      <c r="B176" s="1" t="s">
        <v>65</v>
      </c>
      <c r="C176" s="2">
        <v>2021</v>
      </c>
      <c r="D176" s="2">
        <v>33</v>
      </c>
      <c r="E176" s="2">
        <v>24</v>
      </c>
      <c r="F176" s="2">
        <v>9</v>
      </c>
      <c r="G176" s="1" t="s">
        <v>7</v>
      </c>
    </row>
    <row r="177" spans="1:7" hidden="1">
      <c r="A177" t="s">
        <v>3</v>
      </c>
      <c r="B177" s="1" t="s">
        <v>65</v>
      </c>
      <c r="C177" s="2">
        <v>2022</v>
      </c>
      <c r="D177" s="2">
        <v>2</v>
      </c>
      <c r="E177" s="2">
        <v>1</v>
      </c>
      <c r="F177" s="2">
        <v>1</v>
      </c>
      <c r="G177" s="1" t="s">
        <v>7</v>
      </c>
    </row>
    <row r="178" spans="1:7" hidden="1">
      <c r="A178" t="s">
        <v>3</v>
      </c>
      <c r="B178" s="1" t="s">
        <v>66</v>
      </c>
      <c r="C178" s="2">
        <v>2021</v>
      </c>
      <c r="D178" s="3">
        <v>7068</v>
      </c>
      <c r="E178" s="3">
        <v>4233</v>
      </c>
      <c r="F178" s="3">
        <v>2834</v>
      </c>
      <c r="G178" s="2">
        <v>1</v>
      </c>
    </row>
    <row r="179" spans="1:7" hidden="1">
      <c r="A179" t="s">
        <v>3</v>
      </c>
      <c r="B179" s="1" t="s">
        <v>66</v>
      </c>
      <c r="C179" s="2">
        <v>2022</v>
      </c>
      <c r="D179" s="2">
        <v>27</v>
      </c>
      <c r="E179" s="2">
        <v>20</v>
      </c>
      <c r="F179" s="2">
        <v>7</v>
      </c>
      <c r="G179" s="1" t="s">
        <v>7</v>
      </c>
    </row>
    <row r="180" spans="1:7" hidden="1">
      <c r="A180" t="s">
        <v>3</v>
      </c>
      <c r="B180" s="1" t="s">
        <v>66</v>
      </c>
      <c r="C180" s="2">
        <v>2023</v>
      </c>
      <c r="D180" s="2">
        <v>2</v>
      </c>
      <c r="E180" s="2">
        <v>2</v>
      </c>
      <c r="F180" s="1" t="s">
        <v>7</v>
      </c>
      <c r="G180" s="1" t="s">
        <v>7</v>
      </c>
    </row>
    <row r="181" spans="1:7" hidden="1">
      <c r="A181" t="s">
        <v>3</v>
      </c>
      <c r="B181" s="1" t="s">
        <v>66</v>
      </c>
      <c r="C181" s="2">
        <v>2024</v>
      </c>
      <c r="D181" s="2">
        <v>3</v>
      </c>
      <c r="E181" s="2">
        <v>3</v>
      </c>
      <c r="F181" s="1" t="s">
        <v>7</v>
      </c>
      <c r="G181" s="1" t="s">
        <v>7</v>
      </c>
    </row>
    <row r="182" spans="1:7" hidden="1">
      <c r="A182" t="s">
        <v>3</v>
      </c>
      <c r="B182" s="1" t="s">
        <v>67</v>
      </c>
      <c r="C182" s="2">
        <v>2022</v>
      </c>
      <c r="D182" s="3">
        <v>5611</v>
      </c>
      <c r="E182" s="3">
        <v>3420</v>
      </c>
      <c r="F182" s="3">
        <v>2189</v>
      </c>
      <c r="G182" s="2">
        <v>2</v>
      </c>
    </row>
    <row r="183" spans="1:7" hidden="1">
      <c r="A183" t="s">
        <v>3</v>
      </c>
      <c r="B183" s="1" t="s">
        <v>67</v>
      </c>
      <c r="C183" s="2">
        <v>2023</v>
      </c>
      <c r="D183" s="2">
        <v>29</v>
      </c>
      <c r="E183" s="2">
        <v>20</v>
      </c>
      <c r="F183" s="2">
        <v>9</v>
      </c>
      <c r="G183" s="1" t="s">
        <v>7</v>
      </c>
    </row>
    <row r="184" spans="1:7" hidden="1">
      <c r="A184" t="s">
        <v>3</v>
      </c>
      <c r="B184" s="1" t="s">
        <v>67</v>
      </c>
      <c r="C184" s="2">
        <v>2024</v>
      </c>
      <c r="D184" s="2">
        <v>16</v>
      </c>
      <c r="E184" s="2">
        <v>13</v>
      </c>
      <c r="F184" s="2">
        <v>3</v>
      </c>
      <c r="G184" s="1" t="s">
        <v>7</v>
      </c>
    </row>
    <row r="185" spans="1:7" hidden="1">
      <c r="A185" t="s">
        <v>3</v>
      </c>
      <c r="B185" s="1" t="s">
        <v>68</v>
      </c>
      <c r="C185" s="2">
        <v>2023</v>
      </c>
      <c r="D185" s="3">
        <v>5543</v>
      </c>
      <c r="E185" s="3">
        <v>3315</v>
      </c>
      <c r="F185" s="3">
        <v>2228</v>
      </c>
      <c r="G185" s="1" t="s">
        <v>7</v>
      </c>
    </row>
    <row r="186" spans="1:7" hidden="1">
      <c r="A186" t="s">
        <v>3</v>
      </c>
      <c r="B186" s="1" t="s">
        <v>68</v>
      </c>
      <c r="C186" s="2">
        <v>2024</v>
      </c>
      <c r="D186" s="2">
        <v>32</v>
      </c>
      <c r="E186" s="2">
        <v>21</v>
      </c>
      <c r="F186" s="2">
        <v>11</v>
      </c>
      <c r="G186" s="1" t="s">
        <v>7</v>
      </c>
    </row>
    <row r="187" spans="1:7" hidden="1">
      <c r="A187" t="s">
        <v>3</v>
      </c>
      <c r="B187" s="1" t="s">
        <v>69</v>
      </c>
      <c r="C187" s="2">
        <v>2024</v>
      </c>
      <c r="D187" s="3">
        <v>5547</v>
      </c>
      <c r="E187" s="3">
        <v>3364</v>
      </c>
      <c r="F187" s="3">
        <v>2183</v>
      </c>
      <c r="G187" s="1" t="s">
        <v>7</v>
      </c>
    </row>
    <row r="188" spans="1:7" hidden="1">
      <c r="A188" t="s">
        <v>3</v>
      </c>
      <c r="B188" s="1" t="s">
        <v>6</v>
      </c>
      <c r="C188" s="2">
        <v>1990</v>
      </c>
      <c r="D188" s="2">
        <v>68</v>
      </c>
      <c r="E188" s="2">
        <v>57</v>
      </c>
      <c r="F188" s="2">
        <v>10</v>
      </c>
      <c r="G188" s="2">
        <v>1</v>
      </c>
    </row>
    <row r="189" spans="1:7" hidden="1">
      <c r="A189" t="s">
        <v>3</v>
      </c>
      <c r="B189" s="1" t="s">
        <v>6</v>
      </c>
      <c r="C189" s="2">
        <v>1991</v>
      </c>
      <c r="D189" s="2">
        <v>48</v>
      </c>
      <c r="E189" s="2">
        <v>38</v>
      </c>
      <c r="F189" s="2">
        <v>10</v>
      </c>
      <c r="G189" s="1" t="s">
        <v>7</v>
      </c>
    </row>
    <row r="190" spans="1:7" hidden="1">
      <c r="A190" t="s">
        <v>3</v>
      </c>
      <c r="B190" s="1" t="s">
        <v>6</v>
      </c>
      <c r="C190" s="2">
        <v>1992</v>
      </c>
      <c r="D190" s="2">
        <v>111</v>
      </c>
      <c r="E190" s="2">
        <v>94</v>
      </c>
      <c r="F190" s="2">
        <v>17</v>
      </c>
      <c r="G190" s="1" t="s">
        <v>7</v>
      </c>
    </row>
    <row r="191" spans="1:7" hidden="1">
      <c r="A191" t="s">
        <v>3</v>
      </c>
      <c r="B191" s="1" t="s">
        <v>6</v>
      </c>
      <c r="C191" s="2">
        <v>1993</v>
      </c>
      <c r="D191" s="2">
        <v>29</v>
      </c>
      <c r="E191" s="2">
        <v>25</v>
      </c>
      <c r="F191" s="2">
        <v>3</v>
      </c>
      <c r="G191" s="2">
        <v>1</v>
      </c>
    </row>
    <row r="192" spans="1:7" hidden="1">
      <c r="A192" t="s">
        <v>3</v>
      </c>
      <c r="B192" s="1" t="s">
        <v>6</v>
      </c>
      <c r="C192" s="2">
        <v>1994</v>
      </c>
      <c r="D192" s="2">
        <v>4</v>
      </c>
      <c r="E192" s="2">
        <v>2</v>
      </c>
      <c r="F192" s="2">
        <v>2</v>
      </c>
      <c r="G192" s="1" t="s">
        <v>7</v>
      </c>
    </row>
    <row r="193" spans="1:7" hidden="1">
      <c r="A193" t="s">
        <v>3</v>
      </c>
      <c r="B193" s="1" t="s">
        <v>6</v>
      </c>
      <c r="C193" s="2">
        <v>1995</v>
      </c>
      <c r="D193" s="2">
        <v>6</v>
      </c>
      <c r="E193" s="2">
        <v>4</v>
      </c>
      <c r="F193" s="2">
        <v>1</v>
      </c>
      <c r="G193" s="2">
        <v>1</v>
      </c>
    </row>
    <row r="194" spans="1:7" hidden="1">
      <c r="A194" t="s">
        <v>3</v>
      </c>
      <c r="B194" s="1" t="s">
        <v>6</v>
      </c>
      <c r="C194" s="2">
        <v>1996</v>
      </c>
      <c r="D194" s="2">
        <v>2</v>
      </c>
      <c r="E194" s="2">
        <v>2</v>
      </c>
      <c r="F194" s="1" t="s">
        <v>7</v>
      </c>
      <c r="G194" s="1" t="s">
        <v>7</v>
      </c>
    </row>
    <row r="195" spans="1:7" hidden="1">
      <c r="A195" t="s">
        <v>3</v>
      </c>
      <c r="B195" s="1" t="s">
        <v>6</v>
      </c>
      <c r="C195" s="2">
        <v>1997</v>
      </c>
      <c r="D195" s="2">
        <v>2</v>
      </c>
      <c r="E195" s="2">
        <v>1</v>
      </c>
      <c r="F195" s="1" t="s">
        <v>7</v>
      </c>
      <c r="G195" s="2">
        <v>1</v>
      </c>
    </row>
    <row r="196" spans="1:7" hidden="1">
      <c r="A196" t="s">
        <v>3</v>
      </c>
      <c r="B196" s="1" t="s">
        <v>6</v>
      </c>
      <c r="C196" s="2">
        <v>2000</v>
      </c>
      <c r="D196" s="2">
        <v>1</v>
      </c>
      <c r="E196" s="1" t="s">
        <v>7</v>
      </c>
      <c r="F196" s="2">
        <v>1</v>
      </c>
      <c r="G196" s="1" t="s">
        <v>7</v>
      </c>
    </row>
    <row r="197" spans="1:7" hidden="1">
      <c r="A197" t="s">
        <v>3</v>
      </c>
      <c r="B197" s="1" t="s">
        <v>6</v>
      </c>
      <c r="C197" s="2">
        <v>2010</v>
      </c>
      <c r="D197" s="2">
        <v>1</v>
      </c>
      <c r="E197" s="2">
        <v>1</v>
      </c>
      <c r="F197" s="1" t="s">
        <v>7</v>
      </c>
      <c r="G197" s="1" t="s">
        <v>7</v>
      </c>
    </row>
    <row r="198" spans="1:7" hidden="1">
      <c r="A198" t="s">
        <v>3</v>
      </c>
      <c r="B198" s="1" t="s">
        <v>6</v>
      </c>
      <c r="C198" s="2">
        <v>2011</v>
      </c>
      <c r="D198" s="2">
        <v>1</v>
      </c>
      <c r="E198" s="2">
        <v>1</v>
      </c>
      <c r="F198" s="1" t="s">
        <v>7</v>
      </c>
      <c r="G198" s="1" t="s">
        <v>7</v>
      </c>
    </row>
    <row r="199" spans="1:7" hidden="1">
      <c r="A199" t="s">
        <v>3</v>
      </c>
      <c r="B199" s="1" t="s">
        <v>6</v>
      </c>
      <c r="C199" s="2">
        <v>2013</v>
      </c>
      <c r="D199" s="2">
        <v>2</v>
      </c>
      <c r="E199" s="2">
        <v>2</v>
      </c>
      <c r="F199" s="1" t="s">
        <v>7</v>
      </c>
      <c r="G199" s="1" t="s">
        <v>7</v>
      </c>
    </row>
    <row r="200" spans="1:7" hidden="1">
      <c r="A200" t="s">
        <v>3</v>
      </c>
      <c r="B200" s="1" t="s">
        <v>6</v>
      </c>
      <c r="C200" s="2">
        <v>2016</v>
      </c>
      <c r="D200" s="2">
        <v>6</v>
      </c>
      <c r="E200" s="2">
        <v>5</v>
      </c>
      <c r="F200" s="2">
        <v>1</v>
      </c>
      <c r="G200" s="1" t="s">
        <v>7</v>
      </c>
    </row>
    <row r="201" spans="1:7" hidden="1">
      <c r="A201" t="s">
        <v>3</v>
      </c>
      <c r="B201" s="1" t="s">
        <v>6</v>
      </c>
      <c r="C201" s="2">
        <v>2017</v>
      </c>
      <c r="D201" s="2">
        <v>1</v>
      </c>
      <c r="E201" s="1" t="s">
        <v>7</v>
      </c>
      <c r="F201" s="2">
        <v>1</v>
      </c>
      <c r="G201" s="1" t="s">
        <v>7</v>
      </c>
    </row>
    <row r="202" spans="1:7" hidden="1">
      <c r="A202" t="s">
        <v>3</v>
      </c>
      <c r="B202" s="1" t="s">
        <v>6</v>
      </c>
      <c r="C202" s="2">
        <v>2018</v>
      </c>
      <c r="D202" s="2">
        <v>4</v>
      </c>
      <c r="E202" s="2">
        <v>3</v>
      </c>
      <c r="F202" s="2">
        <v>1</v>
      </c>
      <c r="G202" s="1" t="s">
        <v>7</v>
      </c>
    </row>
    <row r="203" spans="1:7" hidden="1">
      <c r="A203" t="s">
        <v>3</v>
      </c>
      <c r="B203" s="1" t="s">
        <v>6</v>
      </c>
      <c r="C203" s="2">
        <v>2019</v>
      </c>
      <c r="D203" s="2">
        <v>6</v>
      </c>
      <c r="E203" s="2">
        <v>3</v>
      </c>
      <c r="F203" s="2">
        <v>3</v>
      </c>
      <c r="G203" s="1" t="s">
        <v>7</v>
      </c>
    </row>
    <row r="204" spans="1:7" hidden="1">
      <c r="A204" t="s">
        <v>3</v>
      </c>
      <c r="B204" s="1" t="s">
        <v>6</v>
      </c>
      <c r="C204" s="2">
        <v>2020</v>
      </c>
      <c r="D204" s="2">
        <v>2</v>
      </c>
      <c r="E204" s="2">
        <v>2</v>
      </c>
      <c r="F204" s="1" t="s">
        <v>7</v>
      </c>
      <c r="G204" s="1" t="s">
        <v>7</v>
      </c>
    </row>
    <row r="205" spans="1:7" hidden="1">
      <c r="A205" t="s">
        <v>3</v>
      </c>
      <c r="B205" s="1" t="s">
        <v>6</v>
      </c>
      <c r="C205" s="2">
        <v>2021</v>
      </c>
      <c r="D205" s="2">
        <v>15</v>
      </c>
      <c r="E205" s="2">
        <v>10</v>
      </c>
      <c r="F205" s="2">
        <v>5</v>
      </c>
      <c r="G205" s="1" t="s">
        <v>7</v>
      </c>
    </row>
    <row r="206" spans="1:7" hidden="1">
      <c r="A206" t="s">
        <v>3</v>
      </c>
      <c r="B206" s="1" t="s">
        <v>6</v>
      </c>
      <c r="C206" s="2">
        <v>2022</v>
      </c>
      <c r="D206" s="2">
        <v>41</v>
      </c>
      <c r="E206" s="2">
        <v>32</v>
      </c>
      <c r="F206" s="2">
        <v>9</v>
      </c>
      <c r="G206" s="1" t="s">
        <v>7</v>
      </c>
    </row>
    <row r="207" spans="1:7" hidden="1">
      <c r="A207" t="s">
        <v>3</v>
      </c>
      <c r="B207" s="1" t="s">
        <v>6</v>
      </c>
      <c r="C207" s="2">
        <v>2023</v>
      </c>
      <c r="D207" s="2">
        <v>19</v>
      </c>
      <c r="E207" s="2">
        <v>17</v>
      </c>
      <c r="F207" s="2">
        <v>2</v>
      </c>
      <c r="G207" s="1" t="s">
        <v>7</v>
      </c>
    </row>
    <row r="208" spans="1:7" hidden="1">
      <c r="A208" t="s">
        <v>3</v>
      </c>
      <c r="B208" s="1" t="s">
        <v>6</v>
      </c>
      <c r="C208" s="2">
        <v>2024</v>
      </c>
      <c r="D208" s="2">
        <v>12</v>
      </c>
      <c r="E208" s="2">
        <v>11</v>
      </c>
      <c r="F208" s="2">
        <v>1</v>
      </c>
      <c r="G208" s="1" t="s">
        <v>7</v>
      </c>
    </row>
    <row r="209" spans="1:7" hidden="1">
      <c r="A209" t="s">
        <v>70</v>
      </c>
      <c r="B209" s="1" t="s">
        <v>3</v>
      </c>
      <c r="C209" s="2">
        <v>1990</v>
      </c>
      <c r="D209" s="2">
        <v>334</v>
      </c>
      <c r="E209" s="2">
        <v>203</v>
      </c>
      <c r="F209" s="2">
        <v>130</v>
      </c>
      <c r="G209" s="2">
        <v>1</v>
      </c>
    </row>
    <row r="210" spans="1:7" hidden="1">
      <c r="A210" t="s">
        <v>70</v>
      </c>
      <c r="B210" s="1" t="s">
        <v>3</v>
      </c>
      <c r="C210" s="2">
        <v>1991</v>
      </c>
      <c r="D210" s="2">
        <v>250</v>
      </c>
      <c r="E210" s="2">
        <v>141</v>
      </c>
      <c r="F210" s="2">
        <v>108</v>
      </c>
      <c r="G210" s="2">
        <v>1</v>
      </c>
    </row>
    <row r="211" spans="1:7" hidden="1">
      <c r="A211" t="s">
        <v>70</v>
      </c>
      <c r="B211" s="1" t="s">
        <v>3</v>
      </c>
      <c r="C211" s="2">
        <v>1992</v>
      </c>
      <c r="D211" s="2">
        <v>226</v>
      </c>
      <c r="E211" s="2">
        <v>125</v>
      </c>
      <c r="F211" s="2">
        <v>99</v>
      </c>
      <c r="G211" s="2">
        <v>2</v>
      </c>
    </row>
    <row r="212" spans="1:7" hidden="1">
      <c r="A212" t="s">
        <v>70</v>
      </c>
      <c r="B212" s="1" t="s">
        <v>3</v>
      </c>
      <c r="C212" s="2">
        <v>1993</v>
      </c>
      <c r="D212" s="2">
        <v>190</v>
      </c>
      <c r="E212" s="2">
        <v>107</v>
      </c>
      <c r="F212" s="2">
        <v>82</v>
      </c>
      <c r="G212" s="2">
        <v>1</v>
      </c>
    </row>
    <row r="213" spans="1:7" hidden="1">
      <c r="A213" t="s">
        <v>70</v>
      </c>
      <c r="B213" s="1" t="s">
        <v>3</v>
      </c>
      <c r="C213" s="2">
        <v>1994</v>
      </c>
      <c r="D213" s="2">
        <v>212</v>
      </c>
      <c r="E213" s="2">
        <v>126</v>
      </c>
      <c r="F213" s="2">
        <v>86</v>
      </c>
      <c r="G213" s="1" t="s">
        <v>7</v>
      </c>
    </row>
    <row r="214" spans="1:7" hidden="1">
      <c r="A214" t="s">
        <v>70</v>
      </c>
      <c r="B214" s="1" t="s">
        <v>3</v>
      </c>
      <c r="C214" s="2">
        <v>1995</v>
      </c>
      <c r="D214" s="2">
        <v>201</v>
      </c>
      <c r="E214" s="2">
        <v>106</v>
      </c>
      <c r="F214" s="2">
        <v>95</v>
      </c>
      <c r="G214" s="1" t="s">
        <v>7</v>
      </c>
    </row>
    <row r="215" spans="1:7" hidden="1">
      <c r="A215" t="s">
        <v>70</v>
      </c>
      <c r="B215" s="1" t="s">
        <v>3</v>
      </c>
      <c r="C215" s="2">
        <v>1996</v>
      </c>
      <c r="D215" s="2">
        <v>191</v>
      </c>
      <c r="E215" s="2">
        <v>116</v>
      </c>
      <c r="F215" s="2">
        <v>74</v>
      </c>
      <c r="G215" s="2">
        <v>1</v>
      </c>
    </row>
    <row r="216" spans="1:7" hidden="1">
      <c r="A216" t="s">
        <v>70</v>
      </c>
      <c r="B216" s="1" t="s">
        <v>3</v>
      </c>
      <c r="C216" s="2">
        <v>1997</v>
      </c>
      <c r="D216" s="2">
        <v>165</v>
      </c>
      <c r="E216" s="2">
        <v>87</v>
      </c>
      <c r="F216" s="2">
        <v>78</v>
      </c>
      <c r="G216" s="1" t="s">
        <v>7</v>
      </c>
    </row>
    <row r="217" spans="1:7" hidden="1">
      <c r="A217" t="s">
        <v>70</v>
      </c>
      <c r="B217" s="1" t="s">
        <v>3</v>
      </c>
      <c r="C217" s="2">
        <v>1998</v>
      </c>
      <c r="D217" s="2">
        <v>173</v>
      </c>
      <c r="E217" s="2">
        <v>88</v>
      </c>
      <c r="F217" s="2">
        <v>84</v>
      </c>
      <c r="G217" s="2">
        <v>1</v>
      </c>
    </row>
    <row r="218" spans="1:7" hidden="1">
      <c r="A218" t="s">
        <v>70</v>
      </c>
      <c r="B218" s="1" t="s">
        <v>3</v>
      </c>
      <c r="C218" s="2">
        <v>1999</v>
      </c>
      <c r="D218" s="2">
        <v>158</v>
      </c>
      <c r="E218" s="2">
        <v>88</v>
      </c>
      <c r="F218" s="2">
        <v>69</v>
      </c>
      <c r="G218" s="2">
        <v>1</v>
      </c>
    </row>
    <row r="219" spans="1:7" hidden="1">
      <c r="A219" t="s">
        <v>70</v>
      </c>
      <c r="B219" s="1" t="s">
        <v>3</v>
      </c>
      <c r="C219" s="2">
        <v>2000</v>
      </c>
      <c r="D219" s="2">
        <v>167</v>
      </c>
      <c r="E219" s="2">
        <v>97</v>
      </c>
      <c r="F219" s="2">
        <v>70</v>
      </c>
      <c r="G219" s="1" t="s">
        <v>7</v>
      </c>
    </row>
    <row r="220" spans="1:7" hidden="1">
      <c r="A220" t="s">
        <v>70</v>
      </c>
      <c r="B220" s="1" t="s">
        <v>3</v>
      </c>
      <c r="C220" s="2">
        <v>2001</v>
      </c>
      <c r="D220" s="2">
        <v>154</v>
      </c>
      <c r="E220" s="2">
        <v>88</v>
      </c>
      <c r="F220" s="2">
        <v>66</v>
      </c>
      <c r="G220" s="1" t="s">
        <v>7</v>
      </c>
    </row>
    <row r="221" spans="1:7" hidden="1">
      <c r="A221" t="s">
        <v>70</v>
      </c>
      <c r="B221" s="1" t="s">
        <v>3</v>
      </c>
      <c r="C221" s="2">
        <v>2002</v>
      </c>
      <c r="D221" s="2">
        <v>120</v>
      </c>
      <c r="E221" s="2">
        <v>70</v>
      </c>
      <c r="F221" s="2">
        <v>50</v>
      </c>
      <c r="G221" s="1" t="s">
        <v>7</v>
      </c>
    </row>
    <row r="222" spans="1:7" hidden="1">
      <c r="A222" t="s">
        <v>70</v>
      </c>
      <c r="B222" s="1" t="s">
        <v>3</v>
      </c>
      <c r="C222" s="2">
        <v>2003</v>
      </c>
      <c r="D222" s="2">
        <v>133</v>
      </c>
      <c r="E222" s="2">
        <v>73</v>
      </c>
      <c r="F222" s="2">
        <v>60</v>
      </c>
      <c r="G222" s="1" t="s">
        <v>7</v>
      </c>
    </row>
    <row r="223" spans="1:7" hidden="1">
      <c r="A223" t="s">
        <v>70</v>
      </c>
      <c r="B223" s="1" t="s">
        <v>3</v>
      </c>
      <c r="C223" s="2">
        <v>2004</v>
      </c>
      <c r="D223" s="2">
        <v>139</v>
      </c>
      <c r="E223" s="2">
        <v>78</v>
      </c>
      <c r="F223" s="2">
        <v>61</v>
      </c>
      <c r="G223" s="1" t="s">
        <v>7</v>
      </c>
    </row>
    <row r="224" spans="1:7" hidden="1">
      <c r="A224" t="s">
        <v>70</v>
      </c>
      <c r="B224" s="1" t="s">
        <v>3</v>
      </c>
      <c r="C224" s="2">
        <v>2005</v>
      </c>
      <c r="D224" s="2">
        <v>157</v>
      </c>
      <c r="E224" s="2">
        <v>92</v>
      </c>
      <c r="F224" s="2">
        <v>65</v>
      </c>
      <c r="G224" s="1" t="s">
        <v>7</v>
      </c>
    </row>
    <row r="225" spans="1:7" hidden="1">
      <c r="A225" t="s">
        <v>70</v>
      </c>
      <c r="B225" s="1" t="s">
        <v>3</v>
      </c>
      <c r="C225" s="2">
        <v>2006</v>
      </c>
      <c r="D225" s="2">
        <v>149</v>
      </c>
      <c r="E225" s="2">
        <v>77</v>
      </c>
      <c r="F225" s="2">
        <v>72</v>
      </c>
      <c r="G225" s="1" t="s">
        <v>7</v>
      </c>
    </row>
    <row r="226" spans="1:7" hidden="1">
      <c r="A226" t="s">
        <v>70</v>
      </c>
      <c r="B226" s="1" t="s">
        <v>3</v>
      </c>
      <c r="C226" s="2">
        <v>2007</v>
      </c>
      <c r="D226" s="2">
        <v>136</v>
      </c>
      <c r="E226" s="2">
        <v>69</v>
      </c>
      <c r="F226" s="2">
        <v>66</v>
      </c>
      <c r="G226" s="2">
        <v>1</v>
      </c>
    </row>
    <row r="227" spans="1:7" hidden="1">
      <c r="A227" t="s">
        <v>70</v>
      </c>
      <c r="B227" s="1" t="s">
        <v>3</v>
      </c>
      <c r="C227" s="2">
        <v>2008</v>
      </c>
      <c r="D227" s="2">
        <v>136</v>
      </c>
      <c r="E227" s="2">
        <v>70</v>
      </c>
      <c r="F227" s="2">
        <v>66</v>
      </c>
      <c r="G227" s="1" t="s">
        <v>7</v>
      </c>
    </row>
    <row r="228" spans="1:7" hidden="1">
      <c r="A228" t="s">
        <v>70</v>
      </c>
      <c r="B228" s="1" t="s">
        <v>3</v>
      </c>
      <c r="C228" s="2">
        <v>2009</v>
      </c>
      <c r="D228" s="2">
        <v>146</v>
      </c>
      <c r="E228" s="2">
        <v>77</v>
      </c>
      <c r="F228" s="2">
        <v>69</v>
      </c>
      <c r="G228" s="1" t="s">
        <v>7</v>
      </c>
    </row>
    <row r="229" spans="1:7">
      <c r="A229" t="s">
        <v>70</v>
      </c>
      <c r="B229" s="1" t="s">
        <v>3</v>
      </c>
      <c r="C229" s="2">
        <v>2010</v>
      </c>
      <c r="D229" s="2">
        <v>128</v>
      </c>
      <c r="E229" s="2">
        <v>68</v>
      </c>
      <c r="F229" s="2">
        <v>59</v>
      </c>
      <c r="G229" s="2">
        <v>1</v>
      </c>
    </row>
    <row r="230" spans="1:7" hidden="1">
      <c r="A230" t="s">
        <v>70</v>
      </c>
      <c r="B230" s="1" t="s">
        <v>3</v>
      </c>
      <c r="C230" s="2">
        <v>2011</v>
      </c>
      <c r="D230" s="2">
        <v>155</v>
      </c>
      <c r="E230" s="2">
        <v>86</v>
      </c>
      <c r="F230" s="2">
        <v>69</v>
      </c>
      <c r="G230" s="1" t="s">
        <v>7</v>
      </c>
    </row>
    <row r="231" spans="1:7" hidden="1">
      <c r="A231" t="s">
        <v>70</v>
      </c>
      <c r="B231" s="1" t="s">
        <v>3</v>
      </c>
      <c r="C231" s="2">
        <v>2012</v>
      </c>
      <c r="D231" s="2">
        <v>132</v>
      </c>
      <c r="E231" s="2">
        <v>81</v>
      </c>
      <c r="F231" s="2">
        <v>51</v>
      </c>
      <c r="G231" s="1" t="s">
        <v>7</v>
      </c>
    </row>
    <row r="232" spans="1:7" hidden="1">
      <c r="A232" t="s">
        <v>70</v>
      </c>
      <c r="B232" s="1" t="s">
        <v>3</v>
      </c>
      <c r="C232" s="2">
        <v>2013</v>
      </c>
      <c r="D232" s="2">
        <v>109</v>
      </c>
      <c r="E232" s="2">
        <v>70</v>
      </c>
      <c r="F232" s="2">
        <v>39</v>
      </c>
      <c r="G232" s="1" t="s">
        <v>7</v>
      </c>
    </row>
    <row r="233" spans="1:7" hidden="1">
      <c r="A233" t="s">
        <v>70</v>
      </c>
      <c r="B233" s="1" t="s">
        <v>3</v>
      </c>
      <c r="C233" s="2">
        <v>2014</v>
      </c>
      <c r="D233" s="2">
        <v>126</v>
      </c>
      <c r="E233" s="2">
        <v>78</v>
      </c>
      <c r="F233" s="2">
        <v>48</v>
      </c>
      <c r="G233" s="1" t="s">
        <v>7</v>
      </c>
    </row>
    <row r="234" spans="1:7" hidden="1">
      <c r="A234" t="s">
        <v>70</v>
      </c>
      <c r="B234" s="1" t="s">
        <v>3</v>
      </c>
      <c r="C234" s="2">
        <v>2015</v>
      </c>
      <c r="D234" s="2">
        <v>115</v>
      </c>
      <c r="E234" s="2">
        <v>65</v>
      </c>
      <c r="F234" s="2">
        <v>48</v>
      </c>
      <c r="G234" s="2">
        <v>2</v>
      </c>
    </row>
    <row r="235" spans="1:7" hidden="1">
      <c r="A235" t="s">
        <v>70</v>
      </c>
      <c r="B235" s="1" t="s">
        <v>3</v>
      </c>
      <c r="C235" s="2">
        <v>2016</v>
      </c>
      <c r="D235" s="2">
        <v>121</v>
      </c>
      <c r="E235" s="2">
        <v>57</v>
      </c>
      <c r="F235" s="2">
        <v>64</v>
      </c>
      <c r="G235" s="1" t="s">
        <v>7</v>
      </c>
    </row>
    <row r="236" spans="1:7" hidden="1">
      <c r="A236" t="s">
        <v>70</v>
      </c>
      <c r="B236" s="1" t="s">
        <v>3</v>
      </c>
      <c r="C236" s="2">
        <v>2017</v>
      </c>
      <c r="D236" s="2">
        <v>107</v>
      </c>
      <c r="E236" s="2">
        <v>62</v>
      </c>
      <c r="F236" s="2">
        <v>45</v>
      </c>
      <c r="G236" s="1" t="s">
        <v>7</v>
      </c>
    </row>
    <row r="237" spans="1:7" hidden="1">
      <c r="A237" t="s">
        <v>70</v>
      </c>
      <c r="B237" s="1" t="s">
        <v>3</v>
      </c>
      <c r="C237" s="2">
        <v>2018</v>
      </c>
      <c r="D237" s="2">
        <v>101</v>
      </c>
      <c r="E237" s="2">
        <v>66</v>
      </c>
      <c r="F237" s="2">
        <v>35</v>
      </c>
      <c r="G237" s="1" t="s">
        <v>7</v>
      </c>
    </row>
    <row r="238" spans="1:7">
      <c r="A238" t="s">
        <v>70</v>
      </c>
      <c r="B238" s="1" t="s">
        <v>3</v>
      </c>
      <c r="C238" s="2">
        <v>2019</v>
      </c>
      <c r="D238" s="2">
        <v>80</v>
      </c>
      <c r="E238" s="2">
        <v>46</v>
      </c>
      <c r="F238" s="2">
        <v>34</v>
      </c>
      <c r="G238" s="1" t="s">
        <v>7</v>
      </c>
    </row>
    <row r="239" spans="1:7" hidden="1">
      <c r="A239" t="s">
        <v>70</v>
      </c>
      <c r="B239" s="1" t="s">
        <v>3</v>
      </c>
      <c r="C239" s="2">
        <v>2020</v>
      </c>
      <c r="D239" s="2">
        <v>98</v>
      </c>
      <c r="E239" s="2">
        <v>61</v>
      </c>
      <c r="F239" s="2">
        <v>37</v>
      </c>
      <c r="G239" s="1" t="s">
        <v>7</v>
      </c>
    </row>
    <row r="240" spans="1:7">
      <c r="A240" t="s">
        <v>70</v>
      </c>
      <c r="B240" s="1" t="s">
        <v>3</v>
      </c>
      <c r="C240" s="2">
        <v>2021</v>
      </c>
      <c r="D240" s="2">
        <v>85</v>
      </c>
      <c r="E240" s="2">
        <v>49</v>
      </c>
      <c r="F240" s="2">
        <v>35</v>
      </c>
      <c r="G240" s="2">
        <v>1</v>
      </c>
    </row>
    <row r="241" spans="1:7" hidden="1">
      <c r="A241" t="s">
        <v>70</v>
      </c>
      <c r="B241" s="1" t="s">
        <v>3</v>
      </c>
      <c r="C241" s="2">
        <v>2022</v>
      </c>
      <c r="D241" s="2">
        <v>94</v>
      </c>
      <c r="E241" s="2">
        <v>49</v>
      </c>
      <c r="F241" s="2">
        <v>44</v>
      </c>
      <c r="G241" s="2">
        <v>1</v>
      </c>
    </row>
    <row r="242" spans="1:7" hidden="1">
      <c r="A242" t="s">
        <v>70</v>
      </c>
      <c r="B242" s="1" t="s">
        <v>3</v>
      </c>
      <c r="C242" s="2">
        <v>2023</v>
      </c>
      <c r="D242" s="2">
        <v>98</v>
      </c>
      <c r="E242" s="2">
        <v>54</v>
      </c>
      <c r="F242" s="2">
        <v>44</v>
      </c>
      <c r="G242" s="1" t="s">
        <v>7</v>
      </c>
    </row>
    <row r="243" spans="1:7" hidden="1">
      <c r="A243" t="s">
        <v>70</v>
      </c>
      <c r="B243" s="1" t="s">
        <v>3</v>
      </c>
      <c r="C243" s="2">
        <v>2024</v>
      </c>
      <c r="D243" s="2">
        <v>77</v>
      </c>
      <c r="E243" s="2">
        <v>46</v>
      </c>
      <c r="F243" s="2">
        <v>31</v>
      </c>
      <c r="G243" s="1" t="s">
        <v>7</v>
      </c>
    </row>
    <row r="244" spans="1:7" hidden="1">
      <c r="A244" t="s">
        <v>70</v>
      </c>
      <c r="B244" s="1" t="s">
        <v>35</v>
      </c>
      <c r="C244" s="2">
        <v>1990</v>
      </c>
      <c r="D244" s="2">
        <v>333</v>
      </c>
      <c r="E244" s="2">
        <v>202</v>
      </c>
      <c r="F244" s="2">
        <v>130</v>
      </c>
      <c r="G244" s="2">
        <v>1</v>
      </c>
    </row>
    <row r="245" spans="1:7" hidden="1">
      <c r="A245" t="s">
        <v>70</v>
      </c>
      <c r="B245" s="1" t="s">
        <v>36</v>
      </c>
      <c r="C245" s="2">
        <v>1991</v>
      </c>
      <c r="D245" s="2">
        <v>248</v>
      </c>
      <c r="E245" s="2">
        <v>139</v>
      </c>
      <c r="F245" s="2">
        <v>108</v>
      </c>
      <c r="G245" s="2">
        <v>1</v>
      </c>
    </row>
    <row r="246" spans="1:7" hidden="1">
      <c r="A246" t="s">
        <v>70</v>
      </c>
      <c r="B246" s="1" t="s">
        <v>37</v>
      </c>
      <c r="C246" s="2">
        <v>1992</v>
      </c>
      <c r="D246" s="2">
        <v>226</v>
      </c>
      <c r="E246" s="2">
        <v>125</v>
      </c>
      <c r="F246" s="2">
        <v>99</v>
      </c>
      <c r="G246" s="2">
        <v>2</v>
      </c>
    </row>
    <row r="247" spans="1:7" hidden="1">
      <c r="A247" t="s">
        <v>70</v>
      </c>
      <c r="B247" s="1" t="s">
        <v>37</v>
      </c>
      <c r="C247" s="2">
        <v>1993</v>
      </c>
      <c r="D247" s="2">
        <v>2</v>
      </c>
      <c r="E247" s="2">
        <v>1</v>
      </c>
      <c r="F247" s="2">
        <v>1</v>
      </c>
      <c r="G247" s="1" t="s">
        <v>7</v>
      </c>
    </row>
    <row r="248" spans="1:7" hidden="1">
      <c r="A248" t="s">
        <v>70</v>
      </c>
      <c r="B248" s="1" t="s">
        <v>38</v>
      </c>
      <c r="C248" s="2">
        <v>1993</v>
      </c>
      <c r="D248" s="2">
        <v>186</v>
      </c>
      <c r="E248" s="2">
        <v>105</v>
      </c>
      <c r="F248" s="2">
        <v>80</v>
      </c>
      <c r="G248" s="2">
        <v>1</v>
      </c>
    </row>
    <row r="249" spans="1:7" hidden="1">
      <c r="A249" t="s">
        <v>70</v>
      </c>
      <c r="B249" s="1" t="s">
        <v>38</v>
      </c>
      <c r="C249" s="2">
        <v>1994</v>
      </c>
      <c r="D249" s="2">
        <v>1</v>
      </c>
      <c r="E249" s="1" t="s">
        <v>7</v>
      </c>
      <c r="F249" s="2">
        <v>1</v>
      </c>
      <c r="G249" s="1" t="s">
        <v>7</v>
      </c>
    </row>
    <row r="250" spans="1:7" hidden="1">
      <c r="A250" t="s">
        <v>70</v>
      </c>
      <c r="B250" s="1" t="s">
        <v>39</v>
      </c>
      <c r="C250" s="2">
        <v>1994</v>
      </c>
      <c r="D250" s="2">
        <v>211</v>
      </c>
      <c r="E250" s="2">
        <v>126</v>
      </c>
      <c r="F250" s="2">
        <v>85</v>
      </c>
      <c r="G250" s="1" t="s">
        <v>7</v>
      </c>
    </row>
    <row r="251" spans="1:7" hidden="1">
      <c r="A251" t="s">
        <v>70</v>
      </c>
      <c r="B251" s="1" t="s">
        <v>40</v>
      </c>
      <c r="C251" s="2">
        <v>1995</v>
      </c>
      <c r="D251" s="2">
        <v>201</v>
      </c>
      <c r="E251" s="2">
        <v>106</v>
      </c>
      <c r="F251" s="2">
        <v>95</v>
      </c>
      <c r="G251" s="1" t="s">
        <v>7</v>
      </c>
    </row>
    <row r="252" spans="1:7" hidden="1">
      <c r="A252" t="s">
        <v>70</v>
      </c>
      <c r="B252" s="1" t="s">
        <v>41</v>
      </c>
      <c r="C252" s="2">
        <v>1996</v>
      </c>
      <c r="D252" s="2">
        <v>191</v>
      </c>
      <c r="E252" s="2">
        <v>116</v>
      </c>
      <c r="F252" s="2">
        <v>74</v>
      </c>
      <c r="G252" s="2">
        <v>1</v>
      </c>
    </row>
    <row r="253" spans="1:7" hidden="1">
      <c r="A253" t="s">
        <v>70</v>
      </c>
      <c r="B253" s="1" t="s">
        <v>41</v>
      </c>
      <c r="C253" s="2">
        <v>1997</v>
      </c>
      <c r="D253" s="2">
        <v>1</v>
      </c>
      <c r="E253" s="2">
        <v>1</v>
      </c>
      <c r="F253" s="1" t="s">
        <v>7</v>
      </c>
      <c r="G253" s="1" t="s">
        <v>7</v>
      </c>
    </row>
    <row r="254" spans="1:7" hidden="1">
      <c r="A254" t="s">
        <v>70</v>
      </c>
      <c r="B254" s="1" t="s">
        <v>42</v>
      </c>
      <c r="C254" s="2">
        <v>1997</v>
      </c>
      <c r="D254" s="2">
        <v>164</v>
      </c>
      <c r="E254" s="2">
        <v>86</v>
      </c>
      <c r="F254" s="2">
        <v>78</v>
      </c>
      <c r="G254" s="1" t="s">
        <v>7</v>
      </c>
    </row>
    <row r="255" spans="1:7" hidden="1">
      <c r="A255" t="s">
        <v>70</v>
      </c>
      <c r="B255" s="1" t="s">
        <v>42</v>
      </c>
      <c r="C255" s="2">
        <v>1998</v>
      </c>
      <c r="D255" s="2">
        <v>1</v>
      </c>
      <c r="E255" s="1" t="s">
        <v>7</v>
      </c>
      <c r="F255" s="2">
        <v>1</v>
      </c>
      <c r="G255" s="1" t="s">
        <v>7</v>
      </c>
    </row>
    <row r="256" spans="1:7" hidden="1">
      <c r="A256" t="s">
        <v>70</v>
      </c>
      <c r="B256" s="1" t="s">
        <v>43</v>
      </c>
      <c r="C256" s="2">
        <v>1998</v>
      </c>
      <c r="D256" s="2">
        <v>172</v>
      </c>
      <c r="E256" s="2">
        <v>88</v>
      </c>
      <c r="F256" s="2">
        <v>83</v>
      </c>
      <c r="G256" s="2">
        <v>1</v>
      </c>
    </row>
    <row r="257" spans="1:7" hidden="1">
      <c r="A257" t="s">
        <v>70</v>
      </c>
      <c r="B257" s="1" t="s">
        <v>44</v>
      </c>
      <c r="C257" s="2">
        <v>1999</v>
      </c>
      <c r="D257" s="2">
        <v>158</v>
      </c>
      <c r="E257" s="2">
        <v>88</v>
      </c>
      <c r="F257" s="2">
        <v>69</v>
      </c>
      <c r="G257" s="2">
        <v>1</v>
      </c>
    </row>
    <row r="258" spans="1:7" hidden="1">
      <c r="A258" t="s">
        <v>70</v>
      </c>
      <c r="B258" s="1" t="s">
        <v>45</v>
      </c>
      <c r="C258" s="2">
        <v>2000</v>
      </c>
      <c r="D258" s="2">
        <v>166</v>
      </c>
      <c r="E258" s="2">
        <v>97</v>
      </c>
      <c r="F258" s="2">
        <v>69</v>
      </c>
      <c r="G258" s="1" t="s">
        <v>7</v>
      </c>
    </row>
    <row r="259" spans="1:7" hidden="1">
      <c r="A259" t="s">
        <v>70</v>
      </c>
      <c r="B259" s="1" t="s">
        <v>46</v>
      </c>
      <c r="C259" s="2">
        <v>2001</v>
      </c>
      <c r="D259" s="2">
        <v>154</v>
      </c>
      <c r="E259" s="2">
        <v>88</v>
      </c>
      <c r="F259" s="2">
        <v>66</v>
      </c>
      <c r="G259" s="1" t="s">
        <v>7</v>
      </c>
    </row>
    <row r="260" spans="1:7" hidden="1">
      <c r="A260" t="s">
        <v>70</v>
      </c>
      <c r="B260" s="1" t="s">
        <v>46</v>
      </c>
      <c r="C260" s="2">
        <v>2002</v>
      </c>
      <c r="D260" s="2">
        <v>2</v>
      </c>
      <c r="E260" s="2">
        <v>2</v>
      </c>
      <c r="F260" s="1" t="s">
        <v>7</v>
      </c>
      <c r="G260" s="1" t="s">
        <v>7</v>
      </c>
    </row>
    <row r="261" spans="1:7" hidden="1">
      <c r="A261" t="s">
        <v>70</v>
      </c>
      <c r="B261" s="1" t="s">
        <v>47</v>
      </c>
      <c r="C261" s="2">
        <v>2002</v>
      </c>
      <c r="D261" s="2">
        <v>118</v>
      </c>
      <c r="E261" s="2">
        <v>68</v>
      </c>
      <c r="F261" s="2">
        <v>50</v>
      </c>
      <c r="G261" s="1" t="s">
        <v>7</v>
      </c>
    </row>
    <row r="262" spans="1:7" hidden="1">
      <c r="A262" t="s">
        <v>70</v>
      </c>
      <c r="B262" s="1" t="s">
        <v>48</v>
      </c>
      <c r="C262" s="2">
        <v>2003</v>
      </c>
      <c r="D262" s="2">
        <v>133</v>
      </c>
      <c r="E262" s="2">
        <v>73</v>
      </c>
      <c r="F262" s="2">
        <v>60</v>
      </c>
      <c r="G262" s="1" t="s">
        <v>7</v>
      </c>
    </row>
    <row r="263" spans="1:7" hidden="1">
      <c r="A263" t="s">
        <v>70</v>
      </c>
      <c r="B263" s="1" t="s">
        <v>49</v>
      </c>
      <c r="C263" s="2">
        <v>2004</v>
      </c>
      <c r="D263" s="2">
        <v>139</v>
      </c>
      <c r="E263" s="2">
        <v>78</v>
      </c>
      <c r="F263" s="2">
        <v>61</v>
      </c>
      <c r="G263" s="1" t="s">
        <v>7</v>
      </c>
    </row>
    <row r="264" spans="1:7" hidden="1">
      <c r="A264" t="s">
        <v>70</v>
      </c>
      <c r="B264" s="1" t="s">
        <v>50</v>
      </c>
      <c r="C264" s="2">
        <v>2005</v>
      </c>
      <c r="D264" s="2">
        <v>157</v>
      </c>
      <c r="E264" s="2">
        <v>92</v>
      </c>
      <c r="F264" s="2">
        <v>65</v>
      </c>
      <c r="G264" s="1" t="s">
        <v>7</v>
      </c>
    </row>
    <row r="265" spans="1:7" hidden="1">
      <c r="A265" t="s">
        <v>70</v>
      </c>
      <c r="B265" s="1" t="s">
        <v>51</v>
      </c>
      <c r="C265" s="2">
        <v>2006</v>
      </c>
      <c r="D265" s="2">
        <v>149</v>
      </c>
      <c r="E265" s="2">
        <v>77</v>
      </c>
      <c r="F265" s="2">
        <v>72</v>
      </c>
      <c r="G265" s="1" t="s">
        <v>7</v>
      </c>
    </row>
    <row r="266" spans="1:7" hidden="1">
      <c r="A266" t="s">
        <v>70</v>
      </c>
      <c r="B266" s="1" t="s">
        <v>51</v>
      </c>
      <c r="C266" s="2">
        <v>2007</v>
      </c>
      <c r="D266" s="2">
        <v>1</v>
      </c>
      <c r="E266" s="1" t="s">
        <v>7</v>
      </c>
      <c r="F266" s="2">
        <v>1</v>
      </c>
      <c r="G266" s="1" t="s">
        <v>7</v>
      </c>
    </row>
    <row r="267" spans="1:7" hidden="1">
      <c r="A267" t="s">
        <v>70</v>
      </c>
      <c r="B267" s="1" t="s">
        <v>52</v>
      </c>
      <c r="C267" s="2">
        <v>2007</v>
      </c>
      <c r="D267" s="2">
        <v>135</v>
      </c>
      <c r="E267" s="2">
        <v>69</v>
      </c>
      <c r="F267" s="2">
        <v>65</v>
      </c>
      <c r="G267" s="2">
        <v>1</v>
      </c>
    </row>
    <row r="268" spans="1:7" hidden="1">
      <c r="A268" t="s">
        <v>70</v>
      </c>
      <c r="B268" s="1" t="s">
        <v>52</v>
      </c>
      <c r="C268" s="2">
        <v>2008</v>
      </c>
      <c r="D268" s="2">
        <v>1</v>
      </c>
      <c r="E268" s="2">
        <v>1</v>
      </c>
      <c r="F268" s="1" t="s">
        <v>7</v>
      </c>
      <c r="G268" s="1" t="s">
        <v>7</v>
      </c>
    </row>
    <row r="269" spans="1:7" hidden="1">
      <c r="A269" t="s">
        <v>70</v>
      </c>
      <c r="B269" s="1" t="s">
        <v>53</v>
      </c>
      <c r="C269" s="2">
        <v>2008</v>
      </c>
      <c r="D269" s="2">
        <v>135</v>
      </c>
      <c r="E269" s="2">
        <v>69</v>
      </c>
      <c r="F269" s="2">
        <v>66</v>
      </c>
      <c r="G269" s="1" t="s">
        <v>7</v>
      </c>
    </row>
    <row r="270" spans="1:7" hidden="1">
      <c r="A270" t="s">
        <v>70</v>
      </c>
      <c r="B270" s="1" t="s">
        <v>54</v>
      </c>
      <c r="C270" s="2">
        <v>2009</v>
      </c>
      <c r="D270" s="2">
        <v>146</v>
      </c>
      <c r="E270" s="2">
        <v>77</v>
      </c>
      <c r="F270" s="2">
        <v>69</v>
      </c>
      <c r="G270" s="1" t="s">
        <v>7</v>
      </c>
    </row>
    <row r="271" spans="1:7" hidden="1">
      <c r="A271" t="s">
        <v>70</v>
      </c>
      <c r="B271" s="1" t="s">
        <v>54</v>
      </c>
      <c r="C271" s="2">
        <v>2010</v>
      </c>
      <c r="D271" s="2">
        <v>1</v>
      </c>
      <c r="E271" s="1" t="s">
        <v>7</v>
      </c>
      <c r="F271" s="2">
        <v>1</v>
      </c>
      <c r="G271" s="1" t="s">
        <v>7</v>
      </c>
    </row>
    <row r="272" spans="1:7" hidden="1">
      <c r="A272" t="s">
        <v>70</v>
      </c>
      <c r="B272" s="1" t="s">
        <v>55</v>
      </c>
      <c r="C272" s="2">
        <v>2010</v>
      </c>
      <c r="D272" s="2">
        <v>127</v>
      </c>
      <c r="E272" s="2">
        <v>68</v>
      </c>
      <c r="F272" s="2">
        <v>58</v>
      </c>
      <c r="G272" s="2">
        <v>1</v>
      </c>
    </row>
    <row r="273" spans="1:7" hidden="1">
      <c r="A273" t="s">
        <v>70</v>
      </c>
      <c r="B273" s="1" t="s">
        <v>55</v>
      </c>
      <c r="C273" s="2">
        <v>2011</v>
      </c>
      <c r="D273" s="2">
        <v>1</v>
      </c>
      <c r="E273" s="1" t="s">
        <v>7</v>
      </c>
      <c r="F273" s="2">
        <v>1</v>
      </c>
      <c r="G273" s="1" t="s">
        <v>7</v>
      </c>
    </row>
    <row r="274" spans="1:7" hidden="1">
      <c r="A274" t="s">
        <v>70</v>
      </c>
      <c r="B274" s="1" t="s">
        <v>56</v>
      </c>
      <c r="C274" s="2">
        <v>2011</v>
      </c>
      <c r="D274" s="2">
        <v>154</v>
      </c>
      <c r="E274" s="2">
        <v>86</v>
      </c>
      <c r="F274" s="2">
        <v>68</v>
      </c>
      <c r="G274" s="1" t="s">
        <v>7</v>
      </c>
    </row>
    <row r="275" spans="1:7" hidden="1">
      <c r="A275" t="s">
        <v>70</v>
      </c>
      <c r="B275" s="1" t="s">
        <v>56</v>
      </c>
      <c r="C275" s="2">
        <v>2012</v>
      </c>
      <c r="D275" s="2">
        <v>2</v>
      </c>
      <c r="E275" s="2">
        <v>2</v>
      </c>
      <c r="F275" s="1" t="s">
        <v>7</v>
      </c>
      <c r="G275" s="1" t="s">
        <v>7</v>
      </c>
    </row>
    <row r="276" spans="1:7" hidden="1">
      <c r="A276" t="s">
        <v>70</v>
      </c>
      <c r="B276" s="1" t="s">
        <v>57</v>
      </c>
      <c r="C276" s="2">
        <v>2012</v>
      </c>
      <c r="D276" s="2">
        <v>130</v>
      </c>
      <c r="E276" s="2">
        <v>79</v>
      </c>
      <c r="F276" s="2">
        <v>51</v>
      </c>
      <c r="G276" s="1" t="s">
        <v>7</v>
      </c>
    </row>
    <row r="277" spans="1:7" hidden="1">
      <c r="A277" t="s">
        <v>70</v>
      </c>
      <c r="B277" s="1" t="s">
        <v>57</v>
      </c>
      <c r="C277" s="2">
        <v>2013</v>
      </c>
      <c r="D277" s="2">
        <v>1</v>
      </c>
      <c r="E277" s="2">
        <v>1</v>
      </c>
      <c r="F277" s="1" t="s">
        <v>7</v>
      </c>
      <c r="G277" s="1" t="s">
        <v>7</v>
      </c>
    </row>
    <row r="278" spans="1:7" hidden="1">
      <c r="A278" t="s">
        <v>70</v>
      </c>
      <c r="B278" s="1" t="s">
        <v>58</v>
      </c>
      <c r="C278" s="2">
        <v>2013</v>
      </c>
      <c r="D278" s="2">
        <v>108</v>
      </c>
      <c r="E278" s="2">
        <v>69</v>
      </c>
      <c r="F278" s="2">
        <v>39</v>
      </c>
      <c r="G278" s="1" t="s">
        <v>7</v>
      </c>
    </row>
    <row r="279" spans="1:7" hidden="1">
      <c r="A279" t="s">
        <v>70</v>
      </c>
      <c r="B279" s="1" t="s">
        <v>59</v>
      </c>
      <c r="C279" s="2">
        <v>2014</v>
      </c>
      <c r="D279" s="2">
        <v>126</v>
      </c>
      <c r="E279" s="2">
        <v>78</v>
      </c>
      <c r="F279" s="2">
        <v>48</v>
      </c>
      <c r="G279" s="1" t="s">
        <v>7</v>
      </c>
    </row>
    <row r="280" spans="1:7" hidden="1">
      <c r="A280" t="s">
        <v>70</v>
      </c>
      <c r="B280" s="1" t="s">
        <v>60</v>
      </c>
      <c r="C280" s="2">
        <v>2015</v>
      </c>
      <c r="D280" s="2">
        <v>115</v>
      </c>
      <c r="E280" s="2">
        <v>65</v>
      </c>
      <c r="F280" s="2">
        <v>48</v>
      </c>
      <c r="G280" s="2">
        <v>2</v>
      </c>
    </row>
    <row r="281" spans="1:7" hidden="1">
      <c r="A281" t="s">
        <v>70</v>
      </c>
      <c r="B281" s="1" t="s">
        <v>61</v>
      </c>
      <c r="C281" s="2">
        <v>2016</v>
      </c>
      <c r="D281" s="2">
        <v>121</v>
      </c>
      <c r="E281" s="2">
        <v>57</v>
      </c>
      <c r="F281" s="2">
        <v>64</v>
      </c>
      <c r="G281" s="1" t="s">
        <v>7</v>
      </c>
    </row>
    <row r="282" spans="1:7" hidden="1">
      <c r="A282" t="s">
        <v>70</v>
      </c>
      <c r="B282" s="1" t="s">
        <v>62</v>
      </c>
      <c r="C282" s="2">
        <v>2017</v>
      </c>
      <c r="D282" s="2">
        <v>107</v>
      </c>
      <c r="E282" s="2">
        <v>62</v>
      </c>
      <c r="F282" s="2">
        <v>45</v>
      </c>
      <c r="G282" s="1" t="s">
        <v>7</v>
      </c>
    </row>
    <row r="283" spans="1:7" hidden="1">
      <c r="A283" t="s">
        <v>70</v>
      </c>
      <c r="B283" s="1" t="s">
        <v>63</v>
      </c>
      <c r="C283" s="2">
        <v>2018</v>
      </c>
      <c r="D283" s="2">
        <v>101</v>
      </c>
      <c r="E283" s="2">
        <v>66</v>
      </c>
      <c r="F283" s="2">
        <v>35</v>
      </c>
      <c r="G283" s="1" t="s">
        <v>7</v>
      </c>
    </row>
    <row r="284" spans="1:7" hidden="1">
      <c r="A284" t="s">
        <v>70</v>
      </c>
      <c r="B284" s="1" t="s">
        <v>64</v>
      </c>
      <c r="C284" s="2">
        <v>2019</v>
      </c>
      <c r="D284" s="2">
        <v>80</v>
      </c>
      <c r="E284" s="2">
        <v>46</v>
      </c>
      <c r="F284" s="2">
        <v>34</v>
      </c>
      <c r="G284" s="1" t="s">
        <v>7</v>
      </c>
    </row>
    <row r="285" spans="1:7" hidden="1">
      <c r="A285" t="s">
        <v>70</v>
      </c>
      <c r="B285" s="1" t="s">
        <v>65</v>
      </c>
      <c r="C285" s="2">
        <v>2020</v>
      </c>
      <c r="D285" s="2">
        <v>98</v>
      </c>
      <c r="E285" s="2">
        <v>61</v>
      </c>
      <c r="F285" s="2">
        <v>37</v>
      </c>
      <c r="G285" s="1" t="s">
        <v>7</v>
      </c>
    </row>
    <row r="286" spans="1:7" hidden="1">
      <c r="A286" t="s">
        <v>70</v>
      </c>
      <c r="B286" s="1" t="s">
        <v>66</v>
      </c>
      <c r="C286" s="2">
        <v>2021</v>
      </c>
      <c r="D286" s="2">
        <v>85</v>
      </c>
      <c r="E286" s="2">
        <v>49</v>
      </c>
      <c r="F286" s="2">
        <v>35</v>
      </c>
      <c r="G286" s="2">
        <v>1</v>
      </c>
    </row>
    <row r="287" spans="1:7" hidden="1">
      <c r="A287" t="s">
        <v>70</v>
      </c>
      <c r="B287" s="1" t="s">
        <v>67</v>
      </c>
      <c r="C287" s="2">
        <v>2022</v>
      </c>
      <c r="D287" s="2">
        <v>94</v>
      </c>
      <c r="E287" s="2">
        <v>49</v>
      </c>
      <c r="F287" s="2">
        <v>44</v>
      </c>
      <c r="G287" s="2">
        <v>1</v>
      </c>
    </row>
    <row r="288" spans="1:7" hidden="1">
      <c r="A288" t="s">
        <v>70</v>
      </c>
      <c r="B288" s="1" t="s">
        <v>68</v>
      </c>
      <c r="C288" s="2">
        <v>2023</v>
      </c>
      <c r="D288" s="2">
        <v>98</v>
      </c>
      <c r="E288" s="2">
        <v>54</v>
      </c>
      <c r="F288" s="2">
        <v>44</v>
      </c>
      <c r="G288" s="1" t="s">
        <v>7</v>
      </c>
    </row>
    <row r="289" spans="1:7" hidden="1">
      <c r="A289" t="s">
        <v>70</v>
      </c>
      <c r="B289" s="1" t="s">
        <v>69</v>
      </c>
      <c r="C289" s="2">
        <v>2024</v>
      </c>
      <c r="D289" s="2">
        <v>77</v>
      </c>
      <c r="E289" s="2">
        <v>46</v>
      </c>
      <c r="F289" s="2">
        <v>31</v>
      </c>
      <c r="G289" s="1" t="s">
        <v>7</v>
      </c>
    </row>
    <row r="290" spans="1:7" hidden="1">
      <c r="A290" t="s">
        <v>70</v>
      </c>
      <c r="B290" s="1" t="s">
        <v>6</v>
      </c>
      <c r="C290" s="2">
        <v>1990</v>
      </c>
      <c r="D290" s="2">
        <v>1</v>
      </c>
      <c r="E290" s="2">
        <v>1</v>
      </c>
      <c r="F290" s="1" t="s">
        <v>7</v>
      </c>
      <c r="G290" s="1" t="s">
        <v>7</v>
      </c>
    </row>
    <row r="291" spans="1:7" hidden="1">
      <c r="A291" t="s">
        <v>70</v>
      </c>
      <c r="B291" s="1" t="s">
        <v>6</v>
      </c>
      <c r="C291" s="2">
        <v>1991</v>
      </c>
      <c r="D291" s="2">
        <v>2</v>
      </c>
      <c r="E291" s="2">
        <v>2</v>
      </c>
      <c r="F291" s="1" t="s">
        <v>7</v>
      </c>
      <c r="G291" s="1" t="s">
        <v>7</v>
      </c>
    </row>
    <row r="292" spans="1:7" hidden="1">
      <c r="A292" t="s">
        <v>70</v>
      </c>
      <c r="B292" s="1" t="s">
        <v>6</v>
      </c>
      <c r="C292" s="2">
        <v>1993</v>
      </c>
      <c r="D292" s="2">
        <v>2</v>
      </c>
      <c r="E292" s="2">
        <v>1</v>
      </c>
      <c r="F292" s="2">
        <v>1</v>
      </c>
      <c r="G292" s="1" t="s">
        <v>7</v>
      </c>
    </row>
    <row r="293" spans="1:7" hidden="1">
      <c r="A293" t="s">
        <v>70</v>
      </c>
      <c r="B293" s="1" t="s">
        <v>6</v>
      </c>
      <c r="C293" s="2">
        <v>2000</v>
      </c>
      <c r="D293" s="2">
        <v>1</v>
      </c>
      <c r="E293" s="1" t="s">
        <v>7</v>
      </c>
      <c r="F293" s="2">
        <v>1</v>
      </c>
      <c r="G293" s="1" t="s">
        <v>7</v>
      </c>
    </row>
    <row r="294" spans="1:7" hidden="1">
      <c r="A294" t="s">
        <v>71</v>
      </c>
      <c r="B294" s="1" t="s">
        <v>3</v>
      </c>
      <c r="C294" s="2">
        <v>1990</v>
      </c>
      <c r="D294" s="2">
        <v>134</v>
      </c>
      <c r="E294" s="2">
        <v>67</v>
      </c>
      <c r="F294" s="2">
        <v>67</v>
      </c>
      <c r="G294" s="1" t="s">
        <v>7</v>
      </c>
    </row>
    <row r="295" spans="1:7" hidden="1">
      <c r="A295" t="s">
        <v>71</v>
      </c>
      <c r="B295" s="1" t="s">
        <v>3</v>
      </c>
      <c r="C295" s="2">
        <v>1991</v>
      </c>
      <c r="D295" s="2">
        <v>63</v>
      </c>
      <c r="E295" s="2">
        <v>37</v>
      </c>
      <c r="F295" s="2">
        <v>25</v>
      </c>
      <c r="G295" s="2">
        <v>1</v>
      </c>
    </row>
    <row r="296" spans="1:7" hidden="1">
      <c r="A296" t="s">
        <v>71</v>
      </c>
      <c r="B296" s="1" t="s">
        <v>3</v>
      </c>
      <c r="C296" s="2">
        <v>1992</v>
      </c>
      <c r="D296" s="2">
        <v>66</v>
      </c>
      <c r="E296" s="2">
        <v>37</v>
      </c>
      <c r="F296" s="2">
        <v>29</v>
      </c>
      <c r="G296" s="1" t="s">
        <v>7</v>
      </c>
    </row>
    <row r="297" spans="1:7" hidden="1">
      <c r="A297" t="s">
        <v>71</v>
      </c>
      <c r="B297" s="1" t="s">
        <v>3</v>
      </c>
      <c r="C297" s="2">
        <v>1993</v>
      </c>
      <c r="D297" s="2">
        <v>59</v>
      </c>
      <c r="E297" s="2">
        <v>30</v>
      </c>
      <c r="F297" s="2">
        <v>29</v>
      </c>
      <c r="G297" s="1" t="s">
        <v>7</v>
      </c>
    </row>
    <row r="298" spans="1:7" hidden="1">
      <c r="A298" t="s">
        <v>71</v>
      </c>
      <c r="B298" s="1" t="s">
        <v>3</v>
      </c>
      <c r="C298" s="2">
        <v>1994</v>
      </c>
      <c r="D298" s="2">
        <v>58</v>
      </c>
      <c r="E298" s="2">
        <v>29</v>
      </c>
      <c r="F298" s="2">
        <v>29</v>
      </c>
      <c r="G298" s="1" t="s">
        <v>7</v>
      </c>
    </row>
    <row r="299" spans="1:7" hidden="1">
      <c r="A299" t="s">
        <v>71</v>
      </c>
      <c r="B299" s="1" t="s">
        <v>3</v>
      </c>
      <c r="C299" s="2">
        <v>1995</v>
      </c>
      <c r="D299" s="2">
        <v>55</v>
      </c>
      <c r="E299" s="2">
        <v>23</v>
      </c>
      <c r="F299" s="2">
        <v>32</v>
      </c>
      <c r="G299" s="1" t="s">
        <v>7</v>
      </c>
    </row>
    <row r="300" spans="1:7" hidden="1">
      <c r="A300" t="s">
        <v>71</v>
      </c>
      <c r="B300" s="1" t="s">
        <v>3</v>
      </c>
      <c r="C300" s="2">
        <v>1996</v>
      </c>
      <c r="D300" s="2">
        <v>47</v>
      </c>
      <c r="E300" s="2">
        <v>24</v>
      </c>
      <c r="F300" s="2">
        <v>23</v>
      </c>
      <c r="G300" s="1" t="s">
        <v>7</v>
      </c>
    </row>
    <row r="301" spans="1:7" hidden="1">
      <c r="A301" t="s">
        <v>71</v>
      </c>
      <c r="B301" s="1" t="s">
        <v>3</v>
      </c>
      <c r="C301" s="2">
        <v>1997</v>
      </c>
      <c r="D301" s="2">
        <v>33</v>
      </c>
      <c r="E301" s="2">
        <v>14</v>
      </c>
      <c r="F301" s="2">
        <v>19</v>
      </c>
      <c r="G301" s="1" t="s">
        <v>7</v>
      </c>
    </row>
    <row r="302" spans="1:7" hidden="1">
      <c r="A302" t="s">
        <v>71</v>
      </c>
      <c r="B302" s="1" t="s">
        <v>3</v>
      </c>
      <c r="C302" s="2">
        <v>1998</v>
      </c>
      <c r="D302" s="2">
        <v>37</v>
      </c>
      <c r="E302" s="2">
        <v>16</v>
      </c>
      <c r="F302" s="2">
        <v>21</v>
      </c>
      <c r="G302" s="1" t="s">
        <v>7</v>
      </c>
    </row>
    <row r="303" spans="1:7" hidden="1">
      <c r="A303" t="s">
        <v>71</v>
      </c>
      <c r="B303" s="1" t="s">
        <v>3</v>
      </c>
      <c r="C303" s="2">
        <v>1999</v>
      </c>
      <c r="D303" s="2">
        <v>37</v>
      </c>
      <c r="E303" s="2">
        <v>21</v>
      </c>
      <c r="F303" s="2">
        <v>16</v>
      </c>
      <c r="G303" s="1" t="s">
        <v>7</v>
      </c>
    </row>
    <row r="304" spans="1:7" hidden="1">
      <c r="A304" t="s">
        <v>71</v>
      </c>
      <c r="B304" s="1" t="s">
        <v>3</v>
      </c>
      <c r="C304" s="2">
        <v>2000</v>
      </c>
      <c r="D304" s="2">
        <v>26</v>
      </c>
      <c r="E304" s="2">
        <v>15</v>
      </c>
      <c r="F304" s="2">
        <v>11</v>
      </c>
      <c r="G304" s="1" t="s">
        <v>7</v>
      </c>
    </row>
    <row r="305" spans="1:7" hidden="1">
      <c r="A305" t="s">
        <v>71</v>
      </c>
      <c r="B305" s="1" t="s">
        <v>3</v>
      </c>
      <c r="C305" s="2">
        <v>2001</v>
      </c>
      <c r="D305" s="2">
        <v>32</v>
      </c>
      <c r="E305" s="2">
        <v>13</v>
      </c>
      <c r="F305" s="2">
        <v>19</v>
      </c>
      <c r="G305" s="1" t="s">
        <v>7</v>
      </c>
    </row>
    <row r="306" spans="1:7" hidden="1">
      <c r="A306" t="s">
        <v>71</v>
      </c>
      <c r="B306" s="1" t="s">
        <v>3</v>
      </c>
      <c r="C306" s="2">
        <v>2002</v>
      </c>
      <c r="D306" s="2">
        <v>35</v>
      </c>
      <c r="E306" s="2">
        <v>23</v>
      </c>
      <c r="F306" s="2">
        <v>12</v>
      </c>
      <c r="G306" s="1" t="s">
        <v>7</v>
      </c>
    </row>
    <row r="307" spans="1:7" hidden="1">
      <c r="A307" t="s">
        <v>71</v>
      </c>
      <c r="B307" s="1" t="s">
        <v>3</v>
      </c>
      <c r="C307" s="2">
        <v>2003</v>
      </c>
      <c r="D307" s="2">
        <v>20</v>
      </c>
      <c r="E307" s="2">
        <v>13</v>
      </c>
      <c r="F307" s="2">
        <v>7</v>
      </c>
      <c r="G307" s="1" t="s">
        <v>7</v>
      </c>
    </row>
    <row r="308" spans="1:7" hidden="1">
      <c r="A308" t="s">
        <v>71</v>
      </c>
      <c r="B308" s="1" t="s">
        <v>3</v>
      </c>
      <c r="C308" s="2">
        <v>2004</v>
      </c>
      <c r="D308" s="2">
        <v>31</v>
      </c>
      <c r="E308" s="2">
        <v>17</v>
      </c>
      <c r="F308" s="2">
        <v>14</v>
      </c>
      <c r="G308" s="1" t="s">
        <v>7</v>
      </c>
    </row>
    <row r="309" spans="1:7" hidden="1">
      <c r="A309" t="s">
        <v>71</v>
      </c>
      <c r="B309" s="1" t="s">
        <v>3</v>
      </c>
      <c r="C309" s="2">
        <v>2005</v>
      </c>
      <c r="D309" s="2">
        <v>27</v>
      </c>
      <c r="E309" s="2">
        <v>14</v>
      </c>
      <c r="F309" s="2">
        <v>13</v>
      </c>
      <c r="G309" s="1" t="s">
        <v>7</v>
      </c>
    </row>
    <row r="310" spans="1:7" hidden="1">
      <c r="A310" t="s">
        <v>71</v>
      </c>
      <c r="B310" s="1" t="s">
        <v>3</v>
      </c>
      <c r="C310" s="2">
        <v>2006</v>
      </c>
      <c r="D310" s="2">
        <v>29</v>
      </c>
      <c r="E310" s="2">
        <v>18</v>
      </c>
      <c r="F310" s="2">
        <v>11</v>
      </c>
      <c r="G310" s="1" t="s">
        <v>7</v>
      </c>
    </row>
    <row r="311" spans="1:7" hidden="1">
      <c r="A311" t="s">
        <v>71</v>
      </c>
      <c r="B311" s="1" t="s">
        <v>3</v>
      </c>
      <c r="C311" s="2">
        <v>2007</v>
      </c>
      <c r="D311" s="2">
        <v>31</v>
      </c>
      <c r="E311" s="2">
        <v>17</v>
      </c>
      <c r="F311" s="2">
        <v>14</v>
      </c>
      <c r="G311" s="1" t="s">
        <v>7</v>
      </c>
    </row>
    <row r="312" spans="1:7" hidden="1">
      <c r="A312" t="s">
        <v>71</v>
      </c>
      <c r="B312" s="1" t="s">
        <v>3</v>
      </c>
      <c r="C312" s="2">
        <v>2008</v>
      </c>
      <c r="D312" s="2">
        <v>27</v>
      </c>
      <c r="E312" s="2">
        <v>14</v>
      </c>
      <c r="F312" s="2">
        <v>13</v>
      </c>
      <c r="G312" s="1" t="s">
        <v>7</v>
      </c>
    </row>
    <row r="313" spans="1:7" hidden="1">
      <c r="A313" t="s">
        <v>71</v>
      </c>
      <c r="B313" s="1" t="s">
        <v>3</v>
      </c>
      <c r="C313" s="2">
        <v>2009</v>
      </c>
      <c r="D313" s="2">
        <v>29</v>
      </c>
      <c r="E313" s="2">
        <v>11</v>
      </c>
      <c r="F313" s="2">
        <v>18</v>
      </c>
      <c r="G313" s="1" t="s">
        <v>7</v>
      </c>
    </row>
    <row r="314" spans="1:7">
      <c r="A314" t="s">
        <v>71</v>
      </c>
      <c r="B314" s="1" t="s">
        <v>3</v>
      </c>
      <c r="C314" s="2">
        <v>2010</v>
      </c>
      <c r="D314" s="2">
        <v>28</v>
      </c>
      <c r="E314" s="2">
        <v>13</v>
      </c>
      <c r="F314" s="2">
        <v>15</v>
      </c>
      <c r="G314" s="1" t="s">
        <v>7</v>
      </c>
    </row>
    <row r="315" spans="1:7" hidden="1">
      <c r="A315" t="s">
        <v>71</v>
      </c>
      <c r="B315" s="1" t="s">
        <v>3</v>
      </c>
      <c r="C315" s="2">
        <v>2011</v>
      </c>
      <c r="D315" s="2">
        <v>22</v>
      </c>
      <c r="E315" s="2">
        <v>15</v>
      </c>
      <c r="F315" s="2">
        <v>7</v>
      </c>
      <c r="G315" s="1" t="s">
        <v>7</v>
      </c>
    </row>
    <row r="316" spans="1:7" hidden="1">
      <c r="A316" t="s">
        <v>71</v>
      </c>
      <c r="B316" s="1" t="s">
        <v>3</v>
      </c>
      <c r="C316" s="2">
        <v>2012</v>
      </c>
      <c r="D316" s="2">
        <v>28</v>
      </c>
      <c r="E316" s="2">
        <v>14</v>
      </c>
      <c r="F316" s="2">
        <v>14</v>
      </c>
      <c r="G316" s="1" t="s">
        <v>7</v>
      </c>
    </row>
    <row r="317" spans="1:7" hidden="1">
      <c r="A317" t="s">
        <v>71</v>
      </c>
      <c r="B317" s="1" t="s">
        <v>3</v>
      </c>
      <c r="C317" s="2">
        <v>2013</v>
      </c>
      <c r="D317" s="2">
        <v>29</v>
      </c>
      <c r="E317" s="2">
        <v>14</v>
      </c>
      <c r="F317" s="2">
        <v>15</v>
      </c>
      <c r="G317" s="1" t="s">
        <v>7</v>
      </c>
    </row>
    <row r="318" spans="1:7" hidden="1">
      <c r="A318" t="s">
        <v>71</v>
      </c>
      <c r="B318" s="1" t="s">
        <v>3</v>
      </c>
      <c r="C318" s="2">
        <v>2014</v>
      </c>
      <c r="D318" s="2">
        <v>22</v>
      </c>
      <c r="E318" s="2">
        <v>11</v>
      </c>
      <c r="F318" s="2">
        <v>10</v>
      </c>
      <c r="G318" s="2">
        <v>1</v>
      </c>
    </row>
    <row r="319" spans="1:7" hidden="1">
      <c r="A319" t="s">
        <v>71</v>
      </c>
      <c r="B319" s="1" t="s">
        <v>3</v>
      </c>
      <c r="C319" s="2">
        <v>2015</v>
      </c>
      <c r="D319" s="2">
        <v>24</v>
      </c>
      <c r="E319" s="2">
        <v>13</v>
      </c>
      <c r="F319" s="2">
        <v>11</v>
      </c>
      <c r="G319" s="1" t="s">
        <v>7</v>
      </c>
    </row>
    <row r="320" spans="1:7" hidden="1">
      <c r="A320" t="s">
        <v>71</v>
      </c>
      <c r="B320" s="1" t="s">
        <v>3</v>
      </c>
      <c r="C320" s="2">
        <v>2016</v>
      </c>
      <c r="D320" s="2">
        <v>24</v>
      </c>
      <c r="E320" s="2">
        <v>10</v>
      </c>
      <c r="F320" s="2">
        <v>14</v>
      </c>
      <c r="G320" s="1" t="s">
        <v>7</v>
      </c>
    </row>
    <row r="321" spans="1:7" hidden="1">
      <c r="A321" t="s">
        <v>71</v>
      </c>
      <c r="B321" s="1" t="s">
        <v>3</v>
      </c>
      <c r="C321" s="2">
        <v>2017</v>
      </c>
      <c r="D321" s="2">
        <v>22</v>
      </c>
      <c r="E321" s="2">
        <v>12</v>
      </c>
      <c r="F321" s="2">
        <v>10</v>
      </c>
      <c r="G321" s="1" t="s">
        <v>7</v>
      </c>
    </row>
    <row r="322" spans="1:7" hidden="1">
      <c r="A322" t="s">
        <v>71</v>
      </c>
      <c r="B322" s="1" t="s">
        <v>3</v>
      </c>
      <c r="C322" s="2">
        <v>2018</v>
      </c>
      <c r="D322" s="2">
        <v>22</v>
      </c>
      <c r="E322" s="2">
        <v>14</v>
      </c>
      <c r="F322" s="2">
        <v>8</v>
      </c>
      <c r="G322" s="1" t="s">
        <v>7</v>
      </c>
    </row>
    <row r="323" spans="1:7">
      <c r="A323" t="s">
        <v>71</v>
      </c>
      <c r="B323" s="1" t="s">
        <v>3</v>
      </c>
      <c r="C323" s="2">
        <v>2019</v>
      </c>
      <c r="D323" s="2">
        <v>28</v>
      </c>
      <c r="E323" s="2">
        <v>11</v>
      </c>
      <c r="F323" s="2">
        <v>17</v>
      </c>
      <c r="G323" s="1" t="s">
        <v>7</v>
      </c>
    </row>
    <row r="324" spans="1:7" hidden="1">
      <c r="A324" t="s">
        <v>71</v>
      </c>
      <c r="B324" s="1" t="s">
        <v>3</v>
      </c>
      <c r="C324" s="2">
        <v>2020</v>
      </c>
      <c r="D324" s="2">
        <v>14</v>
      </c>
      <c r="E324" s="2">
        <v>7</v>
      </c>
      <c r="F324" s="2">
        <v>7</v>
      </c>
      <c r="G324" s="1" t="s">
        <v>7</v>
      </c>
    </row>
    <row r="325" spans="1:7">
      <c r="A325" t="s">
        <v>71</v>
      </c>
      <c r="B325" s="1" t="s">
        <v>3</v>
      </c>
      <c r="C325" s="2">
        <v>2021</v>
      </c>
      <c r="D325" s="2">
        <v>16</v>
      </c>
      <c r="E325" s="2">
        <v>11</v>
      </c>
      <c r="F325" s="2">
        <v>5</v>
      </c>
      <c r="G325" s="1" t="s">
        <v>7</v>
      </c>
    </row>
    <row r="326" spans="1:7" hidden="1">
      <c r="A326" t="s">
        <v>71</v>
      </c>
      <c r="B326" s="1" t="s">
        <v>3</v>
      </c>
      <c r="C326" s="2">
        <v>2022</v>
      </c>
      <c r="D326" s="2">
        <v>16</v>
      </c>
      <c r="E326" s="2">
        <v>4</v>
      </c>
      <c r="F326" s="2">
        <v>12</v>
      </c>
      <c r="G326" s="1" t="s">
        <v>7</v>
      </c>
    </row>
    <row r="327" spans="1:7" hidden="1">
      <c r="A327" t="s">
        <v>71</v>
      </c>
      <c r="B327" s="1" t="s">
        <v>3</v>
      </c>
      <c r="C327" s="2">
        <v>2023</v>
      </c>
      <c r="D327" s="2">
        <v>11</v>
      </c>
      <c r="E327" s="2">
        <v>7</v>
      </c>
      <c r="F327" s="2">
        <v>4</v>
      </c>
      <c r="G327" s="1" t="s">
        <v>7</v>
      </c>
    </row>
    <row r="328" spans="1:7" hidden="1">
      <c r="A328" t="s">
        <v>71</v>
      </c>
      <c r="B328" s="1" t="s">
        <v>3</v>
      </c>
      <c r="C328" s="2">
        <v>2024</v>
      </c>
      <c r="D328" s="2">
        <v>20</v>
      </c>
      <c r="E328" s="2">
        <v>9</v>
      </c>
      <c r="F328" s="2">
        <v>11</v>
      </c>
      <c r="G328" s="1" t="s">
        <v>7</v>
      </c>
    </row>
    <row r="329" spans="1:7" hidden="1">
      <c r="A329" t="s">
        <v>71</v>
      </c>
      <c r="B329" s="1" t="s">
        <v>35</v>
      </c>
      <c r="C329" s="2">
        <v>1990</v>
      </c>
      <c r="D329" s="2">
        <v>134</v>
      </c>
      <c r="E329" s="2">
        <v>67</v>
      </c>
      <c r="F329" s="2">
        <v>67</v>
      </c>
      <c r="G329" s="1" t="s">
        <v>7</v>
      </c>
    </row>
    <row r="330" spans="1:7" hidden="1">
      <c r="A330" t="s">
        <v>71</v>
      </c>
      <c r="B330" s="1" t="s">
        <v>36</v>
      </c>
      <c r="C330" s="2">
        <v>1991</v>
      </c>
      <c r="D330" s="2">
        <v>58</v>
      </c>
      <c r="E330" s="2">
        <v>34</v>
      </c>
      <c r="F330" s="2">
        <v>23</v>
      </c>
      <c r="G330" s="2">
        <v>1</v>
      </c>
    </row>
    <row r="331" spans="1:7" hidden="1">
      <c r="A331" t="s">
        <v>71</v>
      </c>
      <c r="B331" s="1" t="s">
        <v>36</v>
      </c>
      <c r="C331" s="2">
        <v>1993</v>
      </c>
      <c r="D331" s="2">
        <v>1</v>
      </c>
      <c r="E331" s="1" t="s">
        <v>7</v>
      </c>
      <c r="F331" s="2">
        <v>1</v>
      </c>
      <c r="G331" s="1" t="s">
        <v>7</v>
      </c>
    </row>
    <row r="332" spans="1:7" hidden="1">
      <c r="A332" t="s">
        <v>71</v>
      </c>
      <c r="B332" s="1" t="s">
        <v>37</v>
      </c>
      <c r="C332" s="2">
        <v>1992</v>
      </c>
      <c r="D332" s="2">
        <v>60</v>
      </c>
      <c r="E332" s="2">
        <v>33</v>
      </c>
      <c r="F332" s="2">
        <v>27</v>
      </c>
      <c r="G332" s="1" t="s">
        <v>7</v>
      </c>
    </row>
    <row r="333" spans="1:7" hidden="1">
      <c r="A333" t="s">
        <v>71</v>
      </c>
      <c r="B333" s="1" t="s">
        <v>38</v>
      </c>
      <c r="C333" s="2">
        <v>1993</v>
      </c>
      <c r="D333" s="2">
        <v>58</v>
      </c>
      <c r="E333" s="2">
        <v>30</v>
      </c>
      <c r="F333" s="2">
        <v>28</v>
      </c>
      <c r="G333" s="1" t="s">
        <v>7</v>
      </c>
    </row>
    <row r="334" spans="1:7" hidden="1">
      <c r="A334" t="s">
        <v>71</v>
      </c>
      <c r="B334" s="1" t="s">
        <v>39</v>
      </c>
      <c r="C334" s="2">
        <v>1994</v>
      </c>
      <c r="D334" s="2">
        <v>58</v>
      </c>
      <c r="E334" s="2">
        <v>29</v>
      </c>
      <c r="F334" s="2">
        <v>29</v>
      </c>
      <c r="G334" s="1" t="s">
        <v>7</v>
      </c>
    </row>
    <row r="335" spans="1:7" hidden="1">
      <c r="A335" t="s">
        <v>71</v>
      </c>
      <c r="B335" s="1" t="s">
        <v>40</v>
      </c>
      <c r="C335" s="2">
        <v>1995</v>
      </c>
      <c r="D335" s="2">
        <v>55</v>
      </c>
      <c r="E335" s="2">
        <v>23</v>
      </c>
      <c r="F335" s="2">
        <v>32</v>
      </c>
      <c r="G335" s="1" t="s">
        <v>7</v>
      </c>
    </row>
    <row r="336" spans="1:7" hidden="1">
      <c r="A336" t="s">
        <v>71</v>
      </c>
      <c r="B336" s="1" t="s">
        <v>41</v>
      </c>
      <c r="C336" s="2">
        <v>1996</v>
      </c>
      <c r="D336" s="2">
        <v>47</v>
      </c>
      <c r="E336" s="2">
        <v>24</v>
      </c>
      <c r="F336" s="2">
        <v>23</v>
      </c>
      <c r="G336" s="1" t="s">
        <v>7</v>
      </c>
    </row>
    <row r="337" spans="1:7" hidden="1">
      <c r="A337" t="s">
        <v>71</v>
      </c>
      <c r="B337" s="1" t="s">
        <v>42</v>
      </c>
      <c r="C337" s="2">
        <v>1997</v>
      </c>
      <c r="D337" s="2">
        <v>33</v>
      </c>
      <c r="E337" s="2">
        <v>14</v>
      </c>
      <c r="F337" s="2">
        <v>19</v>
      </c>
      <c r="G337" s="1" t="s">
        <v>7</v>
      </c>
    </row>
    <row r="338" spans="1:7" hidden="1">
      <c r="A338" t="s">
        <v>71</v>
      </c>
      <c r="B338" s="1" t="s">
        <v>43</v>
      </c>
      <c r="C338" s="2">
        <v>1998</v>
      </c>
      <c r="D338" s="2">
        <v>37</v>
      </c>
      <c r="E338" s="2">
        <v>16</v>
      </c>
      <c r="F338" s="2">
        <v>21</v>
      </c>
      <c r="G338" s="1" t="s">
        <v>7</v>
      </c>
    </row>
    <row r="339" spans="1:7" hidden="1">
      <c r="A339" t="s">
        <v>71</v>
      </c>
      <c r="B339" s="1" t="s">
        <v>44</v>
      </c>
      <c r="C339" s="2">
        <v>1999</v>
      </c>
      <c r="D339" s="2">
        <v>37</v>
      </c>
      <c r="E339" s="2">
        <v>21</v>
      </c>
      <c r="F339" s="2">
        <v>16</v>
      </c>
      <c r="G339" s="1" t="s">
        <v>7</v>
      </c>
    </row>
    <row r="340" spans="1:7" hidden="1">
      <c r="A340" t="s">
        <v>71</v>
      </c>
      <c r="B340" s="1" t="s">
        <v>44</v>
      </c>
      <c r="C340" s="2">
        <v>2004</v>
      </c>
      <c r="D340" s="2">
        <v>1</v>
      </c>
      <c r="E340" s="2">
        <v>1</v>
      </c>
      <c r="F340" s="1" t="s">
        <v>7</v>
      </c>
      <c r="G340" s="1" t="s">
        <v>7</v>
      </c>
    </row>
    <row r="341" spans="1:7" hidden="1">
      <c r="A341" t="s">
        <v>71</v>
      </c>
      <c r="B341" s="1" t="s">
        <v>45</v>
      </c>
      <c r="C341" s="2">
        <v>2000</v>
      </c>
      <c r="D341" s="2">
        <v>26</v>
      </c>
      <c r="E341" s="2">
        <v>15</v>
      </c>
      <c r="F341" s="2">
        <v>11</v>
      </c>
      <c r="G341" s="1" t="s">
        <v>7</v>
      </c>
    </row>
    <row r="342" spans="1:7" hidden="1">
      <c r="A342" t="s">
        <v>71</v>
      </c>
      <c r="B342" s="1" t="s">
        <v>45</v>
      </c>
      <c r="C342" s="2">
        <v>2001</v>
      </c>
      <c r="D342" s="2">
        <v>1</v>
      </c>
      <c r="E342" s="1" t="s">
        <v>7</v>
      </c>
      <c r="F342" s="2">
        <v>1</v>
      </c>
      <c r="G342" s="1" t="s">
        <v>7</v>
      </c>
    </row>
    <row r="343" spans="1:7" hidden="1">
      <c r="A343" t="s">
        <v>71</v>
      </c>
      <c r="B343" s="1" t="s">
        <v>46</v>
      </c>
      <c r="C343" s="2">
        <v>2001</v>
      </c>
      <c r="D343" s="2">
        <v>31</v>
      </c>
      <c r="E343" s="2">
        <v>13</v>
      </c>
      <c r="F343" s="2">
        <v>18</v>
      </c>
      <c r="G343" s="1" t="s">
        <v>7</v>
      </c>
    </row>
    <row r="344" spans="1:7" hidden="1">
      <c r="A344" t="s">
        <v>71</v>
      </c>
      <c r="B344" s="1" t="s">
        <v>47</v>
      </c>
      <c r="C344" s="2">
        <v>2002</v>
      </c>
      <c r="D344" s="2">
        <v>35</v>
      </c>
      <c r="E344" s="2">
        <v>23</v>
      </c>
      <c r="F344" s="2">
        <v>12</v>
      </c>
      <c r="G344" s="1" t="s">
        <v>7</v>
      </c>
    </row>
    <row r="345" spans="1:7" hidden="1">
      <c r="A345" t="s">
        <v>71</v>
      </c>
      <c r="B345" s="1" t="s">
        <v>48</v>
      </c>
      <c r="C345" s="2">
        <v>2003</v>
      </c>
      <c r="D345" s="2">
        <v>20</v>
      </c>
      <c r="E345" s="2">
        <v>13</v>
      </c>
      <c r="F345" s="2">
        <v>7</v>
      </c>
      <c r="G345" s="1" t="s">
        <v>7</v>
      </c>
    </row>
    <row r="346" spans="1:7" hidden="1">
      <c r="A346" t="s">
        <v>71</v>
      </c>
      <c r="B346" s="1" t="s">
        <v>48</v>
      </c>
      <c r="C346" s="2">
        <v>2004</v>
      </c>
      <c r="D346" s="2">
        <v>1</v>
      </c>
      <c r="E346" s="2">
        <v>1</v>
      </c>
      <c r="F346" s="1" t="s">
        <v>7</v>
      </c>
      <c r="G346" s="1" t="s">
        <v>7</v>
      </c>
    </row>
    <row r="347" spans="1:7" hidden="1">
      <c r="A347" t="s">
        <v>71</v>
      </c>
      <c r="B347" s="1" t="s">
        <v>49</v>
      </c>
      <c r="C347" s="2">
        <v>2004</v>
      </c>
      <c r="D347" s="2">
        <v>29</v>
      </c>
      <c r="E347" s="2">
        <v>15</v>
      </c>
      <c r="F347" s="2">
        <v>14</v>
      </c>
      <c r="G347" s="1" t="s">
        <v>7</v>
      </c>
    </row>
    <row r="348" spans="1:7" hidden="1">
      <c r="A348" t="s">
        <v>71</v>
      </c>
      <c r="B348" s="1" t="s">
        <v>50</v>
      </c>
      <c r="C348" s="2">
        <v>2005</v>
      </c>
      <c r="D348" s="2">
        <v>27</v>
      </c>
      <c r="E348" s="2">
        <v>14</v>
      </c>
      <c r="F348" s="2">
        <v>13</v>
      </c>
      <c r="G348" s="1" t="s">
        <v>7</v>
      </c>
    </row>
    <row r="349" spans="1:7" hidden="1">
      <c r="A349" t="s">
        <v>71</v>
      </c>
      <c r="B349" s="1" t="s">
        <v>51</v>
      </c>
      <c r="C349" s="2">
        <v>2006</v>
      </c>
      <c r="D349" s="2">
        <v>29</v>
      </c>
      <c r="E349" s="2">
        <v>18</v>
      </c>
      <c r="F349" s="2">
        <v>11</v>
      </c>
      <c r="G349" s="1" t="s">
        <v>7</v>
      </c>
    </row>
    <row r="350" spans="1:7" hidden="1">
      <c r="A350" t="s">
        <v>71</v>
      </c>
      <c r="B350" s="1" t="s">
        <v>51</v>
      </c>
      <c r="C350" s="2">
        <v>2007</v>
      </c>
      <c r="D350" s="2">
        <v>1</v>
      </c>
      <c r="E350" s="2">
        <v>1</v>
      </c>
      <c r="F350" s="1" t="s">
        <v>7</v>
      </c>
      <c r="G350" s="1" t="s">
        <v>7</v>
      </c>
    </row>
    <row r="351" spans="1:7" hidden="1">
      <c r="A351" t="s">
        <v>71</v>
      </c>
      <c r="B351" s="1" t="s">
        <v>52</v>
      </c>
      <c r="C351" s="2">
        <v>2007</v>
      </c>
      <c r="D351" s="2">
        <v>30</v>
      </c>
      <c r="E351" s="2">
        <v>16</v>
      </c>
      <c r="F351" s="2">
        <v>14</v>
      </c>
      <c r="G351" s="1" t="s">
        <v>7</v>
      </c>
    </row>
    <row r="352" spans="1:7" hidden="1">
      <c r="A352" t="s">
        <v>71</v>
      </c>
      <c r="B352" s="1" t="s">
        <v>53</v>
      </c>
      <c r="C352" s="2">
        <v>2008</v>
      </c>
      <c r="D352" s="2">
        <v>27</v>
      </c>
      <c r="E352" s="2">
        <v>14</v>
      </c>
      <c r="F352" s="2">
        <v>13</v>
      </c>
      <c r="G352" s="1" t="s">
        <v>7</v>
      </c>
    </row>
    <row r="353" spans="1:7" hidden="1">
      <c r="A353" t="s">
        <v>71</v>
      </c>
      <c r="B353" s="1" t="s">
        <v>54</v>
      </c>
      <c r="C353" s="2">
        <v>2009</v>
      </c>
      <c r="D353" s="2">
        <v>29</v>
      </c>
      <c r="E353" s="2">
        <v>11</v>
      </c>
      <c r="F353" s="2">
        <v>18</v>
      </c>
      <c r="G353" s="1" t="s">
        <v>7</v>
      </c>
    </row>
    <row r="354" spans="1:7" hidden="1">
      <c r="A354" t="s">
        <v>71</v>
      </c>
      <c r="B354" s="1" t="s">
        <v>55</v>
      </c>
      <c r="C354" s="2">
        <v>2010</v>
      </c>
      <c r="D354" s="2">
        <v>28</v>
      </c>
      <c r="E354" s="2">
        <v>13</v>
      </c>
      <c r="F354" s="2">
        <v>15</v>
      </c>
      <c r="G354" s="1" t="s">
        <v>7</v>
      </c>
    </row>
    <row r="355" spans="1:7" hidden="1">
      <c r="A355" t="s">
        <v>71</v>
      </c>
      <c r="B355" s="1" t="s">
        <v>56</v>
      </c>
      <c r="C355" s="2">
        <v>2011</v>
      </c>
      <c r="D355" s="2">
        <v>22</v>
      </c>
      <c r="E355" s="2">
        <v>15</v>
      </c>
      <c r="F355" s="2">
        <v>7</v>
      </c>
      <c r="G355" s="1" t="s">
        <v>7</v>
      </c>
    </row>
    <row r="356" spans="1:7" hidden="1">
      <c r="A356" t="s">
        <v>71</v>
      </c>
      <c r="B356" s="1" t="s">
        <v>57</v>
      </c>
      <c r="C356" s="2">
        <v>2012</v>
      </c>
      <c r="D356" s="2">
        <v>28</v>
      </c>
      <c r="E356" s="2">
        <v>14</v>
      </c>
      <c r="F356" s="2">
        <v>14</v>
      </c>
      <c r="G356" s="1" t="s">
        <v>7</v>
      </c>
    </row>
    <row r="357" spans="1:7" hidden="1">
      <c r="A357" t="s">
        <v>71</v>
      </c>
      <c r="B357" s="1" t="s">
        <v>58</v>
      </c>
      <c r="C357" s="2">
        <v>2013</v>
      </c>
      <c r="D357" s="2">
        <v>29</v>
      </c>
      <c r="E357" s="2">
        <v>14</v>
      </c>
      <c r="F357" s="2">
        <v>15</v>
      </c>
      <c r="G357" s="1" t="s">
        <v>7</v>
      </c>
    </row>
    <row r="358" spans="1:7" hidden="1">
      <c r="A358" t="s">
        <v>71</v>
      </c>
      <c r="B358" s="1" t="s">
        <v>59</v>
      </c>
      <c r="C358" s="2">
        <v>2014</v>
      </c>
      <c r="D358" s="2">
        <v>22</v>
      </c>
      <c r="E358" s="2">
        <v>11</v>
      </c>
      <c r="F358" s="2">
        <v>10</v>
      </c>
      <c r="G358" s="2">
        <v>1</v>
      </c>
    </row>
    <row r="359" spans="1:7" hidden="1">
      <c r="A359" t="s">
        <v>71</v>
      </c>
      <c r="B359" s="1" t="s">
        <v>60</v>
      </c>
      <c r="C359" s="2">
        <v>2015</v>
      </c>
      <c r="D359" s="2">
        <v>24</v>
      </c>
      <c r="E359" s="2">
        <v>13</v>
      </c>
      <c r="F359" s="2">
        <v>11</v>
      </c>
      <c r="G359" s="1" t="s">
        <v>7</v>
      </c>
    </row>
    <row r="360" spans="1:7" hidden="1">
      <c r="A360" t="s">
        <v>71</v>
      </c>
      <c r="B360" s="1" t="s">
        <v>61</v>
      </c>
      <c r="C360" s="2">
        <v>2016</v>
      </c>
      <c r="D360" s="2">
        <v>24</v>
      </c>
      <c r="E360" s="2">
        <v>10</v>
      </c>
      <c r="F360" s="2">
        <v>14</v>
      </c>
      <c r="G360" s="1" t="s">
        <v>7</v>
      </c>
    </row>
    <row r="361" spans="1:7" hidden="1">
      <c r="A361" t="s">
        <v>71</v>
      </c>
      <c r="B361" s="1" t="s">
        <v>62</v>
      </c>
      <c r="C361" s="2">
        <v>2017</v>
      </c>
      <c r="D361" s="2">
        <v>22</v>
      </c>
      <c r="E361" s="2">
        <v>12</v>
      </c>
      <c r="F361" s="2">
        <v>10</v>
      </c>
      <c r="G361" s="1" t="s">
        <v>7</v>
      </c>
    </row>
    <row r="362" spans="1:7" hidden="1">
      <c r="A362" t="s">
        <v>71</v>
      </c>
      <c r="B362" s="1" t="s">
        <v>63</v>
      </c>
      <c r="C362" s="2">
        <v>2018</v>
      </c>
      <c r="D362" s="2">
        <v>22</v>
      </c>
      <c r="E362" s="2">
        <v>14</v>
      </c>
      <c r="F362" s="2">
        <v>8</v>
      </c>
      <c r="G362" s="1" t="s">
        <v>7</v>
      </c>
    </row>
    <row r="363" spans="1:7" hidden="1">
      <c r="A363" t="s">
        <v>71</v>
      </c>
      <c r="B363" s="1" t="s">
        <v>64</v>
      </c>
      <c r="C363" s="2">
        <v>2019</v>
      </c>
      <c r="D363" s="2">
        <v>28</v>
      </c>
      <c r="E363" s="2">
        <v>11</v>
      </c>
      <c r="F363" s="2">
        <v>17</v>
      </c>
      <c r="G363" s="1" t="s">
        <v>7</v>
      </c>
    </row>
    <row r="364" spans="1:7" hidden="1">
      <c r="A364" t="s">
        <v>71</v>
      </c>
      <c r="B364" s="1" t="s">
        <v>65</v>
      </c>
      <c r="C364" s="2">
        <v>2020</v>
      </c>
      <c r="D364" s="2">
        <v>14</v>
      </c>
      <c r="E364" s="2">
        <v>7</v>
      </c>
      <c r="F364" s="2">
        <v>7</v>
      </c>
      <c r="G364" s="1" t="s">
        <v>7</v>
      </c>
    </row>
    <row r="365" spans="1:7" hidden="1">
      <c r="A365" t="s">
        <v>71</v>
      </c>
      <c r="B365" s="1" t="s">
        <v>66</v>
      </c>
      <c r="C365" s="2">
        <v>2021</v>
      </c>
      <c r="D365" s="2">
        <v>16</v>
      </c>
      <c r="E365" s="2">
        <v>11</v>
      </c>
      <c r="F365" s="2">
        <v>5</v>
      </c>
      <c r="G365" s="1" t="s">
        <v>7</v>
      </c>
    </row>
    <row r="366" spans="1:7" hidden="1">
      <c r="A366" t="s">
        <v>71</v>
      </c>
      <c r="B366" s="1" t="s">
        <v>67</v>
      </c>
      <c r="C366" s="2">
        <v>2022</v>
      </c>
      <c r="D366" s="2">
        <v>16</v>
      </c>
      <c r="E366" s="2">
        <v>4</v>
      </c>
      <c r="F366" s="2">
        <v>12</v>
      </c>
      <c r="G366" s="1" t="s">
        <v>7</v>
      </c>
    </row>
    <row r="367" spans="1:7" hidden="1">
      <c r="A367" t="s">
        <v>71</v>
      </c>
      <c r="B367" s="1" t="s">
        <v>68</v>
      </c>
      <c r="C367" s="2">
        <v>2023</v>
      </c>
      <c r="D367" s="2">
        <v>11</v>
      </c>
      <c r="E367" s="2">
        <v>7</v>
      </c>
      <c r="F367" s="2">
        <v>4</v>
      </c>
      <c r="G367" s="1" t="s">
        <v>7</v>
      </c>
    </row>
    <row r="368" spans="1:7" hidden="1">
      <c r="A368" t="s">
        <v>71</v>
      </c>
      <c r="B368" s="1" t="s">
        <v>69</v>
      </c>
      <c r="C368" s="2">
        <v>2024</v>
      </c>
      <c r="D368" s="2">
        <v>20</v>
      </c>
      <c r="E368" s="2">
        <v>9</v>
      </c>
      <c r="F368" s="2">
        <v>11</v>
      </c>
      <c r="G368" s="1" t="s">
        <v>7</v>
      </c>
    </row>
    <row r="369" spans="1:7" hidden="1">
      <c r="A369" t="s">
        <v>71</v>
      </c>
      <c r="B369" s="1" t="s">
        <v>6</v>
      </c>
      <c r="C369" s="2">
        <v>1991</v>
      </c>
      <c r="D369" s="2">
        <v>5</v>
      </c>
      <c r="E369" s="2">
        <v>3</v>
      </c>
      <c r="F369" s="2">
        <v>2</v>
      </c>
      <c r="G369" s="1" t="s">
        <v>7</v>
      </c>
    </row>
    <row r="370" spans="1:7" hidden="1">
      <c r="A370" t="s">
        <v>71</v>
      </c>
      <c r="B370" s="1" t="s">
        <v>6</v>
      </c>
      <c r="C370" s="2">
        <v>1992</v>
      </c>
      <c r="D370" s="2">
        <v>6</v>
      </c>
      <c r="E370" s="2">
        <v>4</v>
      </c>
      <c r="F370" s="2">
        <v>2</v>
      </c>
      <c r="G370" s="1" t="s">
        <v>7</v>
      </c>
    </row>
    <row r="371" spans="1:7" hidden="1">
      <c r="A371" t="s">
        <v>72</v>
      </c>
      <c r="B371" s="1" t="s">
        <v>3</v>
      </c>
      <c r="C371" s="2">
        <v>1990</v>
      </c>
      <c r="D371" s="2">
        <v>42</v>
      </c>
      <c r="E371" s="2">
        <v>16</v>
      </c>
      <c r="F371" s="2">
        <v>26</v>
      </c>
      <c r="G371" s="1" t="s">
        <v>7</v>
      </c>
    </row>
    <row r="372" spans="1:7" hidden="1">
      <c r="A372" t="s">
        <v>72</v>
      </c>
      <c r="B372" s="1" t="s">
        <v>3</v>
      </c>
      <c r="C372" s="2">
        <v>1991</v>
      </c>
      <c r="D372" s="2">
        <v>29</v>
      </c>
      <c r="E372" s="2">
        <v>19</v>
      </c>
      <c r="F372" s="2">
        <v>10</v>
      </c>
      <c r="G372" s="1" t="s">
        <v>7</v>
      </c>
    </row>
    <row r="373" spans="1:7" hidden="1">
      <c r="A373" t="s">
        <v>72</v>
      </c>
      <c r="B373" s="1" t="s">
        <v>3</v>
      </c>
      <c r="C373" s="2">
        <v>1992</v>
      </c>
      <c r="D373" s="2">
        <v>27</v>
      </c>
      <c r="E373" s="2">
        <v>17</v>
      </c>
      <c r="F373" s="2">
        <v>10</v>
      </c>
      <c r="G373" s="1" t="s">
        <v>7</v>
      </c>
    </row>
    <row r="374" spans="1:7" hidden="1">
      <c r="A374" t="s">
        <v>72</v>
      </c>
      <c r="B374" s="1" t="s">
        <v>3</v>
      </c>
      <c r="C374" s="2">
        <v>1993</v>
      </c>
      <c r="D374" s="2">
        <v>22</v>
      </c>
      <c r="E374" s="2">
        <v>12</v>
      </c>
      <c r="F374" s="2">
        <v>10</v>
      </c>
      <c r="G374" s="1" t="s">
        <v>7</v>
      </c>
    </row>
    <row r="375" spans="1:7" hidden="1">
      <c r="A375" t="s">
        <v>72</v>
      </c>
      <c r="B375" s="1" t="s">
        <v>3</v>
      </c>
      <c r="C375" s="2">
        <v>1994</v>
      </c>
      <c r="D375" s="2">
        <v>25</v>
      </c>
      <c r="E375" s="2">
        <v>11</v>
      </c>
      <c r="F375" s="2">
        <v>14</v>
      </c>
      <c r="G375" s="1" t="s">
        <v>7</v>
      </c>
    </row>
    <row r="376" spans="1:7" hidden="1">
      <c r="A376" t="s">
        <v>72</v>
      </c>
      <c r="B376" s="1" t="s">
        <v>3</v>
      </c>
      <c r="C376" s="2">
        <v>1995</v>
      </c>
      <c r="D376" s="2">
        <v>29</v>
      </c>
      <c r="E376" s="2">
        <v>16</v>
      </c>
      <c r="F376" s="2">
        <v>13</v>
      </c>
      <c r="G376" s="1" t="s">
        <v>7</v>
      </c>
    </row>
    <row r="377" spans="1:7" hidden="1">
      <c r="A377" t="s">
        <v>72</v>
      </c>
      <c r="B377" s="1" t="s">
        <v>3</v>
      </c>
      <c r="C377" s="2">
        <v>1996</v>
      </c>
      <c r="D377" s="2">
        <v>19</v>
      </c>
      <c r="E377" s="2">
        <v>13</v>
      </c>
      <c r="F377" s="2">
        <v>6</v>
      </c>
      <c r="G377" s="1" t="s">
        <v>7</v>
      </c>
    </row>
    <row r="378" spans="1:7" hidden="1">
      <c r="A378" t="s">
        <v>72</v>
      </c>
      <c r="B378" s="1" t="s">
        <v>3</v>
      </c>
      <c r="C378" s="2">
        <v>1997</v>
      </c>
      <c r="D378" s="2">
        <v>22</v>
      </c>
      <c r="E378" s="2">
        <v>13</v>
      </c>
      <c r="F378" s="2">
        <v>9</v>
      </c>
      <c r="G378" s="1" t="s">
        <v>7</v>
      </c>
    </row>
    <row r="379" spans="1:7" hidden="1">
      <c r="A379" t="s">
        <v>72</v>
      </c>
      <c r="B379" s="1" t="s">
        <v>3</v>
      </c>
      <c r="C379" s="2">
        <v>1998</v>
      </c>
      <c r="D379" s="2">
        <v>14</v>
      </c>
      <c r="E379" s="2">
        <v>10</v>
      </c>
      <c r="F379" s="2">
        <v>4</v>
      </c>
      <c r="G379" s="1" t="s">
        <v>7</v>
      </c>
    </row>
    <row r="380" spans="1:7" hidden="1">
      <c r="A380" t="s">
        <v>72</v>
      </c>
      <c r="B380" s="1" t="s">
        <v>3</v>
      </c>
      <c r="C380" s="2">
        <v>1999</v>
      </c>
      <c r="D380" s="2">
        <v>9</v>
      </c>
      <c r="E380" s="2">
        <v>7</v>
      </c>
      <c r="F380" s="2">
        <v>2</v>
      </c>
      <c r="G380" s="1" t="s">
        <v>7</v>
      </c>
    </row>
    <row r="381" spans="1:7" hidden="1">
      <c r="A381" t="s">
        <v>72</v>
      </c>
      <c r="B381" s="1" t="s">
        <v>3</v>
      </c>
      <c r="C381" s="2">
        <v>2000</v>
      </c>
      <c r="D381" s="2">
        <v>24</v>
      </c>
      <c r="E381" s="2">
        <v>12</v>
      </c>
      <c r="F381" s="2">
        <v>12</v>
      </c>
      <c r="G381" s="1" t="s">
        <v>7</v>
      </c>
    </row>
    <row r="382" spans="1:7" hidden="1">
      <c r="A382" t="s">
        <v>72</v>
      </c>
      <c r="B382" s="1" t="s">
        <v>3</v>
      </c>
      <c r="C382" s="2">
        <v>2001</v>
      </c>
      <c r="D382" s="2">
        <v>16</v>
      </c>
      <c r="E382" s="2">
        <v>11</v>
      </c>
      <c r="F382" s="2">
        <v>5</v>
      </c>
      <c r="G382" s="1" t="s">
        <v>7</v>
      </c>
    </row>
    <row r="383" spans="1:7" hidden="1">
      <c r="A383" t="s">
        <v>72</v>
      </c>
      <c r="B383" s="1" t="s">
        <v>3</v>
      </c>
      <c r="C383" s="2">
        <v>2002</v>
      </c>
      <c r="D383" s="2">
        <v>19</v>
      </c>
      <c r="E383" s="2">
        <v>11</v>
      </c>
      <c r="F383" s="2">
        <v>8</v>
      </c>
      <c r="G383" s="1" t="s">
        <v>7</v>
      </c>
    </row>
    <row r="384" spans="1:7" hidden="1">
      <c r="A384" t="s">
        <v>72</v>
      </c>
      <c r="B384" s="1" t="s">
        <v>3</v>
      </c>
      <c r="C384" s="2">
        <v>2003</v>
      </c>
      <c r="D384" s="2">
        <v>13</v>
      </c>
      <c r="E384" s="2">
        <v>4</v>
      </c>
      <c r="F384" s="2">
        <v>9</v>
      </c>
      <c r="G384" s="1" t="s">
        <v>7</v>
      </c>
    </row>
    <row r="385" spans="1:7" hidden="1">
      <c r="A385" t="s">
        <v>72</v>
      </c>
      <c r="B385" s="1" t="s">
        <v>3</v>
      </c>
      <c r="C385" s="2">
        <v>2004</v>
      </c>
      <c r="D385" s="2">
        <v>15</v>
      </c>
      <c r="E385" s="2">
        <v>7</v>
      </c>
      <c r="F385" s="2">
        <v>8</v>
      </c>
      <c r="G385" s="1" t="s">
        <v>7</v>
      </c>
    </row>
    <row r="386" spans="1:7" hidden="1">
      <c r="A386" t="s">
        <v>72</v>
      </c>
      <c r="B386" s="1" t="s">
        <v>3</v>
      </c>
      <c r="C386" s="2">
        <v>2005</v>
      </c>
      <c r="D386" s="2">
        <v>13</v>
      </c>
      <c r="E386" s="2">
        <v>5</v>
      </c>
      <c r="F386" s="2">
        <v>8</v>
      </c>
      <c r="G386" s="1" t="s">
        <v>7</v>
      </c>
    </row>
    <row r="387" spans="1:7" hidden="1">
      <c r="A387" t="s">
        <v>72</v>
      </c>
      <c r="B387" s="1" t="s">
        <v>3</v>
      </c>
      <c r="C387" s="2">
        <v>2006</v>
      </c>
      <c r="D387" s="2">
        <v>14</v>
      </c>
      <c r="E387" s="2">
        <v>9</v>
      </c>
      <c r="F387" s="2">
        <v>5</v>
      </c>
      <c r="G387" s="1" t="s">
        <v>7</v>
      </c>
    </row>
    <row r="388" spans="1:7" hidden="1">
      <c r="A388" t="s">
        <v>72</v>
      </c>
      <c r="B388" s="1" t="s">
        <v>3</v>
      </c>
      <c r="C388" s="2">
        <v>2007</v>
      </c>
      <c r="D388" s="2">
        <v>14</v>
      </c>
      <c r="E388" s="2">
        <v>5</v>
      </c>
      <c r="F388" s="2">
        <v>9</v>
      </c>
      <c r="G388" s="1" t="s">
        <v>7</v>
      </c>
    </row>
    <row r="389" spans="1:7" hidden="1">
      <c r="A389" t="s">
        <v>72</v>
      </c>
      <c r="B389" s="1" t="s">
        <v>3</v>
      </c>
      <c r="C389" s="2">
        <v>2008</v>
      </c>
      <c r="D389" s="2">
        <v>17</v>
      </c>
      <c r="E389" s="2">
        <v>11</v>
      </c>
      <c r="F389" s="2">
        <v>6</v>
      </c>
      <c r="G389" s="1" t="s">
        <v>7</v>
      </c>
    </row>
    <row r="390" spans="1:7" hidden="1">
      <c r="A390" t="s">
        <v>72</v>
      </c>
      <c r="B390" s="1" t="s">
        <v>3</v>
      </c>
      <c r="C390" s="2">
        <v>2009</v>
      </c>
      <c r="D390" s="2">
        <v>18</v>
      </c>
      <c r="E390" s="2">
        <v>11</v>
      </c>
      <c r="F390" s="2">
        <v>7</v>
      </c>
      <c r="G390" s="1" t="s">
        <v>7</v>
      </c>
    </row>
    <row r="391" spans="1:7">
      <c r="A391" t="s">
        <v>72</v>
      </c>
      <c r="B391" s="1" t="s">
        <v>3</v>
      </c>
      <c r="C391" s="2">
        <v>2010</v>
      </c>
      <c r="D391" s="2">
        <v>13</v>
      </c>
      <c r="E391" s="2">
        <v>8</v>
      </c>
      <c r="F391" s="2">
        <v>5</v>
      </c>
      <c r="G391" s="1" t="s">
        <v>7</v>
      </c>
    </row>
    <row r="392" spans="1:7" hidden="1">
      <c r="A392" t="s">
        <v>72</v>
      </c>
      <c r="B392" s="1" t="s">
        <v>3</v>
      </c>
      <c r="C392" s="2">
        <v>2011</v>
      </c>
      <c r="D392" s="2">
        <v>11</v>
      </c>
      <c r="E392" s="2">
        <v>4</v>
      </c>
      <c r="F392" s="2">
        <v>7</v>
      </c>
      <c r="G392" s="1" t="s">
        <v>7</v>
      </c>
    </row>
    <row r="393" spans="1:7" hidden="1">
      <c r="A393" t="s">
        <v>72</v>
      </c>
      <c r="B393" s="1" t="s">
        <v>3</v>
      </c>
      <c r="C393" s="2">
        <v>2012</v>
      </c>
      <c r="D393" s="2">
        <v>19</v>
      </c>
      <c r="E393" s="2">
        <v>12</v>
      </c>
      <c r="F393" s="2">
        <v>7</v>
      </c>
      <c r="G393" s="1" t="s">
        <v>7</v>
      </c>
    </row>
    <row r="394" spans="1:7" hidden="1">
      <c r="A394" t="s">
        <v>72</v>
      </c>
      <c r="B394" s="1" t="s">
        <v>3</v>
      </c>
      <c r="C394" s="2">
        <v>2013</v>
      </c>
      <c r="D394" s="2">
        <v>9</v>
      </c>
      <c r="E394" s="2">
        <v>2</v>
      </c>
      <c r="F394" s="2">
        <v>7</v>
      </c>
      <c r="G394" s="1" t="s">
        <v>7</v>
      </c>
    </row>
    <row r="395" spans="1:7" hidden="1">
      <c r="A395" t="s">
        <v>72</v>
      </c>
      <c r="B395" s="1" t="s">
        <v>3</v>
      </c>
      <c r="C395" s="2">
        <v>2014</v>
      </c>
      <c r="D395" s="2">
        <v>8</v>
      </c>
      <c r="E395" s="2">
        <v>5</v>
      </c>
      <c r="F395" s="2">
        <v>3</v>
      </c>
      <c r="G395" s="1" t="s">
        <v>7</v>
      </c>
    </row>
    <row r="396" spans="1:7" hidden="1">
      <c r="A396" t="s">
        <v>72</v>
      </c>
      <c r="B396" s="1" t="s">
        <v>3</v>
      </c>
      <c r="C396" s="2">
        <v>2015</v>
      </c>
      <c r="D396" s="2">
        <v>17</v>
      </c>
      <c r="E396" s="2">
        <v>12</v>
      </c>
      <c r="F396" s="2">
        <v>5</v>
      </c>
      <c r="G396" s="1" t="s">
        <v>7</v>
      </c>
    </row>
    <row r="397" spans="1:7" hidden="1">
      <c r="A397" t="s">
        <v>72</v>
      </c>
      <c r="B397" s="1" t="s">
        <v>3</v>
      </c>
      <c r="C397" s="2">
        <v>2016</v>
      </c>
      <c r="D397" s="2">
        <v>16</v>
      </c>
      <c r="E397" s="2">
        <v>12</v>
      </c>
      <c r="F397" s="2">
        <v>4</v>
      </c>
      <c r="G397" s="1" t="s">
        <v>7</v>
      </c>
    </row>
    <row r="398" spans="1:7" hidden="1">
      <c r="A398" t="s">
        <v>72</v>
      </c>
      <c r="B398" s="1" t="s">
        <v>3</v>
      </c>
      <c r="C398" s="2">
        <v>2017</v>
      </c>
      <c r="D398" s="2">
        <v>9</v>
      </c>
      <c r="E398" s="2">
        <v>5</v>
      </c>
      <c r="F398" s="2">
        <v>4</v>
      </c>
      <c r="G398" s="1" t="s">
        <v>7</v>
      </c>
    </row>
    <row r="399" spans="1:7" hidden="1">
      <c r="A399" t="s">
        <v>72</v>
      </c>
      <c r="B399" s="1" t="s">
        <v>3</v>
      </c>
      <c r="C399" s="2">
        <v>2018</v>
      </c>
      <c r="D399" s="2">
        <v>16</v>
      </c>
      <c r="E399" s="2">
        <v>9</v>
      </c>
      <c r="F399" s="2">
        <v>7</v>
      </c>
      <c r="G399" s="1" t="s">
        <v>7</v>
      </c>
    </row>
    <row r="400" spans="1:7">
      <c r="A400" t="s">
        <v>72</v>
      </c>
      <c r="B400" s="1" t="s">
        <v>3</v>
      </c>
      <c r="C400" s="2">
        <v>2019</v>
      </c>
      <c r="D400" s="2">
        <v>14</v>
      </c>
      <c r="E400" s="2">
        <v>6</v>
      </c>
      <c r="F400" s="2">
        <v>8</v>
      </c>
      <c r="G400" s="1" t="s">
        <v>7</v>
      </c>
    </row>
    <row r="401" spans="1:7" hidden="1">
      <c r="A401" t="s">
        <v>72</v>
      </c>
      <c r="B401" s="1" t="s">
        <v>3</v>
      </c>
      <c r="C401" s="2">
        <v>2020</v>
      </c>
      <c r="D401" s="2">
        <v>10</v>
      </c>
      <c r="E401" s="2">
        <v>4</v>
      </c>
      <c r="F401" s="2">
        <v>6</v>
      </c>
      <c r="G401" s="1" t="s">
        <v>7</v>
      </c>
    </row>
    <row r="402" spans="1:7">
      <c r="A402" t="s">
        <v>72</v>
      </c>
      <c r="B402" s="1" t="s">
        <v>3</v>
      </c>
      <c r="C402" s="2">
        <v>2021</v>
      </c>
      <c r="D402" s="2">
        <v>19</v>
      </c>
      <c r="E402" s="2">
        <v>9</v>
      </c>
      <c r="F402" s="2">
        <v>10</v>
      </c>
      <c r="G402" s="1" t="s">
        <v>7</v>
      </c>
    </row>
    <row r="403" spans="1:7" hidden="1">
      <c r="A403" t="s">
        <v>72</v>
      </c>
      <c r="B403" s="1" t="s">
        <v>3</v>
      </c>
      <c r="C403" s="2">
        <v>2022</v>
      </c>
      <c r="D403" s="2">
        <v>7</v>
      </c>
      <c r="E403" s="2">
        <v>3</v>
      </c>
      <c r="F403" s="2">
        <v>4</v>
      </c>
      <c r="G403" s="1" t="s">
        <v>7</v>
      </c>
    </row>
    <row r="404" spans="1:7" hidden="1">
      <c r="A404" t="s">
        <v>72</v>
      </c>
      <c r="B404" s="1" t="s">
        <v>3</v>
      </c>
      <c r="C404" s="2">
        <v>2023</v>
      </c>
      <c r="D404" s="2">
        <v>13</v>
      </c>
      <c r="E404" s="2">
        <v>7</v>
      </c>
      <c r="F404" s="2">
        <v>6</v>
      </c>
      <c r="G404" s="1" t="s">
        <v>7</v>
      </c>
    </row>
    <row r="405" spans="1:7" hidden="1">
      <c r="A405" t="s">
        <v>72</v>
      </c>
      <c r="B405" s="1" t="s">
        <v>3</v>
      </c>
      <c r="C405" s="2">
        <v>2024</v>
      </c>
      <c r="D405" s="2">
        <v>10</v>
      </c>
      <c r="E405" s="2">
        <v>5</v>
      </c>
      <c r="F405" s="2">
        <v>5</v>
      </c>
      <c r="G405" s="1" t="s">
        <v>7</v>
      </c>
    </row>
    <row r="406" spans="1:7" hidden="1">
      <c r="A406" t="s">
        <v>72</v>
      </c>
      <c r="B406" s="1" t="s">
        <v>35</v>
      </c>
      <c r="C406" s="2">
        <v>1990</v>
      </c>
      <c r="D406" s="2">
        <v>40</v>
      </c>
      <c r="E406" s="2">
        <v>15</v>
      </c>
      <c r="F406" s="2">
        <v>25</v>
      </c>
      <c r="G406" s="1" t="s">
        <v>7</v>
      </c>
    </row>
    <row r="407" spans="1:7" hidden="1">
      <c r="A407" t="s">
        <v>72</v>
      </c>
      <c r="B407" s="1" t="s">
        <v>36</v>
      </c>
      <c r="C407" s="2">
        <v>1991</v>
      </c>
      <c r="D407" s="2">
        <v>27</v>
      </c>
      <c r="E407" s="2">
        <v>17</v>
      </c>
      <c r="F407" s="2">
        <v>10</v>
      </c>
      <c r="G407" s="1" t="s">
        <v>7</v>
      </c>
    </row>
    <row r="408" spans="1:7" hidden="1">
      <c r="A408" t="s">
        <v>72</v>
      </c>
      <c r="B408" s="1" t="s">
        <v>37</v>
      </c>
      <c r="C408" s="2">
        <v>1992</v>
      </c>
      <c r="D408" s="2">
        <v>22</v>
      </c>
      <c r="E408" s="2">
        <v>14</v>
      </c>
      <c r="F408" s="2">
        <v>8</v>
      </c>
      <c r="G408" s="1" t="s">
        <v>7</v>
      </c>
    </row>
    <row r="409" spans="1:7" hidden="1">
      <c r="A409" t="s">
        <v>72</v>
      </c>
      <c r="B409" s="1" t="s">
        <v>38</v>
      </c>
      <c r="C409" s="2">
        <v>1993</v>
      </c>
      <c r="D409" s="2">
        <v>20</v>
      </c>
      <c r="E409" s="2">
        <v>11</v>
      </c>
      <c r="F409" s="2">
        <v>9</v>
      </c>
      <c r="G409" s="1" t="s">
        <v>7</v>
      </c>
    </row>
    <row r="410" spans="1:7" hidden="1">
      <c r="A410" t="s">
        <v>72</v>
      </c>
      <c r="B410" s="1" t="s">
        <v>39</v>
      </c>
      <c r="C410" s="2">
        <v>1994</v>
      </c>
      <c r="D410" s="2">
        <v>25</v>
      </c>
      <c r="E410" s="2">
        <v>11</v>
      </c>
      <c r="F410" s="2">
        <v>14</v>
      </c>
      <c r="G410" s="1" t="s">
        <v>7</v>
      </c>
    </row>
    <row r="411" spans="1:7" hidden="1">
      <c r="A411" t="s">
        <v>72</v>
      </c>
      <c r="B411" s="1" t="s">
        <v>40</v>
      </c>
      <c r="C411" s="2">
        <v>1995</v>
      </c>
      <c r="D411" s="2">
        <v>29</v>
      </c>
      <c r="E411" s="2">
        <v>16</v>
      </c>
      <c r="F411" s="2">
        <v>13</v>
      </c>
      <c r="G411" s="1" t="s">
        <v>7</v>
      </c>
    </row>
    <row r="412" spans="1:7" hidden="1">
      <c r="A412" t="s">
        <v>72</v>
      </c>
      <c r="B412" s="1" t="s">
        <v>41</v>
      </c>
      <c r="C412" s="2">
        <v>1996</v>
      </c>
      <c r="D412" s="2">
        <v>18</v>
      </c>
      <c r="E412" s="2">
        <v>12</v>
      </c>
      <c r="F412" s="2">
        <v>6</v>
      </c>
      <c r="G412" s="1" t="s">
        <v>7</v>
      </c>
    </row>
    <row r="413" spans="1:7" hidden="1">
      <c r="A413" t="s">
        <v>72</v>
      </c>
      <c r="B413" s="1" t="s">
        <v>42</v>
      </c>
      <c r="C413" s="2">
        <v>1997</v>
      </c>
      <c r="D413" s="2">
        <v>22</v>
      </c>
      <c r="E413" s="2">
        <v>13</v>
      </c>
      <c r="F413" s="2">
        <v>9</v>
      </c>
      <c r="G413" s="1" t="s">
        <v>7</v>
      </c>
    </row>
    <row r="414" spans="1:7" hidden="1">
      <c r="A414" t="s">
        <v>72</v>
      </c>
      <c r="B414" s="1" t="s">
        <v>43</v>
      </c>
      <c r="C414" s="2">
        <v>1998</v>
      </c>
      <c r="D414" s="2">
        <v>14</v>
      </c>
      <c r="E414" s="2">
        <v>10</v>
      </c>
      <c r="F414" s="2">
        <v>4</v>
      </c>
      <c r="G414" s="1" t="s">
        <v>7</v>
      </c>
    </row>
    <row r="415" spans="1:7" hidden="1">
      <c r="A415" t="s">
        <v>72</v>
      </c>
      <c r="B415" s="1" t="s">
        <v>44</v>
      </c>
      <c r="C415" s="2">
        <v>1999</v>
      </c>
      <c r="D415" s="2">
        <v>9</v>
      </c>
      <c r="E415" s="2">
        <v>7</v>
      </c>
      <c r="F415" s="2">
        <v>2</v>
      </c>
      <c r="G415" s="1" t="s">
        <v>7</v>
      </c>
    </row>
    <row r="416" spans="1:7" hidden="1">
      <c r="A416" t="s">
        <v>72</v>
      </c>
      <c r="B416" s="1" t="s">
        <v>45</v>
      </c>
      <c r="C416" s="2">
        <v>2000</v>
      </c>
      <c r="D416" s="2">
        <v>24</v>
      </c>
      <c r="E416" s="2">
        <v>12</v>
      </c>
      <c r="F416" s="2">
        <v>12</v>
      </c>
      <c r="G416" s="1" t="s">
        <v>7</v>
      </c>
    </row>
    <row r="417" spans="1:7" hidden="1">
      <c r="A417" t="s">
        <v>72</v>
      </c>
      <c r="B417" s="1" t="s">
        <v>46</v>
      </c>
      <c r="C417" s="2">
        <v>2001</v>
      </c>
      <c r="D417" s="2">
        <v>16</v>
      </c>
      <c r="E417" s="2">
        <v>11</v>
      </c>
      <c r="F417" s="2">
        <v>5</v>
      </c>
      <c r="G417" s="1" t="s">
        <v>7</v>
      </c>
    </row>
    <row r="418" spans="1:7" hidden="1">
      <c r="A418" t="s">
        <v>72</v>
      </c>
      <c r="B418" s="1" t="s">
        <v>47</v>
      </c>
      <c r="C418" s="2">
        <v>2002</v>
      </c>
      <c r="D418" s="2">
        <v>19</v>
      </c>
      <c r="E418" s="2">
        <v>11</v>
      </c>
      <c r="F418" s="2">
        <v>8</v>
      </c>
      <c r="G418" s="1" t="s">
        <v>7</v>
      </c>
    </row>
    <row r="419" spans="1:7" hidden="1">
      <c r="A419" t="s">
        <v>72</v>
      </c>
      <c r="B419" s="1" t="s">
        <v>48</v>
      </c>
      <c r="C419" s="2">
        <v>2003</v>
      </c>
      <c r="D419" s="2">
        <v>13</v>
      </c>
      <c r="E419" s="2">
        <v>4</v>
      </c>
      <c r="F419" s="2">
        <v>9</v>
      </c>
      <c r="G419" s="1" t="s">
        <v>7</v>
      </c>
    </row>
    <row r="420" spans="1:7" hidden="1">
      <c r="A420" t="s">
        <v>72</v>
      </c>
      <c r="B420" s="1" t="s">
        <v>49</v>
      </c>
      <c r="C420" s="2">
        <v>2004</v>
      </c>
      <c r="D420" s="2">
        <v>15</v>
      </c>
      <c r="E420" s="2">
        <v>7</v>
      </c>
      <c r="F420" s="2">
        <v>8</v>
      </c>
      <c r="G420" s="1" t="s">
        <v>7</v>
      </c>
    </row>
    <row r="421" spans="1:7" hidden="1">
      <c r="A421" t="s">
        <v>72</v>
      </c>
      <c r="B421" s="1" t="s">
        <v>50</v>
      </c>
      <c r="C421" s="2">
        <v>2005</v>
      </c>
      <c r="D421" s="2">
        <v>13</v>
      </c>
      <c r="E421" s="2">
        <v>5</v>
      </c>
      <c r="F421" s="2">
        <v>8</v>
      </c>
      <c r="G421" s="1" t="s">
        <v>7</v>
      </c>
    </row>
    <row r="422" spans="1:7" hidden="1">
      <c r="A422" t="s">
        <v>72</v>
      </c>
      <c r="B422" s="1" t="s">
        <v>51</v>
      </c>
      <c r="C422" s="2">
        <v>2006</v>
      </c>
      <c r="D422" s="2">
        <v>14</v>
      </c>
      <c r="E422" s="2">
        <v>9</v>
      </c>
      <c r="F422" s="2">
        <v>5</v>
      </c>
      <c r="G422" s="1" t="s">
        <v>7</v>
      </c>
    </row>
    <row r="423" spans="1:7" hidden="1">
      <c r="A423" t="s">
        <v>72</v>
      </c>
      <c r="B423" s="1" t="s">
        <v>52</v>
      </c>
      <c r="C423" s="2">
        <v>2007</v>
      </c>
      <c r="D423" s="2">
        <v>14</v>
      </c>
      <c r="E423" s="2">
        <v>5</v>
      </c>
      <c r="F423" s="2">
        <v>9</v>
      </c>
      <c r="G423" s="1" t="s">
        <v>7</v>
      </c>
    </row>
    <row r="424" spans="1:7" hidden="1">
      <c r="A424" t="s">
        <v>72</v>
      </c>
      <c r="B424" s="1" t="s">
        <v>53</v>
      </c>
      <c r="C424" s="2">
        <v>2008</v>
      </c>
      <c r="D424" s="2">
        <v>17</v>
      </c>
      <c r="E424" s="2">
        <v>11</v>
      </c>
      <c r="F424" s="2">
        <v>6</v>
      </c>
      <c r="G424" s="1" t="s">
        <v>7</v>
      </c>
    </row>
    <row r="425" spans="1:7" hidden="1">
      <c r="A425" t="s">
        <v>72</v>
      </c>
      <c r="B425" s="1" t="s">
        <v>54</v>
      </c>
      <c r="C425" s="2">
        <v>2009</v>
      </c>
      <c r="D425" s="2">
        <v>18</v>
      </c>
      <c r="E425" s="2">
        <v>11</v>
      </c>
      <c r="F425" s="2">
        <v>7</v>
      </c>
      <c r="G425" s="1" t="s">
        <v>7</v>
      </c>
    </row>
    <row r="426" spans="1:7" hidden="1">
      <c r="A426" t="s">
        <v>72</v>
      </c>
      <c r="B426" s="1" t="s">
        <v>55</v>
      </c>
      <c r="C426" s="2">
        <v>2010</v>
      </c>
      <c r="D426" s="2">
        <v>13</v>
      </c>
      <c r="E426" s="2">
        <v>8</v>
      </c>
      <c r="F426" s="2">
        <v>5</v>
      </c>
      <c r="G426" s="1" t="s">
        <v>7</v>
      </c>
    </row>
    <row r="427" spans="1:7" hidden="1">
      <c r="A427" t="s">
        <v>72</v>
      </c>
      <c r="B427" s="1" t="s">
        <v>56</v>
      </c>
      <c r="C427" s="2">
        <v>2011</v>
      </c>
      <c r="D427" s="2">
        <v>11</v>
      </c>
      <c r="E427" s="2">
        <v>4</v>
      </c>
      <c r="F427" s="2">
        <v>7</v>
      </c>
      <c r="G427" s="1" t="s">
        <v>7</v>
      </c>
    </row>
    <row r="428" spans="1:7" hidden="1">
      <c r="A428" t="s">
        <v>72</v>
      </c>
      <c r="B428" s="1" t="s">
        <v>57</v>
      </c>
      <c r="C428" s="2">
        <v>2012</v>
      </c>
      <c r="D428" s="2">
        <v>19</v>
      </c>
      <c r="E428" s="2">
        <v>12</v>
      </c>
      <c r="F428" s="2">
        <v>7</v>
      </c>
      <c r="G428" s="1" t="s">
        <v>7</v>
      </c>
    </row>
    <row r="429" spans="1:7" hidden="1">
      <c r="A429" t="s">
        <v>72</v>
      </c>
      <c r="B429" s="1" t="s">
        <v>58</v>
      </c>
      <c r="C429" s="2">
        <v>2013</v>
      </c>
      <c r="D429" s="2">
        <v>9</v>
      </c>
      <c r="E429" s="2">
        <v>2</v>
      </c>
      <c r="F429" s="2">
        <v>7</v>
      </c>
      <c r="G429" s="1" t="s">
        <v>7</v>
      </c>
    </row>
    <row r="430" spans="1:7" hidden="1">
      <c r="A430" t="s">
        <v>72</v>
      </c>
      <c r="B430" s="1" t="s">
        <v>59</v>
      </c>
      <c r="C430" s="2">
        <v>2014</v>
      </c>
      <c r="D430" s="2">
        <v>8</v>
      </c>
      <c r="E430" s="2">
        <v>5</v>
      </c>
      <c r="F430" s="2">
        <v>3</v>
      </c>
      <c r="G430" s="1" t="s">
        <v>7</v>
      </c>
    </row>
    <row r="431" spans="1:7" hidden="1">
      <c r="A431" t="s">
        <v>72</v>
      </c>
      <c r="B431" s="1" t="s">
        <v>60</v>
      </c>
      <c r="C431" s="2">
        <v>2015</v>
      </c>
      <c r="D431" s="2">
        <v>17</v>
      </c>
      <c r="E431" s="2">
        <v>12</v>
      </c>
      <c r="F431" s="2">
        <v>5</v>
      </c>
      <c r="G431" s="1" t="s">
        <v>7</v>
      </c>
    </row>
    <row r="432" spans="1:7" hidden="1">
      <c r="A432" t="s">
        <v>72</v>
      </c>
      <c r="B432" s="1" t="s">
        <v>61</v>
      </c>
      <c r="C432" s="2">
        <v>2016</v>
      </c>
      <c r="D432" s="2">
        <v>16</v>
      </c>
      <c r="E432" s="2">
        <v>12</v>
      </c>
      <c r="F432" s="2">
        <v>4</v>
      </c>
      <c r="G432" s="1" t="s">
        <v>7</v>
      </c>
    </row>
    <row r="433" spans="1:7" hidden="1">
      <c r="A433" t="s">
        <v>72</v>
      </c>
      <c r="B433" s="1" t="s">
        <v>62</v>
      </c>
      <c r="C433" s="2">
        <v>2017</v>
      </c>
      <c r="D433" s="2">
        <v>9</v>
      </c>
      <c r="E433" s="2">
        <v>5</v>
      </c>
      <c r="F433" s="2">
        <v>4</v>
      </c>
      <c r="G433" s="1" t="s">
        <v>7</v>
      </c>
    </row>
    <row r="434" spans="1:7" hidden="1">
      <c r="A434" t="s">
        <v>72</v>
      </c>
      <c r="B434" s="1" t="s">
        <v>63</v>
      </c>
      <c r="C434" s="2">
        <v>2018</v>
      </c>
      <c r="D434" s="2">
        <v>16</v>
      </c>
      <c r="E434" s="2">
        <v>9</v>
      </c>
      <c r="F434" s="2">
        <v>7</v>
      </c>
      <c r="G434" s="1" t="s">
        <v>7</v>
      </c>
    </row>
    <row r="435" spans="1:7" hidden="1">
      <c r="A435" t="s">
        <v>72</v>
      </c>
      <c r="B435" s="1" t="s">
        <v>64</v>
      </c>
      <c r="C435" s="2">
        <v>2019</v>
      </c>
      <c r="D435" s="2">
        <v>14</v>
      </c>
      <c r="E435" s="2">
        <v>6</v>
      </c>
      <c r="F435" s="2">
        <v>8</v>
      </c>
      <c r="G435" s="1" t="s">
        <v>7</v>
      </c>
    </row>
    <row r="436" spans="1:7" hidden="1">
      <c r="A436" t="s">
        <v>72</v>
      </c>
      <c r="B436" s="1" t="s">
        <v>65</v>
      </c>
      <c r="C436" s="2">
        <v>2020</v>
      </c>
      <c r="D436" s="2">
        <v>10</v>
      </c>
      <c r="E436" s="2">
        <v>4</v>
      </c>
      <c r="F436" s="2">
        <v>6</v>
      </c>
      <c r="G436" s="1" t="s">
        <v>7</v>
      </c>
    </row>
    <row r="437" spans="1:7" hidden="1">
      <c r="A437" t="s">
        <v>72</v>
      </c>
      <c r="B437" s="1" t="s">
        <v>66</v>
      </c>
      <c r="C437" s="2">
        <v>2021</v>
      </c>
      <c r="D437" s="2">
        <v>19</v>
      </c>
      <c r="E437" s="2">
        <v>9</v>
      </c>
      <c r="F437" s="2">
        <v>10</v>
      </c>
      <c r="G437" s="1" t="s">
        <v>7</v>
      </c>
    </row>
    <row r="438" spans="1:7" hidden="1">
      <c r="A438" t="s">
        <v>72</v>
      </c>
      <c r="B438" s="1" t="s">
        <v>67</v>
      </c>
      <c r="C438" s="2">
        <v>2022</v>
      </c>
      <c r="D438" s="2">
        <v>7</v>
      </c>
      <c r="E438" s="2">
        <v>3</v>
      </c>
      <c r="F438" s="2">
        <v>4</v>
      </c>
      <c r="G438" s="1" t="s">
        <v>7</v>
      </c>
    </row>
    <row r="439" spans="1:7" hidden="1">
      <c r="A439" t="s">
        <v>72</v>
      </c>
      <c r="B439" s="1" t="s">
        <v>68</v>
      </c>
      <c r="C439" s="2">
        <v>2023</v>
      </c>
      <c r="D439" s="2">
        <v>13</v>
      </c>
      <c r="E439" s="2">
        <v>7</v>
      </c>
      <c r="F439" s="2">
        <v>6</v>
      </c>
      <c r="G439" s="1" t="s">
        <v>7</v>
      </c>
    </row>
    <row r="440" spans="1:7" hidden="1">
      <c r="A440" t="s">
        <v>72</v>
      </c>
      <c r="B440" s="1" t="s">
        <v>69</v>
      </c>
      <c r="C440" s="2">
        <v>2024</v>
      </c>
      <c r="D440" s="2">
        <v>10</v>
      </c>
      <c r="E440" s="2">
        <v>5</v>
      </c>
      <c r="F440" s="2">
        <v>5</v>
      </c>
      <c r="G440" s="1" t="s">
        <v>7</v>
      </c>
    </row>
    <row r="441" spans="1:7" hidden="1">
      <c r="A441" t="s">
        <v>72</v>
      </c>
      <c r="B441" s="1" t="s">
        <v>6</v>
      </c>
      <c r="C441" s="2">
        <v>1990</v>
      </c>
      <c r="D441" s="2">
        <v>2</v>
      </c>
      <c r="E441" s="2">
        <v>1</v>
      </c>
      <c r="F441" s="2">
        <v>1</v>
      </c>
      <c r="G441" s="1" t="s">
        <v>7</v>
      </c>
    </row>
    <row r="442" spans="1:7" hidden="1">
      <c r="A442" t="s">
        <v>72</v>
      </c>
      <c r="B442" s="1" t="s">
        <v>6</v>
      </c>
      <c r="C442" s="2">
        <v>1991</v>
      </c>
      <c r="D442" s="2">
        <v>2</v>
      </c>
      <c r="E442" s="2">
        <v>2</v>
      </c>
      <c r="F442" s="1" t="s">
        <v>7</v>
      </c>
      <c r="G442" s="1" t="s">
        <v>7</v>
      </c>
    </row>
    <row r="443" spans="1:7" hidden="1">
      <c r="A443" t="s">
        <v>72</v>
      </c>
      <c r="B443" s="1" t="s">
        <v>6</v>
      </c>
      <c r="C443" s="2">
        <v>1992</v>
      </c>
      <c r="D443" s="2">
        <v>5</v>
      </c>
      <c r="E443" s="2">
        <v>3</v>
      </c>
      <c r="F443" s="2">
        <v>2</v>
      </c>
      <c r="G443" s="1" t="s">
        <v>7</v>
      </c>
    </row>
    <row r="444" spans="1:7" hidden="1">
      <c r="A444" t="s">
        <v>72</v>
      </c>
      <c r="B444" s="1" t="s">
        <v>6</v>
      </c>
      <c r="C444" s="2">
        <v>1993</v>
      </c>
      <c r="D444" s="2">
        <v>2</v>
      </c>
      <c r="E444" s="2">
        <v>1</v>
      </c>
      <c r="F444" s="2">
        <v>1</v>
      </c>
      <c r="G444" s="1" t="s">
        <v>7</v>
      </c>
    </row>
    <row r="445" spans="1:7" hidden="1">
      <c r="A445" t="s">
        <v>72</v>
      </c>
      <c r="B445" s="1" t="s">
        <v>6</v>
      </c>
      <c r="C445" s="2">
        <v>1996</v>
      </c>
      <c r="D445" s="2">
        <v>1</v>
      </c>
      <c r="E445" s="2">
        <v>1</v>
      </c>
      <c r="F445" s="1" t="s">
        <v>7</v>
      </c>
      <c r="G445" s="1" t="s">
        <v>7</v>
      </c>
    </row>
    <row r="446" spans="1:7" hidden="1">
      <c r="A446" t="s">
        <v>73</v>
      </c>
      <c r="B446" s="1" t="s">
        <v>3</v>
      </c>
      <c r="C446" s="2">
        <v>1990</v>
      </c>
      <c r="D446" s="2">
        <v>34</v>
      </c>
      <c r="E446" s="2">
        <v>17</v>
      </c>
      <c r="F446" s="2">
        <v>17</v>
      </c>
      <c r="G446" s="1" t="s">
        <v>7</v>
      </c>
    </row>
    <row r="447" spans="1:7" hidden="1">
      <c r="A447" t="s">
        <v>73</v>
      </c>
      <c r="B447" s="1" t="s">
        <v>3</v>
      </c>
      <c r="C447" s="2">
        <v>1991</v>
      </c>
      <c r="D447" s="2">
        <v>26</v>
      </c>
      <c r="E447" s="2">
        <v>12</v>
      </c>
      <c r="F447" s="2">
        <v>14</v>
      </c>
      <c r="G447" s="1" t="s">
        <v>7</v>
      </c>
    </row>
    <row r="448" spans="1:7" hidden="1">
      <c r="A448" t="s">
        <v>73</v>
      </c>
      <c r="B448" s="1" t="s">
        <v>3</v>
      </c>
      <c r="C448" s="2">
        <v>1992</v>
      </c>
      <c r="D448" s="2">
        <v>20</v>
      </c>
      <c r="E448" s="2">
        <v>13</v>
      </c>
      <c r="F448" s="2">
        <v>7</v>
      </c>
      <c r="G448" s="1" t="s">
        <v>7</v>
      </c>
    </row>
    <row r="449" spans="1:7" hidden="1">
      <c r="A449" t="s">
        <v>73</v>
      </c>
      <c r="B449" s="1" t="s">
        <v>3</v>
      </c>
      <c r="C449" s="2">
        <v>1993</v>
      </c>
      <c r="D449" s="2">
        <v>18</v>
      </c>
      <c r="E449" s="2">
        <v>8</v>
      </c>
      <c r="F449" s="2">
        <v>10</v>
      </c>
      <c r="G449" s="1" t="s">
        <v>7</v>
      </c>
    </row>
    <row r="450" spans="1:7" hidden="1">
      <c r="A450" t="s">
        <v>73</v>
      </c>
      <c r="B450" s="1" t="s">
        <v>3</v>
      </c>
      <c r="C450" s="2">
        <v>1994</v>
      </c>
      <c r="D450" s="2">
        <v>24</v>
      </c>
      <c r="E450" s="2">
        <v>21</v>
      </c>
      <c r="F450" s="2">
        <v>3</v>
      </c>
      <c r="G450" s="1" t="s">
        <v>7</v>
      </c>
    </row>
    <row r="451" spans="1:7" hidden="1">
      <c r="A451" t="s">
        <v>73</v>
      </c>
      <c r="B451" s="1" t="s">
        <v>3</v>
      </c>
      <c r="C451" s="2">
        <v>1995</v>
      </c>
      <c r="D451" s="2">
        <v>13</v>
      </c>
      <c r="E451" s="2">
        <v>9</v>
      </c>
      <c r="F451" s="2">
        <v>4</v>
      </c>
      <c r="G451" s="1" t="s">
        <v>7</v>
      </c>
    </row>
    <row r="452" spans="1:7" hidden="1">
      <c r="A452" t="s">
        <v>73</v>
      </c>
      <c r="B452" s="1" t="s">
        <v>3</v>
      </c>
      <c r="C452" s="2">
        <v>1996</v>
      </c>
      <c r="D452" s="2">
        <v>18</v>
      </c>
      <c r="E452" s="2">
        <v>10</v>
      </c>
      <c r="F452" s="2">
        <v>8</v>
      </c>
      <c r="G452" s="1" t="s">
        <v>7</v>
      </c>
    </row>
    <row r="453" spans="1:7" hidden="1">
      <c r="A453" t="s">
        <v>73</v>
      </c>
      <c r="B453" s="1" t="s">
        <v>3</v>
      </c>
      <c r="C453" s="2">
        <v>1997</v>
      </c>
      <c r="D453" s="2">
        <v>15</v>
      </c>
      <c r="E453" s="2">
        <v>11</v>
      </c>
      <c r="F453" s="2">
        <v>4</v>
      </c>
      <c r="G453" s="1" t="s">
        <v>7</v>
      </c>
    </row>
    <row r="454" spans="1:7" hidden="1">
      <c r="A454" t="s">
        <v>73</v>
      </c>
      <c r="B454" s="1" t="s">
        <v>3</v>
      </c>
      <c r="C454" s="2">
        <v>1998</v>
      </c>
      <c r="D454" s="2">
        <v>19</v>
      </c>
      <c r="E454" s="2">
        <v>11</v>
      </c>
      <c r="F454" s="2">
        <v>8</v>
      </c>
      <c r="G454" s="1" t="s">
        <v>7</v>
      </c>
    </row>
    <row r="455" spans="1:7" hidden="1">
      <c r="A455" t="s">
        <v>73</v>
      </c>
      <c r="B455" s="1" t="s">
        <v>3</v>
      </c>
      <c r="C455" s="2">
        <v>1999</v>
      </c>
      <c r="D455" s="2">
        <v>18</v>
      </c>
      <c r="E455" s="2">
        <v>9</v>
      </c>
      <c r="F455" s="2">
        <v>9</v>
      </c>
      <c r="G455" s="1" t="s">
        <v>7</v>
      </c>
    </row>
    <row r="456" spans="1:7" hidden="1">
      <c r="A456" t="s">
        <v>73</v>
      </c>
      <c r="B456" s="1" t="s">
        <v>3</v>
      </c>
      <c r="C456" s="2">
        <v>2000</v>
      </c>
      <c r="D456" s="2">
        <v>20</v>
      </c>
      <c r="E456" s="2">
        <v>9</v>
      </c>
      <c r="F456" s="2">
        <v>11</v>
      </c>
      <c r="G456" s="1" t="s">
        <v>7</v>
      </c>
    </row>
    <row r="457" spans="1:7" hidden="1">
      <c r="A457" t="s">
        <v>73</v>
      </c>
      <c r="B457" s="1" t="s">
        <v>3</v>
      </c>
      <c r="C457" s="2">
        <v>2001</v>
      </c>
      <c r="D457" s="2">
        <v>20</v>
      </c>
      <c r="E457" s="2">
        <v>11</v>
      </c>
      <c r="F457" s="2">
        <v>9</v>
      </c>
      <c r="G457" s="1" t="s">
        <v>7</v>
      </c>
    </row>
    <row r="458" spans="1:7" hidden="1">
      <c r="A458" t="s">
        <v>73</v>
      </c>
      <c r="B458" s="1" t="s">
        <v>3</v>
      </c>
      <c r="C458" s="2">
        <v>2002</v>
      </c>
      <c r="D458" s="2">
        <v>21</v>
      </c>
      <c r="E458" s="2">
        <v>13</v>
      </c>
      <c r="F458" s="2">
        <v>8</v>
      </c>
      <c r="G458" s="1" t="s">
        <v>7</v>
      </c>
    </row>
    <row r="459" spans="1:7" hidden="1">
      <c r="A459" t="s">
        <v>73</v>
      </c>
      <c r="B459" s="1" t="s">
        <v>3</v>
      </c>
      <c r="C459" s="2">
        <v>2003</v>
      </c>
      <c r="D459" s="2">
        <v>15</v>
      </c>
      <c r="E459" s="2">
        <v>10</v>
      </c>
      <c r="F459" s="2">
        <v>5</v>
      </c>
      <c r="G459" s="1" t="s">
        <v>7</v>
      </c>
    </row>
    <row r="460" spans="1:7" hidden="1">
      <c r="A460" t="s">
        <v>73</v>
      </c>
      <c r="B460" s="1" t="s">
        <v>3</v>
      </c>
      <c r="C460" s="2">
        <v>2004</v>
      </c>
      <c r="D460" s="2">
        <v>18</v>
      </c>
      <c r="E460" s="2">
        <v>14</v>
      </c>
      <c r="F460" s="2">
        <v>4</v>
      </c>
      <c r="G460" s="1" t="s">
        <v>7</v>
      </c>
    </row>
    <row r="461" spans="1:7" hidden="1">
      <c r="A461" t="s">
        <v>73</v>
      </c>
      <c r="B461" s="1" t="s">
        <v>3</v>
      </c>
      <c r="C461" s="2">
        <v>2005</v>
      </c>
      <c r="D461" s="2">
        <v>15</v>
      </c>
      <c r="E461" s="2">
        <v>8</v>
      </c>
      <c r="F461" s="2">
        <v>7</v>
      </c>
      <c r="G461" s="1" t="s">
        <v>7</v>
      </c>
    </row>
    <row r="462" spans="1:7" hidden="1">
      <c r="A462" t="s">
        <v>73</v>
      </c>
      <c r="B462" s="1" t="s">
        <v>3</v>
      </c>
      <c r="C462" s="2">
        <v>2006</v>
      </c>
      <c r="D462" s="2">
        <v>22</v>
      </c>
      <c r="E462" s="2">
        <v>14</v>
      </c>
      <c r="F462" s="2">
        <v>8</v>
      </c>
      <c r="G462" s="1" t="s">
        <v>7</v>
      </c>
    </row>
    <row r="463" spans="1:7" hidden="1">
      <c r="A463" t="s">
        <v>73</v>
      </c>
      <c r="B463" s="1" t="s">
        <v>3</v>
      </c>
      <c r="C463" s="2">
        <v>2007</v>
      </c>
      <c r="D463" s="2">
        <v>19</v>
      </c>
      <c r="E463" s="2">
        <v>13</v>
      </c>
      <c r="F463" s="2">
        <v>6</v>
      </c>
      <c r="G463" s="1" t="s">
        <v>7</v>
      </c>
    </row>
    <row r="464" spans="1:7" hidden="1">
      <c r="A464" t="s">
        <v>73</v>
      </c>
      <c r="B464" s="1" t="s">
        <v>3</v>
      </c>
      <c r="C464" s="2">
        <v>2008</v>
      </c>
      <c r="D464" s="2">
        <v>20</v>
      </c>
      <c r="E464" s="2">
        <v>15</v>
      </c>
      <c r="F464" s="2">
        <v>5</v>
      </c>
      <c r="G464" s="1" t="s">
        <v>7</v>
      </c>
    </row>
    <row r="465" spans="1:7" hidden="1">
      <c r="A465" t="s">
        <v>73</v>
      </c>
      <c r="B465" s="1" t="s">
        <v>3</v>
      </c>
      <c r="C465" s="2">
        <v>2009</v>
      </c>
      <c r="D465" s="2">
        <v>9</v>
      </c>
      <c r="E465" s="2">
        <v>6</v>
      </c>
      <c r="F465" s="2">
        <v>3</v>
      </c>
      <c r="G465" s="1" t="s">
        <v>7</v>
      </c>
    </row>
    <row r="466" spans="1:7">
      <c r="A466" t="s">
        <v>73</v>
      </c>
      <c r="B466" s="1" t="s">
        <v>3</v>
      </c>
      <c r="C466" s="2">
        <v>2010</v>
      </c>
      <c r="D466" s="2">
        <v>13</v>
      </c>
      <c r="E466" s="2">
        <v>6</v>
      </c>
      <c r="F466" s="2">
        <v>7</v>
      </c>
      <c r="G466" s="1" t="s">
        <v>7</v>
      </c>
    </row>
    <row r="467" spans="1:7" hidden="1">
      <c r="A467" t="s">
        <v>73</v>
      </c>
      <c r="B467" s="1" t="s">
        <v>3</v>
      </c>
      <c r="C467" s="2">
        <v>2011</v>
      </c>
      <c r="D467" s="2">
        <v>13</v>
      </c>
      <c r="E467" s="2">
        <v>5</v>
      </c>
      <c r="F467" s="2">
        <v>8</v>
      </c>
      <c r="G467" s="1" t="s">
        <v>7</v>
      </c>
    </row>
    <row r="468" spans="1:7" hidden="1">
      <c r="A468" t="s">
        <v>73</v>
      </c>
      <c r="B468" s="1" t="s">
        <v>3</v>
      </c>
      <c r="C468" s="2">
        <v>2012</v>
      </c>
      <c r="D468" s="2">
        <v>19</v>
      </c>
      <c r="E468" s="2">
        <v>11</v>
      </c>
      <c r="F468" s="2">
        <v>8</v>
      </c>
      <c r="G468" s="1" t="s">
        <v>7</v>
      </c>
    </row>
    <row r="469" spans="1:7" hidden="1">
      <c r="A469" t="s">
        <v>73</v>
      </c>
      <c r="B469" s="1" t="s">
        <v>3</v>
      </c>
      <c r="C469" s="2">
        <v>2013</v>
      </c>
      <c r="D469" s="2">
        <v>24</v>
      </c>
      <c r="E469" s="2">
        <v>16</v>
      </c>
      <c r="F469" s="2">
        <v>8</v>
      </c>
      <c r="G469" s="1" t="s">
        <v>7</v>
      </c>
    </row>
    <row r="470" spans="1:7" hidden="1">
      <c r="A470" t="s">
        <v>73</v>
      </c>
      <c r="B470" s="1" t="s">
        <v>3</v>
      </c>
      <c r="C470" s="2">
        <v>2014</v>
      </c>
      <c r="D470" s="2">
        <v>17</v>
      </c>
      <c r="E470" s="2">
        <v>5</v>
      </c>
      <c r="F470" s="2">
        <v>12</v>
      </c>
      <c r="G470" s="1" t="s">
        <v>7</v>
      </c>
    </row>
    <row r="471" spans="1:7" hidden="1">
      <c r="A471" t="s">
        <v>73</v>
      </c>
      <c r="B471" s="1" t="s">
        <v>3</v>
      </c>
      <c r="C471" s="2">
        <v>2015</v>
      </c>
      <c r="D471" s="2">
        <v>26</v>
      </c>
      <c r="E471" s="2">
        <v>19</v>
      </c>
      <c r="F471" s="2">
        <v>7</v>
      </c>
      <c r="G471" s="1" t="s">
        <v>7</v>
      </c>
    </row>
    <row r="472" spans="1:7" hidden="1">
      <c r="A472" t="s">
        <v>73</v>
      </c>
      <c r="B472" s="1" t="s">
        <v>3</v>
      </c>
      <c r="C472" s="2">
        <v>2016</v>
      </c>
      <c r="D472" s="2">
        <v>17</v>
      </c>
      <c r="E472" s="2">
        <v>14</v>
      </c>
      <c r="F472" s="2">
        <v>3</v>
      </c>
      <c r="G472" s="1" t="s">
        <v>7</v>
      </c>
    </row>
    <row r="473" spans="1:7" hidden="1">
      <c r="A473" t="s">
        <v>73</v>
      </c>
      <c r="B473" s="1" t="s">
        <v>3</v>
      </c>
      <c r="C473" s="2">
        <v>2017</v>
      </c>
      <c r="D473" s="2">
        <v>20</v>
      </c>
      <c r="E473" s="2">
        <v>8</v>
      </c>
      <c r="F473" s="2">
        <v>12</v>
      </c>
      <c r="G473" s="1" t="s">
        <v>7</v>
      </c>
    </row>
    <row r="474" spans="1:7" hidden="1">
      <c r="A474" t="s">
        <v>73</v>
      </c>
      <c r="B474" s="1" t="s">
        <v>3</v>
      </c>
      <c r="C474" s="2">
        <v>2018</v>
      </c>
      <c r="D474" s="2">
        <v>16</v>
      </c>
      <c r="E474" s="2">
        <v>10</v>
      </c>
      <c r="F474" s="2">
        <v>6</v>
      </c>
      <c r="G474" s="1" t="s">
        <v>7</v>
      </c>
    </row>
    <row r="475" spans="1:7">
      <c r="A475" t="s">
        <v>73</v>
      </c>
      <c r="B475" s="1" t="s">
        <v>3</v>
      </c>
      <c r="C475" s="2">
        <v>2019</v>
      </c>
      <c r="D475" s="2">
        <v>12</v>
      </c>
      <c r="E475" s="2">
        <v>7</v>
      </c>
      <c r="F475" s="2">
        <v>5</v>
      </c>
      <c r="G475" s="1" t="s">
        <v>7</v>
      </c>
    </row>
    <row r="476" spans="1:7" hidden="1">
      <c r="A476" t="s">
        <v>73</v>
      </c>
      <c r="B476" s="1" t="s">
        <v>3</v>
      </c>
      <c r="C476" s="2">
        <v>2020</v>
      </c>
      <c r="D476" s="2">
        <v>6</v>
      </c>
      <c r="E476" s="2">
        <v>4</v>
      </c>
      <c r="F476" s="2">
        <v>2</v>
      </c>
      <c r="G476" s="1" t="s">
        <v>7</v>
      </c>
    </row>
    <row r="477" spans="1:7">
      <c r="A477" t="s">
        <v>73</v>
      </c>
      <c r="B477" s="1" t="s">
        <v>3</v>
      </c>
      <c r="C477" s="2">
        <v>2021</v>
      </c>
      <c r="D477" s="2">
        <v>18</v>
      </c>
      <c r="E477" s="2">
        <v>8</v>
      </c>
      <c r="F477" s="2">
        <v>10</v>
      </c>
      <c r="G477" s="1" t="s">
        <v>7</v>
      </c>
    </row>
    <row r="478" spans="1:7" hidden="1">
      <c r="A478" t="s">
        <v>73</v>
      </c>
      <c r="B478" s="1" t="s">
        <v>3</v>
      </c>
      <c r="C478" s="2">
        <v>2022</v>
      </c>
      <c r="D478" s="2">
        <v>20</v>
      </c>
      <c r="E478" s="2">
        <v>12</v>
      </c>
      <c r="F478" s="2">
        <v>8</v>
      </c>
      <c r="G478" s="1" t="s">
        <v>7</v>
      </c>
    </row>
    <row r="479" spans="1:7" hidden="1">
      <c r="A479" t="s">
        <v>73</v>
      </c>
      <c r="B479" s="1" t="s">
        <v>3</v>
      </c>
      <c r="C479" s="2">
        <v>2023</v>
      </c>
      <c r="D479" s="2">
        <v>16</v>
      </c>
      <c r="E479" s="2">
        <v>9</v>
      </c>
      <c r="F479" s="2">
        <v>7</v>
      </c>
      <c r="G479" s="1" t="s">
        <v>7</v>
      </c>
    </row>
    <row r="480" spans="1:7" hidden="1">
      <c r="A480" t="s">
        <v>73</v>
      </c>
      <c r="B480" s="1" t="s">
        <v>3</v>
      </c>
      <c r="C480" s="2">
        <v>2024</v>
      </c>
      <c r="D480" s="2">
        <v>20</v>
      </c>
      <c r="E480" s="2">
        <v>13</v>
      </c>
      <c r="F480" s="2">
        <v>7</v>
      </c>
      <c r="G480" s="1" t="s">
        <v>7</v>
      </c>
    </row>
    <row r="481" spans="1:7" hidden="1">
      <c r="A481" t="s">
        <v>73</v>
      </c>
      <c r="B481" s="1" t="s">
        <v>35</v>
      </c>
      <c r="C481" s="2">
        <v>1990</v>
      </c>
      <c r="D481" s="2">
        <v>34</v>
      </c>
      <c r="E481" s="2">
        <v>17</v>
      </c>
      <c r="F481" s="2">
        <v>17</v>
      </c>
      <c r="G481" s="1" t="s">
        <v>7</v>
      </c>
    </row>
    <row r="482" spans="1:7" hidden="1">
      <c r="A482" t="s">
        <v>73</v>
      </c>
      <c r="B482" s="1" t="s">
        <v>36</v>
      </c>
      <c r="C482" s="2">
        <v>1991</v>
      </c>
      <c r="D482" s="2">
        <v>22</v>
      </c>
      <c r="E482" s="2">
        <v>9</v>
      </c>
      <c r="F482" s="2">
        <v>13</v>
      </c>
      <c r="G482" s="1" t="s">
        <v>7</v>
      </c>
    </row>
    <row r="483" spans="1:7" hidden="1">
      <c r="A483" t="s">
        <v>73</v>
      </c>
      <c r="B483" s="1" t="s">
        <v>37</v>
      </c>
      <c r="C483" s="2">
        <v>1992</v>
      </c>
      <c r="D483" s="2">
        <v>18</v>
      </c>
      <c r="E483" s="2">
        <v>12</v>
      </c>
      <c r="F483" s="2">
        <v>6</v>
      </c>
      <c r="G483" s="1" t="s">
        <v>7</v>
      </c>
    </row>
    <row r="484" spans="1:7" hidden="1">
      <c r="A484" t="s">
        <v>73</v>
      </c>
      <c r="B484" s="1" t="s">
        <v>38</v>
      </c>
      <c r="C484" s="2">
        <v>1993</v>
      </c>
      <c r="D484" s="2">
        <v>18</v>
      </c>
      <c r="E484" s="2">
        <v>8</v>
      </c>
      <c r="F484" s="2">
        <v>10</v>
      </c>
      <c r="G484" s="1" t="s">
        <v>7</v>
      </c>
    </row>
    <row r="485" spans="1:7" hidden="1">
      <c r="A485" t="s">
        <v>73</v>
      </c>
      <c r="B485" s="1" t="s">
        <v>39</v>
      </c>
      <c r="C485" s="2">
        <v>1994</v>
      </c>
      <c r="D485" s="2">
        <v>24</v>
      </c>
      <c r="E485" s="2">
        <v>21</v>
      </c>
      <c r="F485" s="2">
        <v>3</v>
      </c>
      <c r="G485" s="1" t="s">
        <v>7</v>
      </c>
    </row>
    <row r="486" spans="1:7" hidden="1">
      <c r="A486" t="s">
        <v>73</v>
      </c>
      <c r="B486" s="1" t="s">
        <v>40</v>
      </c>
      <c r="C486" s="2">
        <v>1995</v>
      </c>
      <c r="D486" s="2">
        <v>13</v>
      </c>
      <c r="E486" s="2">
        <v>9</v>
      </c>
      <c r="F486" s="2">
        <v>4</v>
      </c>
      <c r="G486" s="1" t="s">
        <v>7</v>
      </c>
    </row>
    <row r="487" spans="1:7" hidden="1">
      <c r="A487" t="s">
        <v>73</v>
      </c>
      <c r="B487" s="1" t="s">
        <v>41</v>
      </c>
      <c r="C487" s="2">
        <v>1996</v>
      </c>
      <c r="D487" s="2">
        <v>18</v>
      </c>
      <c r="E487" s="2">
        <v>10</v>
      </c>
      <c r="F487" s="2">
        <v>8</v>
      </c>
      <c r="G487" s="1" t="s">
        <v>7</v>
      </c>
    </row>
    <row r="488" spans="1:7" hidden="1">
      <c r="A488" t="s">
        <v>73</v>
      </c>
      <c r="B488" s="1" t="s">
        <v>42</v>
      </c>
      <c r="C488" s="2">
        <v>1997</v>
      </c>
      <c r="D488" s="2">
        <v>15</v>
      </c>
      <c r="E488" s="2">
        <v>11</v>
      </c>
      <c r="F488" s="2">
        <v>4</v>
      </c>
      <c r="G488" s="1" t="s">
        <v>7</v>
      </c>
    </row>
    <row r="489" spans="1:7" hidden="1">
      <c r="A489" t="s">
        <v>73</v>
      </c>
      <c r="B489" s="1" t="s">
        <v>43</v>
      </c>
      <c r="C489" s="2">
        <v>1998</v>
      </c>
      <c r="D489" s="2">
        <v>19</v>
      </c>
      <c r="E489" s="2">
        <v>11</v>
      </c>
      <c r="F489" s="2">
        <v>8</v>
      </c>
      <c r="G489" s="1" t="s">
        <v>7</v>
      </c>
    </row>
    <row r="490" spans="1:7" hidden="1">
      <c r="A490" t="s">
        <v>73</v>
      </c>
      <c r="B490" s="1" t="s">
        <v>44</v>
      </c>
      <c r="C490" s="2">
        <v>1999</v>
      </c>
      <c r="D490" s="2">
        <v>18</v>
      </c>
      <c r="E490" s="2">
        <v>9</v>
      </c>
      <c r="F490" s="2">
        <v>9</v>
      </c>
      <c r="G490" s="1" t="s">
        <v>7</v>
      </c>
    </row>
    <row r="491" spans="1:7" hidden="1">
      <c r="A491" t="s">
        <v>73</v>
      </c>
      <c r="B491" s="1" t="s">
        <v>45</v>
      </c>
      <c r="C491" s="2">
        <v>2000</v>
      </c>
      <c r="D491" s="2">
        <v>20</v>
      </c>
      <c r="E491" s="2">
        <v>9</v>
      </c>
      <c r="F491" s="2">
        <v>11</v>
      </c>
      <c r="G491" s="1" t="s">
        <v>7</v>
      </c>
    </row>
    <row r="492" spans="1:7" hidden="1">
      <c r="A492" t="s">
        <v>73</v>
      </c>
      <c r="B492" s="1" t="s">
        <v>46</v>
      </c>
      <c r="C492" s="2">
        <v>2001</v>
      </c>
      <c r="D492" s="2">
        <v>20</v>
      </c>
      <c r="E492" s="2">
        <v>11</v>
      </c>
      <c r="F492" s="2">
        <v>9</v>
      </c>
      <c r="G492" s="1" t="s">
        <v>7</v>
      </c>
    </row>
    <row r="493" spans="1:7" hidden="1">
      <c r="A493" t="s">
        <v>73</v>
      </c>
      <c r="B493" s="1" t="s">
        <v>46</v>
      </c>
      <c r="C493" s="2">
        <v>2002</v>
      </c>
      <c r="D493" s="2">
        <v>1</v>
      </c>
      <c r="E493" s="1" t="s">
        <v>7</v>
      </c>
      <c r="F493" s="2">
        <v>1</v>
      </c>
      <c r="G493" s="1" t="s">
        <v>7</v>
      </c>
    </row>
    <row r="494" spans="1:7" hidden="1">
      <c r="A494" t="s">
        <v>73</v>
      </c>
      <c r="B494" s="1" t="s">
        <v>47</v>
      </c>
      <c r="C494" s="2">
        <v>2002</v>
      </c>
      <c r="D494" s="2">
        <v>20</v>
      </c>
      <c r="E494" s="2">
        <v>13</v>
      </c>
      <c r="F494" s="2">
        <v>7</v>
      </c>
      <c r="G494" s="1" t="s">
        <v>7</v>
      </c>
    </row>
    <row r="495" spans="1:7" hidden="1">
      <c r="A495" t="s">
        <v>73</v>
      </c>
      <c r="B495" s="1" t="s">
        <v>48</v>
      </c>
      <c r="C495" s="2">
        <v>2003</v>
      </c>
      <c r="D495" s="2">
        <v>15</v>
      </c>
      <c r="E495" s="2">
        <v>10</v>
      </c>
      <c r="F495" s="2">
        <v>5</v>
      </c>
      <c r="G495" s="1" t="s">
        <v>7</v>
      </c>
    </row>
    <row r="496" spans="1:7" hidden="1">
      <c r="A496" t="s">
        <v>73</v>
      </c>
      <c r="B496" s="1" t="s">
        <v>49</v>
      </c>
      <c r="C496" s="2">
        <v>2004</v>
      </c>
      <c r="D496" s="2">
        <v>18</v>
      </c>
      <c r="E496" s="2">
        <v>14</v>
      </c>
      <c r="F496" s="2">
        <v>4</v>
      </c>
      <c r="G496" s="1" t="s">
        <v>7</v>
      </c>
    </row>
    <row r="497" spans="1:7" hidden="1">
      <c r="A497" t="s">
        <v>73</v>
      </c>
      <c r="B497" s="1" t="s">
        <v>50</v>
      </c>
      <c r="C497" s="2">
        <v>2005</v>
      </c>
      <c r="D497" s="2">
        <v>15</v>
      </c>
      <c r="E497" s="2">
        <v>8</v>
      </c>
      <c r="F497" s="2">
        <v>7</v>
      </c>
      <c r="G497" s="1" t="s">
        <v>7</v>
      </c>
    </row>
    <row r="498" spans="1:7" hidden="1">
      <c r="A498" t="s">
        <v>73</v>
      </c>
      <c r="B498" s="1" t="s">
        <v>51</v>
      </c>
      <c r="C498" s="2">
        <v>2006</v>
      </c>
      <c r="D498" s="2">
        <v>22</v>
      </c>
      <c r="E498" s="2">
        <v>14</v>
      </c>
      <c r="F498" s="2">
        <v>8</v>
      </c>
      <c r="G498" s="1" t="s">
        <v>7</v>
      </c>
    </row>
    <row r="499" spans="1:7" hidden="1">
      <c r="A499" t="s">
        <v>73</v>
      </c>
      <c r="B499" s="1" t="s">
        <v>52</v>
      </c>
      <c r="C499" s="2">
        <v>2007</v>
      </c>
      <c r="D499" s="2">
        <v>19</v>
      </c>
      <c r="E499" s="2">
        <v>13</v>
      </c>
      <c r="F499" s="2">
        <v>6</v>
      </c>
      <c r="G499" s="1" t="s">
        <v>7</v>
      </c>
    </row>
    <row r="500" spans="1:7" hidden="1">
      <c r="A500" t="s">
        <v>73</v>
      </c>
      <c r="B500" s="1" t="s">
        <v>53</v>
      </c>
      <c r="C500" s="2">
        <v>2008</v>
      </c>
      <c r="D500" s="2">
        <v>20</v>
      </c>
      <c r="E500" s="2">
        <v>15</v>
      </c>
      <c r="F500" s="2">
        <v>5</v>
      </c>
      <c r="G500" s="1" t="s">
        <v>7</v>
      </c>
    </row>
    <row r="501" spans="1:7" hidden="1">
      <c r="A501" t="s">
        <v>73</v>
      </c>
      <c r="B501" s="1" t="s">
        <v>54</v>
      </c>
      <c r="C501" s="2">
        <v>2009</v>
      </c>
      <c r="D501" s="2">
        <v>9</v>
      </c>
      <c r="E501" s="2">
        <v>6</v>
      </c>
      <c r="F501" s="2">
        <v>3</v>
      </c>
      <c r="G501" s="1" t="s">
        <v>7</v>
      </c>
    </row>
    <row r="502" spans="1:7" hidden="1">
      <c r="A502" t="s">
        <v>73</v>
      </c>
      <c r="B502" s="1" t="s">
        <v>55</v>
      </c>
      <c r="C502" s="2">
        <v>2010</v>
      </c>
      <c r="D502" s="2">
        <v>13</v>
      </c>
      <c r="E502" s="2">
        <v>6</v>
      </c>
      <c r="F502" s="2">
        <v>7</v>
      </c>
      <c r="G502" s="1" t="s">
        <v>7</v>
      </c>
    </row>
    <row r="503" spans="1:7" hidden="1">
      <c r="A503" t="s">
        <v>73</v>
      </c>
      <c r="B503" s="1" t="s">
        <v>56</v>
      </c>
      <c r="C503" s="2">
        <v>2011</v>
      </c>
      <c r="D503" s="2">
        <v>13</v>
      </c>
      <c r="E503" s="2">
        <v>5</v>
      </c>
      <c r="F503" s="2">
        <v>8</v>
      </c>
      <c r="G503" s="1" t="s">
        <v>7</v>
      </c>
    </row>
    <row r="504" spans="1:7" hidden="1">
      <c r="A504" t="s">
        <v>73</v>
      </c>
      <c r="B504" s="1" t="s">
        <v>57</v>
      </c>
      <c r="C504" s="2">
        <v>2012</v>
      </c>
      <c r="D504" s="2">
        <v>19</v>
      </c>
      <c r="E504" s="2">
        <v>11</v>
      </c>
      <c r="F504" s="2">
        <v>8</v>
      </c>
      <c r="G504" s="1" t="s">
        <v>7</v>
      </c>
    </row>
    <row r="505" spans="1:7" hidden="1">
      <c r="A505" t="s">
        <v>73</v>
      </c>
      <c r="B505" s="1" t="s">
        <v>58</v>
      </c>
      <c r="C505" s="2">
        <v>2013</v>
      </c>
      <c r="D505" s="2">
        <v>24</v>
      </c>
      <c r="E505" s="2">
        <v>16</v>
      </c>
      <c r="F505" s="2">
        <v>8</v>
      </c>
      <c r="G505" s="1" t="s">
        <v>7</v>
      </c>
    </row>
    <row r="506" spans="1:7" hidden="1">
      <c r="A506" t="s">
        <v>73</v>
      </c>
      <c r="B506" s="1" t="s">
        <v>59</v>
      </c>
      <c r="C506" s="2">
        <v>2014</v>
      </c>
      <c r="D506" s="2">
        <v>17</v>
      </c>
      <c r="E506" s="2">
        <v>5</v>
      </c>
      <c r="F506" s="2">
        <v>12</v>
      </c>
      <c r="G506" s="1" t="s">
        <v>7</v>
      </c>
    </row>
    <row r="507" spans="1:7" hidden="1">
      <c r="A507" t="s">
        <v>73</v>
      </c>
      <c r="B507" s="1" t="s">
        <v>59</v>
      </c>
      <c r="C507" s="2">
        <v>2015</v>
      </c>
      <c r="D507" s="2">
        <v>1</v>
      </c>
      <c r="E507" s="2">
        <v>1</v>
      </c>
      <c r="F507" s="1" t="s">
        <v>7</v>
      </c>
      <c r="G507" s="1" t="s">
        <v>7</v>
      </c>
    </row>
    <row r="508" spans="1:7" hidden="1">
      <c r="A508" t="s">
        <v>73</v>
      </c>
      <c r="B508" s="1" t="s">
        <v>60</v>
      </c>
      <c r="C508" s="2">
        <v>2015</v>
      </c>
      <c r="D508" s="2">
        <v>25</v>
      </c>
      <c r="E508" s="2">
        <v>18</v>
      </c>
      <c r="F508" s="2">
        <v>7</v>
      </c>
      <c r="G508" s="1" t="s">
        <v>7</v>
      </c>
    </row>
    <row r="509" spans="1:7" hidden="1">
      <c r="A509" t="s">
        <v>73</v>
      </c>
      <c r="B509" s="1" t="s">
        <v>61</v>
      </c>
      <c r="C509" s="2">
        <v>2016</v>
      </c>
      <c r="D509" s="2">
        <v>17</v>
      </c>
      <c r="E509" s="2">
        <v>14</v>
      </c>
      <c r="F509" s="2">
        <v>3</v>
      </c>
      <c r="G509" s="1" t="s">
        <v>7</v>
      </c>
    </row>
    <row r="510" spans="1:7" hidden="1">
      <c r="A510" t="s">
        <v>73</v>
      </c>
      <c r="B510" s="1" t="s">
        <v>62</v>
      </c>
      <c r="C510" s="2">
        <v>2017</v>
      </c>
      <c r="D510" s="2">
        <v>20</v>
      </c>
      <c r="E510" s="2">
        <v>8</v>
      </c>
      <c r="F510" s="2">
        <v>12</v>
      </c>
      <c r="G510" s="1" t="s">
        <v>7</v>
      </c>
    </row>
    <row r="511" spans="1:7" hidden="1">
      <c r="A511" t="s">
        <v>73</v>
      </c>
      <c r="B511" s="1" t="s">
        <v>63</v>
      </c>
      <c r="C511" s="2">
        <v>2018</v>
      </c>
      <c r="D511" s="2">
        <v>16</v>
      </c>
      <c r="E511" s="2">
        <v>10</v>
      </c>
      <c r="F511" s="2">
        <v>6</v>
      </c>
      <c r="G511" s="1" t="s">
        <v>7</v>
      </c>
    </row>
    <row r="512" spans="1:7" hidden="1">
      <c r="A512" t="s">
        <v>73</v>
      </c>
      <c r="B512" s="1" t="s">
        <v>64</v>
      </c>
      <c r="C512" s="2">
        <v>2019</v>
      </c>
      <c r="D512" s="2">
        <v>12</v>
      </c>
      <c r="E512" s="2">
        <v>7</v>
      </c>
      <c r="F512" s="2">
        <v>5</v>
      </c>
      <c r="G512" s="1" t="s">
        <v>7</v>
      </c>
    </row>
    <row r="513" spans="1:7" hidden="1">
      <c r="A513" t="s">
        <v>73</v>
      </c>
      <c r="B513" s="1" t="s">
        <v>65</v>
      </c>
      <c r="C513" s="2">
        <v>2020</v>
      </c>
      <c r="D513" s="2">
        <v>6</v>
      </c>
      <c r="E513" s="2">
        <v>4</v>
      </c>
      <c r="F513" s="2">
        <v>2</v>
      </c>
      <c r="G513" s="1" t="s">
        <v>7</v>
      </c>
    </row>
    <row r="514" spans="1:7" hidden="1">
      <c r="A514" t="s">
        <v>73</v>
      </c>
      <c r="B514" s="1" t="s">
        <v>66</v>
      </c>
      <c r="C514" s="2">
        <v>2021</v>
      </c>
      <c r="D514" s="2">
        <v>18</v>
      </c>
      <c r="E514" s="2">
        <v>8</v>
      </c>
      <c r="F514" s="2">
        <v>10</v>
      </c>
      <c r="G514" s="1" t="s">
        <v>7</v>
      </c>
    </row>
    <row r="515" spans="1:7" hidden="1">
      <c r="A515" t="s">
        <v>73</v>
      </c>
      <c r="B515" s="1" t="s">
        <v>67</v>
      </c>
      <c r="C515" s="2">
        <v>2022</v>
      </c>
      <c r="D515" s="2">
        <v>20</v>
      </c>
      <c r="E515" s="2">
        <v>12</v>
      </c>
      <c r="F515" s="2">
        <v>8</v>
      </c>
      <c r="G515" s="1" t="s">
        <v>7</v>
      </c>
    </row>
    <row r="516" spans="1:7" hidden="1">
      <c r="A516" t="s">
        <v>73</v>
      </c>
      <c r="B516" s="1" t="s">
        <v>68</v>
      </c>
      <c r="C516" s="2">
        <v>2023</v>
      </c>
      <c r="D516" s="2">
        <v>16</v>
      </c>
      <c r="E516" s="2">
        <v>9</v>
      </c>
      <c r="F516" s="2">
        <v>7</v>
      </c>
      <c r="G516" s="1" t="s">
        <v>7</v>
      </c>
    </row>
    <row r="517" spans="1:7" hidden="1">
      <c r="A517" t="s">
        <v>73</v>
      </c>
      <c r="B517" s="1" t="s">
        <v>69</v>
      </c>
      <c r="C517" s="2">
        <v>2024</v>
      </c>
      <c r="D517" s="2">
        <v>20</v>
      </c>
      <c r="E517" s="2">
        <v>13</v>
      </c>
      <c r="F517" s="2">
        <v>7</v>
      </c>
      <c r="G517" s="1" t="s">
        <v>7</v>
      </c>
    </row>
    <row r="518" spans="1:7" hidden="1">
      <c r="A518" t="s">
        <v>73</v>
      </c>
      <c r="B518" s="1" t="s">
        <v>6</v>
      </c>
      <c r="C518" s="2">
        <v>1991</v>
      </c>
      <c r="D518" s="2">
        <v>4</v>
      </c>
      <c r="E518" s="2">
        <v>3</v>
      </c>
      <c r="F518" s="2">
        <v>1</v>
      </c>
      <c r="G518" s="1" t="s">
        <v>7</v>
      </c>
    </row>
    <row r="519" spans="1:7" hidden="1">
      <c r="A519" t="s">
        <v>73</v>
      </c>
      <c r="B519" s="1" t="s">
        <v>6</v>
      </c>
      <c r="C519" s="2">
        <v>1992</v>
      </c>
      <c r="D519" s="2">
        <v>2</v>
      </c>
      <c r="E519" s="2">
        <v>1</v>
      </c>
      <c r="F519" s="2">
        <v>1</v>
      </c>
      <c r="G519" s="1" t="s">
        <v>7</v>
      </c>
    </row>
    <row r="520" spans="1:7" hidden="1">
      <c r="A520" t="s">
        <v>74</v>
      </c>
      <c r="B520" s="1" t="s">
        <v>3</v>
      </c>
      <c r="C520" s="2">
        <v>1990</v>
      </c>
      <c r="D520" s="2">
        <v>51</v>
      </c>
      <c r="E520" s="2">
        <v>39</v>
      </c>
      <c r="F520" s="2">
        <v>12</v>
      </c>
      <c r="G520" s="1" t="s">
        <v>7</v>
      </c>
    </row>
    <row r="521" spans="1:7" hidden="1">
      <c r="A521" t="s">
        <v>74</v>
      </c>
      <c r="B521" s="1" t="s">
        <v>3</v>
      </c>
      <c r="C521" s="2">
        <v>1991</v>
      </c>
      <c r="D521" s="2">
        <v>42</v>
      </c>
      <c r="E521" s="2">
        <v>26</v>
      </c>
      <c r="F521" s="2">
        <v>16</v>
      </c>
      <c r="G521" s="1" t="s">
        <v>7</v>
      </c>
    </row>
    <row r="522" spans="1:7" hidden="1">
      <c r="A522" t="s">
        <v>74</v>
      </c>
      <c r="B522" s="1" t="s">
        <v>3</v>
      </c>
      <c r="C522" s="2">
        <v>1992</v>
      </c>
      <c r="D522" s="2">
        <v>64</v>
      </c>
      <c r="E522" s="2">
        <v>40</v>
      </c>
      <c r="F522" s="2">
        <v>24</v>
      </c>
      <c r="G522" s="1" t="s">
        <v>7</v>
      </c>
    </row>
    <row r="523" spans="1:7" hidden="1">
      <c r="A523" t="s">
        <v>74</v>
      </c>
      <c r="B523" s="1" t="s">
        <v>3</v>
      </c>
      <c r="C523" s="2">
        <v>1993</v>
      </c>
      <c r="D523" s="2">
        <v>45</v>
      </c>
      <c r="E523" s="2">
        <v>34</v>
      </c>
      <c r="F523" s="2">
        <v>11</v>
      </c>
      <c r="G523" s="1" t="s">
        <v>7</v>
      </c>
    </row>
    <row r="524" spans="1:7" hidden="1">
      <c r="A524" t="s">
        <v>74</v>
      </c>
      <c r="B524" s="1" t="s">
        <v>3</v>
      </c>
      <c r="C524" s="2">
        <v>1994</v>
      </c>
      <c r="D524" s="2">
        <v>39</v>
      </c>
      <c r="E524" s="2">
        <v>31</v>
      </c>
      <c r="F524" s="2">
        <v>8</v>
      </c>
      <c r="G524" s="1" t="s">
        <v>7</v>
      </c>
    </row>
    <row r="525" spans="1:7" hidden="1">
      <c r="A525" t="s">
        <v>74</v>
      </c>
      <c r="B525" s="1" t="s">
        <v>3</v>
      </c>
      <c r="C525" s="2">
        <v>1995</v>
      </c>
      <c r="D525" s="2">
        <v>51</v>
      </c>
      <c r="E525" s="2">
        <v>38</v>
      </c>
      <c r="F525" s="2">
        <v>13</v>
      </c>
      <c r="G525" s="1" t="s">
        <v>7</v>
      </c>
    </row>
    <row r="526" spans="1:7" hidden="1">
      <c r="A526" t="s">
        <v>74</v>
      </c>
      <c r="B526" s="1" t="s">
        <v>3</v>
      </c>
      <c r="C526" s="2">
        <v>1996</v>
      </c>
      <c r="D526" s="2">
        <v>43</v>
      </c>
      <c r="E526" s="2">
        <v>31</v>
      </c>
      <c r="F526" s="2">
        <v>12</v>
      </c>
      <c r="G526" s="1" t="s">
        <v>7</v>
      </c>
    </row>
    <row r="527" spans="1:7" hidden="1">
      <c r="A527" t="s">
        <v>74</v>
      </c>
      <c r="B527" s="1" t="s">
        <v>3</v>
      </c>
      <c r="C527" s="2">
        <v>1997</v>
      </c>
      <c r="D527" s="2">
        <v>37</v>
      </c>
      <c r="E527" s="2">
        <v>29</v>
      </c>
      <c r="F527" s="2">
        <v>8</v>
      </c>
      <c r="G527" s="1" t="s">
        <v>7</v>
      </c>
    </row>
    <row r="528" spans="1:7" hidden="1">
      <c r="A528" t="s">
        <v>74</v>
      </c>
      <c r="B528" s="1" t="s">
        <v>3</v>
      </c>
      <c r="C528" s="2">
        <v>1998</v>
      </c>
      <c r="D528" s="2">
        <v>39</v>
      </c>
      <c r="E528" s="2">
        <v>28</v>
      </c>
      <c r="F528" s="2">
        <v>11</v>
      </c>
      <c r="G528" s="1" t="s">
        <v>7</v>
      </c>
    </row>
    <row r="529" spans="1:7" hidden="1">
      <c r="A529" t="s">
        <v>74</v>
      </c>
      <c r="B529" s="1" t="s">
        <v>3</v>
      </c>
      <c r="C529" s="2">
        <v>1999</v>
      </c>
      <c r="D529" s="2">
        <v>41</v>
      </c>
      <c r="E529" s="2">
        <v>32</v>
      </c>
      <c r="F529" s="2">
        <v>9</v>
      </c>
      <c r="G529" s="1" t="s">
        <v>7</v>
      </c>
    </row>
    <row r="530" spans="1:7" hidden="1">
      <c r="A530" t="s">
        <v>74</v>
      </c>
      <c r="B530" s="1" t="s">
        <v>3</v>
      </c>
      <c r="C530" s="2">
        <v>2000</v>
      </c>
      <c r="D530" s="2">
        <v>46</v>
      </c>
      <c r="E530" s="2">
        <v>34</v>
      </c>
      <c r="F530" s="2">
        <v>12</v>
      </c>
      <c r="G530" s="1" t="s">
        <v>7</v>
      </c>
    </row>
    <row r="531" spans="1:7" hidden="1">
      <c r="A531" t="s">
        <v>74</v>
      </c>
      <c r="B531" s="1" t="s">
        <v>3</v>
      </c>
      <c r="C531" s="2">
        <v>2001</v>
      </c>
      <c r="D531" s="2">
        <v>34</v>
      </c>
      <c r="E531" s="2">
        <v>25</v>
      </c>
      <c r="F531" s="2">
        <v>9</v>
      </c>
      <c r="G531" s="1" t="s">
        <v>7</v>
      </c>
    </row>
    <row r="532" spans="1:7" hidden="1">
      <c r="A532" t="s">
        <v>74</v>
      </c>
      <c r="B532" s="1" t="s">
        <v>3</v>
      </c>
      <c r="C532" s="2">
        <v>2002</v>
      </c>
      <c r="D532" s="2">
        <v>39</v>
      </c>
      <c r="E532" s="2">
        <v>33</v>
      </c>
      <c r="F532" s="2">
        <v>6</v>
      </c>
      <c r="G532" s="1" t="s">
        <v>7</v>
      </c>
    </row>
    <row r="533" spans="1:7" hidden="1">
      <c r="A533" t="s">
        <v>74</v>
      </c>
      <c r="B533" s="1" t="s">
        <v>3</v>
      </c>
      <c r="C533" s="2">
        <v>2003</v>
      </c>
      <c r="D533" s="2">
        <v>47</v>
      </c>
      <c r="E533" s="2">
        <v>33</v>
      </c>
      <c r="F533" s="2">
        <v>14</v>
      </c>
      <c r="G533" s="1" t="s">
        <v>7</v>
      </c>
    </row>
    <row r="534" spans="1:7" hidden="1">
      <c r="A534" t="s">
        <v>74</v>
      </c>
      <c r="B534" s="1" t="s">
        <v>3</v>
      </c>
      <c r="C534" s="2">
        <v>2004</v>
      </c>
      <c r="D534" s="2">
        <v>33</v>
      </c>
      <c r="E534" s="2">
        <v>20</v>
      </c>
      <c r="F534" s="2">
        <v>13</v>
      </c>
      <c r="G534" s="1" t="s">
        <v>7</v>
      </c>
    </row>
    <row r="535" spans="1:7" hidden="1">
      <c r="A535" t="s">
        <v>74</v>
      </c>
      <c r="B535" s="1" t="s">
        <v>3</v>
      </c>
      <c r="C535" s="2">
        <v>2005</v>
      </c>
      <c r="D535" s="2">
        <v>34</v>
      </c>
      <c r="E535" s="2">
        <v>24</v>
      </c>
      <c r="F535" s="2">
        <v>10</v>
      </c>
      <c r="G535" s="1" t="s">
        <v>7</v>
      </c>
    </row>
    <row r="536" spans="1:7" hidden="1">
      <c r="A536" t="s">
        <v>74</v>
      </c>
      <c r="B536" s="1" t="s">
        <v>3</v>
      </c>
      <c r="C536" s="2">
        <v>2006</v>
      </c>
      <c r="D536" s="2">
        <v>39</v>
      </c>
      <c r="E536" s="2">
        <v>27</v>
      </c>
      <c r="F536" s="2">
        <v>12</v>
      </c>
      <c r="G536" s="1" t="s">
        <v>7</v>
      </c>
    </row>
    <row r="537" spans="1:7" hidden="1">
      <c r="A537" t="s">
        <v>74</v>
      </c>
      <c r="B537" s="1" t="s">
        <v>3</v>
      </c>
      <c r="C537" s="2">
        <v>2007</v>
      </c>
      <c r="D537" s="2">
        <v>33</v>
      </c>
      <c r="E537" s="2">
        <v>27</v>
      </c>
      <c r="F537" s="2">
        <v>6</v>
      </c>
      <c r="G537" s="1" t="s">
        <v>7</v>
      </c>
    </row>
    <row r="538" spans="1:7" hidden="1">
      <c r="A538" t="s">
        <v>74</v>
      </c>
      <c r="B538" s="1" t="s">
        <v>3</v>
      </c>
      <c r="C538" s="2">
        <v>2008</v>
      </c>
      <c r="D538" s="2">
        <v>42</v>
      </c>
      <c r="E538" s="2">
        <v>30</v>
      </c>
      <c r="F538" s="2">
        <v>12</v>
      </c>
      <c r="G538" s="1" t="s">
        <v>7</v>
      </c>
    </row>
    <row r="539" spans="1:7" hidden="1">
      <c r="A539" t="s">
        <v>74</v>
      </c>
      <c r="B539" s="1" t="s">
        <v>3</v>
      </c>
      <c r="C539" s="2">
        <v>2009</v>
      </c>
      <c r="D539" s="2">
        <v>37</v>
      </c>
      <c r="E539" s="2">
        <v>25</v>
      </c>
      <c r="F539" s="2">
        <v>12</v>
      </c>
      <c r="G539" s="1" t="s">
        <v>7</v>
      </c>
    </row>
    <row r="540" spans="1:7">
      <c r="A540" t="s">
        <v>74</v>
      </c>
      <c r="B540" s="1" t="s">
        <v>3</v>
      </c>
      <c r="C540" s="2">
        <v>2010</v>
      </c>
      <c r="D540" s="2">
        <v>40</v>
      </c>
      <c r="E540" s="2">
        <v>32</v>
      </c>
      <c r="F540" s="2">
        <v>8</v>
      </c>
      <c r="G540" s="1" t="s">
        <v>7</v>
      </c>
    </row>
    <row r="541" spans="1:7" hidden="1">
      <c r="A541" t="s">
        <v>74</v>
      </c>
      <c r="B541" s="1" t="s">
        <v>3</v>
      </c>
      <c r="C541" s="2">
        <v>2011</v>
      </c>
      <c r="D541" s="2">
        <v>52</v>
      </c>
      <c r="E541" s="2">
        <v>39</v>
      </c>
      <c r="F541" s="2">
        <v>13</v>
      </c>
      <c r="G541" s="1" t="s">
        <v>7</v>
      </c>
    </row>
    <row r="542" spans="1:7" hidden="1">
      <c r="A542" t="s">
        <v>74</v>
      </c>
      <c r="B542" s="1" t="s">
        <v>3</v>
      </c>
      <c r="C542" s="2">
        <v>2012</v>
      </c>
      <c r="D542" s="2">
        <v>55</v>
      </c>
      <c r="E542" s="2">
        <v>40</v>
      </c>
      <c r="F542" s="2">
        <v>15</v>
      </c>
      <c r="G542" s="1" t="s">
        <v>7</v>
      </c>
    </row>
    <row r="543" spans="1:7" hidden="1">
      <c r="A543" t="s">
        <v>74</v>
      </c>
      <c r="B543" s="1" t="s">
        <v>3</v>
      </c>
      <c r="C543" s="2">
        <v>2013</v>
      </c>
      <c r="D543" s="2">
        <v>54</v>
      </c>
      <c r="E543" s="2">
        <v>37</v>
      </c>
      <c r="F543" s="2">
        <v>17</v>
      </c>
      <c r="G543" s="1" t="s">
        <v>7</v>
      </c>
    </row>
    <row r="544" spans="1:7" hidden="1">
      <c r="A544" t="s">
        <v>74</v>
      </c>
      <c r="B544" s="1" t="s">
        <v>3</v>
      </c>
      <c r="C544" s="2">
        <v>2014</v>
      </c>
      <c r="D544" s="2">
        <v>43</v>
      </c>
      <c r="E544" s="2">
        <v>28</v>
      </c>
      <c r="F544" s="2">
        <v>15</v>
      </c>
      <c r="G544" s="1" t="s">
        <v>7</v>
      </c>
    </row>
    <row r="545" spans="1:7" hidden="1">
      <c r="A545" t="s">
        <v>74</v>
      </c>
      <c r="B545" s="1" t="s">
        <v>3</v>
      </c>
      <c r="C545" s="2">
        <v>2015</v>
      </c>
      <c r="D545" s="2">
        <v>45</v>
      </c>
      <c r="E545" s="2">
        <v>38</v>
      </c>
      <c r="F545" s="2">
        <v>7</v>
      </c>
      <c r="G545" s="1" t="s">
        <v>7</v>
      </c>
    </row>
    <row r="546" spans="1:7" hidden="1">
      <c r="A546" t="s">
        <v>74</v>
      </c>
      <c r="B546" s="1" t="s">
        <v>3</v>
      </c>
      <c r="C546" s="2">
        <v>2016</v>
      </c>
      <c r="D546" s="2">
        <v>74</v>
      </c>
      <c r="E546" s="2">
        <v>56</v>
      </c>
      <c r="F546" s="2">
        <v>18</v>
      </c>
      <c r="G546" s="1" t="s">
        <v>7</v>
      </c>
    </row>
    <row r="547" spans="1:7" hidden="1">
      <c r="A547" t="s">
        <v>74</v>
      </c>
      <c r="B547" s="1" t="s">
        <v>3</v>
      </c>
      <c r="C547" s="2">
        <v>2017</v>
      </c>
      <c r="D547" s="2">
        <v>88</v>
      </c>
      <c r="E547" s="2">
        <v>70</v>
      </c>
      <c r="F547" s="2">
        <v>18</v>
      </c>
      <c r="G547" s="1" t="s">
        <v>7</v>
      </c>
    </row>
    <row r="548" spans="1:7" hidden="1">
      <c r="A548" t="s">
        <v>74</v>
      </c>
      <c r="B548" s="1" t="s">
        <v>3</v>
      </c>
      <c r="C548" s="2">
        <v>2018</v>
      </c>
      <c r="D548" s="2">
        <v>69</v>
      </c>
      <c r="E548" s="2">
        <v>56</v>
      </c>
      <c r="F548" s="2">
        <v>13</v>
      </c>
      <c r="G548" s="1" t="s">
        <v>7</v>
      </c>
    </row>
    <row r="549" spans="1:7">
      <c r="A549" t="s">
        <v>74</v>
      </c>
      <c r="B549" s="1" t="s">
        <v>3</v>
      </c>
      <c r="C549" s="2">
        <v>2019</v>
      </c>
      <c r="D549" s="2">
        <v>73</v>
      </c>
      <c r="E549" s="2">
        <v>58</v>
      </c>
      <c r="F549" s="2">
        <v>15</v>
      </c>
      <c r="G549" s="1" t="s">
        <v>7</v>
      </c>
    </row>
    <row r="550" spans="1:7" hidden="1">
      <c r="A550" t="s">
        <v>74</v>
      </c>
      <c r="B550" s="1" t="s">
        <v>3</v>
      </c>
      <c r="C550" s="2">
        <v>2020</v>
      </c>
      <c r="D550" s="2">
        <v>84</v>
      </c>
      <c r="E550" s="2">
        <v>58</v>
      </c>
      <c r="F550" s="2">
        <v>26</v>
      </c>
      <c r="G550" s="1" t="s">
        <v>7</v>
      </c>
    </row>
    <row r="551" spans="1:7">
      <c r="A551" t="s">
        <v>74</v>
      </c>
      <c r="B551" s="1" t="s">
        <v>3</v>
      </c>
      <c r="C551" s="2">
        <v>2021</v>
      </c>
      <c r="D551" s="2">
        <v>68</v>
      </c>
      <c r="E551" s="2">
        <v>50</v>
      </c>
      <c r="F551" s="2">
        <v>18</v>
      </c>
      <c r="G551" s="1" t="s">
        <v>7</v>
      </c>
    </row>
    <row r="552" spans="1:7" hidden="1">
      <c r="A552" t="s">
        <v>74</v>
      </c>
      <c r="B552" s="1" t="s">
        <v>3</v>
      </c>
      <c r="C552" s="2">
        <v>2022</v>
      </c>
      <c r="D552" s="2">
        <v>103</v>
      </c>
      <c r="E552" s="2">
        <v>84</v>
      </c>
      <c r="F552" s="2">
        <v>19</v>
      </c>
      <c r="G552" s="1" t="s">
        <v>7</v>
      </c>
    </row>
    <row r="553" spans="1:7" hidden="1">
      <c r="A553" t="s">
        <v>74</v>
      </c>
      <c r="B553" s="1" t="s">
        <v>3</v>
      </c>
      <c r="C553" s="2">
        <v>2023</v>
      </c>
      <c r="D553" s="2">
        <v>73</v>
      </c>
      <c r="E553" s="2">
        <v>57</v>
      </c>
      <c r="F553" s="2">
        <v>16</v>
      </c>
      <c r="G553" s="1" t="s">
        <v>7</v>
      </c>
    </row>
    <row r="554" spans="1:7" hidden="1">
      <c r="A554" t="s">
        <v>74</v>
      </c>
      <c r="B554" s="1" t="s">
        <v>3</v>
      </c>
      <c r="C554" s="2">
        <v>2024</v>
      </c>
      <c r="D554" s="2">
        <v>89</v>
      </c>
      <c r="E554" s="2">
        <v>72</v>
      </c>
      <c r="F554" s="2">
        <v>17</v>
      </c>
      <c r="G554" s="1" t="s">
        <v>7</v>
      </c>
    </row>
    <row r="555" spans="1:7" hidden="1">
      <c r="A555" t="s">
        <v>74</v>
      </c>
      <c r="B555" s="1" t="s">
        <v>19</v>
      </c>
      <c r="C555" s="2">
        <v>1999</v>
      </c>
      <c r="D555" s="2">
        <v>1</v>
      </c>
      <c r="E555" s="2">
        <v>1</v>
      </c>
      <c r="F555" s="1" t="s">
        <v>7</v>
      </c>
      <c r="G555" s="1" t="s">
        <v>7</v>
      </c>
    </row>
    <row r="556" spans="1:7" hidden="1">
      <c r="A556" t="s">
        <v>74</v>
      </c>
      <c r="B556" s="1" t="s">
        <v>20</v>
      </c>
      <c r="C556" s="2">
        <v>1999</v>
      </c>
      <c r="D556" s="2">
        <v>1</v>
      </c>
      <c r="E556" s="1" t="s">
        <v>7</v>
      </c>
      <c r="F556" s="2">
        <v>1</v>
      </c>
      <c r="G556" s="1" t="s">
        <v>7</v>
      </c>
    </row>
    <row r="557" spans="1:7" hidden="1">
      <c r="A557" t="s">
        <v>74</v>
      </c>
      <c r="B557" s="1" t="s">
        <v>35</v>
      </c>
      <c r="C557" s="2">
        <v>1990</v>
      </c>
      <c r="D557" s="2">
        <v>44</v>
      </c>
      <c r="E557" s="2">
        <v>33</v>
      </c>
      <c r="F557" s="2">
        <v>11</v>
      </c>
      <c r="G557" s="1" t="s">
        <v>7</v>
      </c>
    </row>
    <row r="558" spans="1:7" hidden="1">
      <c r="A558" t="s">
        <v>74</v>
      </c>
      <c r="B558" s="1" t="s">
        <v>36</v>
      </c>
      <c r="C558" s="2">
        <v>1991</v>
      </c>
      <c r="D558" s="2">
        <v>38</v>
      </c>
      <c r="E558" s="2">
        <v>24</v>
      </c>
      <c r="F558" s="2">
        <v>14</v>
      </c>
      <c r="G558" s="1" t="s">
        <v>7</v>
      </c>
    </row>
    <row r="559" spans="1:7" hidden="1">
      <c r="A559" t="s">
        <v>74</v>
      </c>
      <c r="B559" s="1" t="s">
        <v>37</v>
      </c>
      <c r="C559" s="2">
        <v>1992</v>
      </c>
      <c r="D559" s="2">
        <v>57</v>
      </c>
      <c r="E559" s="2">
        <v>35</v>
      </c>
      <c r="F559" s="2">
        <v>22</v>
      </c>
      <c r="G559" s="1" t="s">
        <v>7</v>
      </c>
    </row>
    <row r="560" spans="1:7" hidden="1">
      <c r="A560" t="s">
        <v>74</v>
      </c>
      <c r="B560" s="1" t="s">
        <v>38</v>
      </c>
      <c r="C560" s="2">
        <v>1993</v>
      </c>
      <c r="D560" s="2">
        <v>45</v>
      </c>
      <c r="E560" s="2">
        <v>34</v>
      </c>
      <c r="F560" s="2">
        <v>11</v>
      </c>
      <c r="G560" s="1" t="s">
        <v>7</v>
      </c>
    </row>
    <row r="561" spans="1:7" hidden="1">
      <c r="A561" t="s">
        <v>74</v>
      </c>
      <c r="B561" s="1" t="s">
        <v>39</v>
      </c>
      <c r="C561" s="2">
        <v>1994</v>
      </c>
      <c r="D561" s="2">
        <v>39</v>
      </c>
      <c r="E561" s="2">
        <v>31</v>
      </c>
      <c r="F561" s="2">
        <v>8</v>
      </c>
      <c r="G561" s="1" t="s">
        <v>7</v>
      </c>
    </row>
    <row r="562" spans="1:7" hidden="1">
      <c r="A562" t="s">
        <v>74</v>
      </c>
      <c r="B562" s="1" t="s">
        <v>39</v>
      </c>
      <c r="C562" s="2">
        <v>1995</v>
      </c>
      <c r="D562" s="2">
        <v>1</v>
      </c>
      <c r="E562" s="2">
        <v>1</v>
      </c>
      <c r="F562" s="1" t="s">
        <v>7</v>
      </c>
      <c r="G562" s="1" t="s">
        <v>7</v>
      </c>
    </row>
    <row r="563" spans="1:7" hidden="1">
      <c r="A563" t="s">
        <v>74</v>
      </c>
      <c r="B563" s="1" t="s">
        <v>40</v>
      </c>
      <c r="C563" s="2">
        <v>1995</v>
      </c>
      <c r="D563" s="2">
        <v>49</v>
      </c>
      <c r="E563" s="2">
        <v>36</v>
      </c>
      <c r="F563" s="2">
        <v>13</v>
      </c>
      <c r="G563" s="1" t="s">
        <v>7</v>
      </c>
    </row>
    <row r="564" spans="1:7" hidden="1">
      <c r="A564" t="s">
        <v>74</v>
      </c>
      <c r="B564" s="1" t="s">
        <v>41</v>
      </c>
      <c r="C564" s="2">
        <v>1996</v>
      </c>
      <c r="D564" s="2">
        <v>43</v>
      </c>
      <c r="E564" s="2">
        <v>31</v>
      </c>
      <c r="F564" s="2">
        <v>12</v>
      </c>
      <c r="G564" s="1" t="s">
        <v>7</v>
      </c>
    </row>
    <row r="565" spans="1:7" hidden="1">
      <c r="A565" t="s">
        <v>74</v>
      </c>
      <c r="B565" s="1" t="s">
        <v>42</v>
      </c>
      <c r="C565" s="2">
        <v>1997</v>
      </c>
      <c r="D565" s="2">
        <v>37</v>
      </c>
      <c r="E565" s="2">
        <v>29</v>
      </c>
      <c r="F565" s="2">
        <v>8</v>
      </c>
      <c r="G565" s="1" t="s">
        <v>7</v>
      </c>
    </row>
    <row r="566" spans="1:7" hidden="1">
      <c r="A566" t="s">
        <v>74</v>
      </c>
      <c r="B566" s="1" t="s">
        <v>43</v>
      </c>
      <c r="C566" s="2">
        <v>1998</v>
      </c>
      <c r="D566" s="2">
        <v>39</v>
      </c>
      <c r="E566" s="2">
        <v>28</v>
      </c>
      <c r="F566" s="2">
        <v>11</v>
      </c>
      <c r="G566" s="1" t="s">
        <v>7</v>
      </c>
    </row>
    <row r="567" spans="1:7" hidden="1">
      <c r="A567" t="s">
        <v>74</v>
      </c>
      <c r="B567" s="1" t="s">
        <v>44</v>
      </c>
      <c r="C567" s="2">
        <v>1999</v>
      </c>
      <c r="D567" s="2">
        <v>39</v>
      </c>
      <c r="E567" s="2">
        <v>31</v>
      </c>
      <c r="F567" s="2">
        <v>8</v>
      </c>
      <c r="G567" s="1" t="s">
        <v>7</v>
      </c>
    </row>
    <row r="568" spans="1:7" hidden="1">
      <c r="A568" t="s">
        <v>74</v>
      </c>
      <c r="B568" s="1" t="s">
        <v>45</v>
      </c>
      <c r="C568" s="2">
        <v>2000</v>
      </c>
      <c r="D568" s="2">
        <v>46</v>
      </c>
      <c r="E568" s="2">
        <v>34</v>
      </c>
      <c r="F568" s="2">
        <v>12</v>
      </c>
      <c r="G568" s="1" t="s">
        <v>7</v>
      </c>
    </row>
    <row r="569" spans="1:7" hidden="1">
      <c r="A569" t="s">
        <v>74</v>
      </c>
      <c r="B569" s="1" t="s">
        <v>45</v>
      </c>
      <c r="C569" s="2">
        <v>2001</v>
      </c>
      <c r="D569" s="2">
        <v>1</v>
      </c>
      <c r="E569" s="2">
        <v>1</v>
      </c>
      <c r="F569" s="1" t="s">
        <v>7</v>
      </c>
      <c r="G569" s="1" t="s">
        <v>7</v>
      </c>
    </row>
    <row r="570" spans="1:7" hidden="1">
      <c r="A570" t="s">
        <v>74</v>
      </c>
      <c r="B570" s="1" t="s">
        <v>46</v>
      </c>
      <c r="C570" s="2">
        <v>2001</v>
      </c>
      <c r="D570" s="2">
        <v>33</v>
      </c>
      <c r="E570" s="2">
        <v>24</v>
      </c>
      <c r="F570" s="2">
        <v>9</v>
      </c>
      <c r="G570" s="1" t="s">
        <v>7</v>
      </c>
    </row>
    <row r="571" spans="1:7" hidden="1">
      <c r="A571" t="s">
        <v>74</v>
      </c>
      <c r="B571" s="1" t="s">
        <v>47</v>
      </c>
      <c r="C571" s="2">
        <v>2002</v>
      </c>
      <c r="D571" s="2">
        <v>39</v>
      </c>
      <c r="E571" s="2">
        <v>33</v>
      </c>
      <c r="F571" s="2">
        <v>6</v>
      </c>
      <c r="G571" s="1" t="s">
        <v>7</v>
      </c>
    </row>
    <row r="572" spans="1:7" hidden="1">
      <c r="A572" t="s">
        <v>74</v>
      </c>
      <c r="B572" s="1" t="s">
        <v>47</v>
      </c>
      <c r="C572" s="2">
        <v>2003</v>
      </c>
      <c r="D572" s="2">
        <v>1</v>
      </c>
      <c r="E572" s="1" t="s">
        <v>7</v>
      </c>
      <c r="F572" s="2">
        <v>1</v>
      </c>
      <c r="G572" s="1" t="s">
        <v>7</v>
      </c>
    </row>
    <row r="573" spans="1:7" hidden="1">
      <c r="A573" t="s">
        <v>74</v>
      </c>
      <c r="B573" s="1" t="s">
        <v>48</v>
      </c>
      <c r="C573" s="2">
        <v>2003</v>
      </c>
      <c r="D573" s="2">
        <v>46</v>
      </c>
      <c r="E573" s="2">
        <v>33</v>
      </c>
      <c r="F573" s="2">
        <v>13</v>
      </c>
      <c r="G573" s="1" t="s">
        <v>7</v>
      </c>
    </row>
    <row r="574" spans="1:7" hidden="1">
      <c r="A574" t="s">
        <v>74</v>
      </c>
      <c r="B574" s="1" t="s">
        <v>49</v>
      </c>
      <c r="C574" s="2">
        <v>2004</v>
      </c>
      <c r="D574" s="2">
        <v>33</v>
      </c>
      <c r="E574" s="2">
        <v>20</v>
      </c>
      <c r="F574" s="2">
        <v>13</v>
      </c>
      <c r="G574" s="1" t="s">
        <v>7</v>
      </c>
    </row>
    <row r="575" spans="1:7" hidden="1">
      <c r="A575" t="s">
        <v>74</v>
      </c>
      <c r="B575" s="1" t="s">
        <v>50</v>
      </c>
      <c r="C575" s="2">
        <v>2005</v>
      </c>
      <c r="D575" s="2">
        <v>34</v>
      </c>
      <c r="E575" s="2">
        <v>24</v>
      </c>
      <c r="F575" s="2">
        <v>10</v>
      </c>
      <c r="G575" s="1" t="s">
        <v>7</v>
      </c>
    </row>
    <row r="576" spans="1:7" hidden="1">
      <c r="A576" t="s">
        <v>74</v>
      </c>
      <c r="B576" s="1" t="s">
        <v>51</v>
      </c>
      <c r="C576" s="2">
        <v>2006</v>
      </c>
      <c r="D576" s="2">
        <v>39</v>
      </c>
      <c r="E576" s="2">
        <v>27</v>
      </c>
      <c r="F576" s="2">
        <v>12</v>
      </c>
      <c r="G576" s="1" t="s">
        <v>7</v>
      </c>
    </row>
    <row r="577" spans="1:7" hidden="1">
      <c r="A577" t="s">
        <v>74</v>
      </c>
      <c r="B577" s="1" t="s">
        <v>52</v>
      </c>
      <c r="C577" s="2">
        <v>2007</v>
      </c>
      <c r="D577" s="2">
        <v>33</v>
      </c>
      <c r="E577" s="2">
        <v>27</v>
      </c>
      <c r="F577" s="2">
        <v>6</v>
      </c>
      <c r="G577" s="1" t="s">
        <v>7</v>
      </c>
    </row>
    <row r="578" spans="1:7" hidden="1">
      <c r="A578" t="s">
        <v>74</v>
      </c>
      <c r="B578" s="1" t="s">
        <v>53</v>
      </c>
      <c r="C578" s="2">
        <v>2008</v>
      </c>
      <c r="D578" s="2">
        <v>42</v>
      </c>
      <c r="E578" s="2">
        <v>30</v>
      </c>
      <c r="F578" s="2">
        <v>12</v>
      </c>
      <c r="G578" s="1" t="s">
        <v>7</v>
      </c>
    </row>
    <row r="579" spans="1:7" hidden="1">
      <c r="A579" t="s">
        <v>74</v>
      </c>
      <c r="B579" s="1" t="s">
        <v>54</v>
      </c>
      <c r="C579" s="2">
        <v>2009</v>
      </c>
      <c r="D579" s="2">
        <v>37</v>
      </c>
      <c r="E579" s="2">
        <v>25</v>
      </c>
      <c r="F579" s="2">
        <v>12</v>
      </c>
      <c r="G579" s="1" t="s">
        <v>7</v>
      </c>
    </row>
    <row r="580" spans="1:7" hidden="1">
      <c r="A580" t="s">
        <v>74</v>
      </c>
      <c r="B580" s="1" t="s">
        <v>55</v>
      </c>
      <c r="C580" s="2">
        <v>2010</v>
      </c>
      <c r="D580" s="2">
        <v>40</v>
      </c>
      <c r="E580" s="2">
        <v>32</v>
      </c>
      <c r="F580" s="2">
        <v>8</v>
      </c>
      <c r="G580" s="1" t="s">
        <v>7</v>
      </c>
    </row>
    <row r="581" spans="1:7" hidden="1">
      <c r="A581" t="s">
        <v>74</v>
      </c>
      <c r="B581" s="1" t="s">
        <v>56</v>
      </c>
      <c r="C581" s="2">
        <v>2011</v>
      </c>
      <c r="D581" s="2">
        <v>52</v>
      </c>
      <c r="E581" s="2">
        <v>39</v>
      </c>
      <c r="F581" s="2">
        <v>13</v>
      </c>
      <c r="G581" s="1" t="s">
        <v>7</v>
      </c>
    </row>
    <row r="582" spans="1:7" hidden="1">
      <c r="A582" t="s">
        <v>74</v>
      </c>
      <c r="B582" s="1" t="s">
        <v>57</v>
      </c>
      <c r="C582" s="2">
        <v>2012</v>
      </c>
      <c r="D582" s="2">
        <v>55</v>
      </c>
      <c r="E582" s="2">
        <v>40</v>
      </c>
      <c r="F582" s="2">
        <v>15</v>
      </c>
      <c r="G582" s="1" t="s">
        <v>7</v>
      </c>
    </row>
    <row r="583" spans="1:7" hidden="1">
      <c r="A583" t="s">
        <v>74</v>
      </c>
      <c r="B583" s="1" t="s">
        <v>58</v>
      </c>
      <c r="C583" s="2">
        <v>2013</v>
      </c>
      <c r="D583" s="2">
        <v>54</v>
      </c>
      <c r="E583" s="2">
        <v>37</v>
      </c>
      <c r="F583" s="2">
        <v>17</v>
      </c>
      <c r="G583" s="1" t="s">
        <v>7</v>
      </c>
    </row>
    <row r="584" spans="1:7" hidden="1">
      <c r="A584" t="s">
        <v>74</v>
      </c>
      <c r="B584" s="1" t="s">
        <v>58</v>
      </c>
      <c r="C584" s="2">
        <v>2014</v>
      </c>
      <c r="D584" s="2">
        <v>1</v>
      </c>
      <c r="E584" s="1" t="s">
        <v>7</v>
      </c>
      <c r="F584" s="2">
        <v>1</v>
      </c>
      <c r="G584" s="1" t="s">
        <v>7</v>
      </c>
    </row>
    <row r="585" spans="1:7" hidden="1">
      <c r="A585" t="s">
        <v>74</v>
      </c>
      <c r="B585" s="1" t="s">
        <v>59</v>
      </c>
      <c r="C585" s="2">
        <v>2014</v>
      </c>
      <c r="D585" s="2">
        <v>42</v>
      </c>
      <c r="E585" s="2">
        <v>28</v>
      </c>
      <c r="F585" s="2">
        <v>14</v>
      </c>
      <c r="G585" s="1" t="s">
        <v>7</v>
      </c>
    </row>
    <row r="586" spans="1:7" hidden="1">
      <c r="A586" t="s">
        <v>74</v>
      </c>
      <c r="B586" s="1" t="s">
        <v>60</v>
      </c>
      <c r="C586" s="2">
        <v>2015</v>
      </c>
      <c r="D586" s="2">
        <v>45</v>
      </c>
      <c r="E586" s="2">
        <v>38</v>
      </c>
      <c r="F586" s="2">
        <v>7</v>
      </c>
      <c r="G586" s="1" t="s">
        <v>7</v>
      </c>
    </row>
    <row r="587" spans="1:7" hidden="1">
      <c r="A587" t="s">
        <v>74</v>
      </c>
      <c r="B587" s="1" t="s">
        <v>60</v>
      </c>
      <c r="C587" s="2">
        <v>2016</v>
      </c>
      <c r="D587" s="2">
        <v>1</v>
      </c>
      <c r="E587" s="2">
        <v>1</v>
      </c>
      <c r="F587" s="1" t="s">
        <v>7</v>
      </c>
      <c r="G587" s="1" t="s">
        <v>7</v>
      </c>
    </row>
    <row r="588" spans="1:7" hidden="1">
      <c r="A588" t="s">
        <v>74</v>
      </c>
      <c r="B588" s="1" t="s">
        <v>61</v>
      </c>
      <c r="C588" s="2">
        <v>2016</v>
      </c>
      <c r="D588" s="2">
        <v>73</v>
      </c>
      <c r="E588" s="2">
        <v>55</v>
      </c>
      <c r="F588" s="2">
        <v>18</v>
      </c>
      <c r="G588" s="1" t="s">
        <v>7</v>
      </c>
    </row>
    <row r="589" spans="1:7" hidden="1">
      <c r="A589" t="s">
        <v>74</v>
      </c>
      <c r="B589" s="1" t="s">
        <v>62</v>
      </c>
      <c r="C589" s="2">
        <v>2017</v>
      </c>
      <c r="D589" s="2">
        <v>88</v>
      </c>
      <c r="E589" s="2">
        <v>70</v>
      </c>
      <c r="F589" s="2">
        <v>18</v>
      </c>
      <c r="G589" s="1" t="s">
        <v>7</v>
      </c>
    </row>
    <row r="590" spans="1:7" hidden="1">
      <c r="A590" t="s">
        <v>74</v>
      </c>
      <c r="B590" s="1" t="s">
        <v>63</v>
      </c>
      <c r="C590" s="2">
        <v>2018</v>
      </c>
      <c r="D590" s="2">
        <v>69</v>
      </c>
      <c r="E590" s="2">
        <v>56</v>
      </c>
      <c r="F590" s="2">
        <v>13</v>
      </c>
      <c r="G590" s="1" t="s">
        <v>7</v>
      </c>
    </row>
    <row r="591" spans="1:7" hidden="1">
      <c r="A591" t="s">
        <v>74</v>
      </c>
      <c r="B591" s="1" t="s">
        <v>63</v>
      </c>
      <c r="C591" s="2">
        <v>2019</v>
      </c>
      <c r="D591" s="2">
        <v>3</v>
      </c>
      <c r="E591" s="2">
        <v>2</v>
      </c>
      <c r="F591" s="2">
        <v>1</v>
      </c>
      <c r="G591" s="1" t="s">
        <v>7</v>
      </c>
    </row>
    <row r="592" spans="1:7" hidden="1">
      <c r="A592" t="s">
        <v>74</v>
      </c>
      <c r="B592" s="1" t="s">
        <v>64</v>
      </c>
      <c r="C592" s="2">
        <v>2019</v>
      </c>
      <c r="D592" s="2">
        <v>70</v>
      </c>
      <c r="E592" s="2">
        <v>56</v>
      </c>
      <c r="F592" s="2">
        <v>14</v>
      </c>
      <c r="G592" s="1" t="s">
        <v>7</v>
      </c>
    </row>
    <row r="593" spans="1:7" hidden="1">
      <c r="A593" t="s">
        <v>74</v>
      </c>
      <c r="B593" s="1" t="s">
        <v>65</v>
      </c>
      <c r="C593" s="2">
        <v>2020</v>
      </c>
      <c r="D593" s="2">
        <v>83</v>
      </c>
      <c r="E593" s="2">
        <v>57</v>
      </c>
      <c r="F593" s="2">
        <v>26</v>
      </c>
      <c r="G593" s="1" t="s">
        <v>7</v>
      </c>
    </row>
    <row r="594" spans="1:7" hidden="1">
      <c r="A594" t="s">
        <v>74</v>
      </c>
      <c r="B594" s="1" t="s">
        <v>65</v>
      </c>
      <c r="C594" s="2">
        <v>2021</v>
      </c>
      <c r="D594" s="2">
        <v>2</v>
      </c>
      <c r="E594" s="2">
        <v>1</v>
      </c>
      <c r="F594" s="2">
        <v>1</v>
      </c>
      <c r="G594" s="1" t="s">
        <v>7</v>
      </c>
    </row>
    <row r="595" spans="1:7" hidden="1">
      <c r="A595" t="s">
        <v>74</v>
      </c>
      <c r="B595" s="1" t="s">
        <v>66</v>
      </c>
      <c r="C595" s="2">
        <v>2021</v>
      </c>
      <c r="D595" s="2">
        <v>66</v>
      </c>
      <c r="E595" s="2">
        <v>49</v>
      </c>
      <c r="F595" s="2">
        <v>17</v>
      </c>
      <c r="G595" s="1" t="s">
        <v>7</v>
      </c>
    </row>
    <row r="596" spans="1:7" hidden="1">
      <c r="A596" t="s">
        <v>74</v>
      </c>
      <c r="B596" s="1" t="s">
        <v>66</v>
      </c>
      <c r="C596" s="2">
        <v>2022</v>
      </c>
      <c r="D596" s="2">
        <v>1</v>
      </c>
      <c r="E596" s="1" t="s">
        <v>7</v>
      </c>
      <c r="F596" s="2">
        <v>1</v>
      </c>
      <c r="G596" s="1" t="s">
        <v>7</v>
      </c>
    </row>
    <row r="597" spans="1:7" hidden="1">
      <c r="A597" t="s">
        <v>74</v>
      </c>
      <c r="B597" s="1" t="s">
        <v>66</v>
      </c>
      <c r="C597" s="2">
        <v>2024</v>
      </c>
      <c r="D597" s="2">
        <v>1</v>
      </c>
      <c r="E597" s="2">
        <v>1</v>
      </c>
      <c r="F597" s="1" t="s">
        <v>7</v>
      </c>
      <c r="G597" s="1" t="s">
        <v>7</v>
      </c>
    </row>
    <row r="598" spans="1:7" hidden="1">
      <c r="A598" t="s">
        <v>74</v>
      </c>
      <c r="B598" s="1" t="s">
        <v>67</v>
      </c>
      <c r="C598" s="2">
        <v>2022</v>
      </c>
      <c r="D598" s="2">
        <v>102</v>
      </c>
      <c r="E598" s="2">
        <v>84</v>
      </c>
      <c r="F598" s="2">
        <v>18</v>
      </c>
      <c r="G598" s="1" t="s">
        <v>7</v>
      </c>
    </row>
    <row r="599" spans="1:7" hidden="1">
      <c r="A599" t="s">
        <v>74</v>
      </c>
      <c r="B599" s="1" t="s">
        <v>67</v>
      </c>
      <c r="C599" s="2">
        <v>2024</v>
      </c>
      <c r="D599" s="2">
        <v>1</v>
      </c>
      <c r="E599" s="2">
        <v>1</v>
      </c>
      <c r="F599" s="1" t="s">
        <v>7</v>
      </c>
      <c r="G599" s="1" t="s">
        <v>7</v>
      </c>
    </row>
    <row r="600" spans="1:7" hidden="1">
      <c r="A600" t="s">
        <v>74</v>
      </c>
      <c r="B600" s="1" t="s">
        <v>68</v>
      </c>
      <c r="C600" s="2">
        <v>2023</v>
      </c>
      <c r="D600" s="2">
        <v>72</v>
      </c>
      <c r="E600" s="2">
        <v>56</v>
      </c>
      <c r="F600" s="2">
        <v>16</v>
      </c>
      <c r="G600" s="1" t="s">
        <v>7</v>
      </c>
    </row>
    <row r="601" spans="1:7" hidden="1">
      <c r="A601" t="s">
        <v>74</v>
      </c>
      <c r="B601" s="1" t="s">
        <v>68</v>
      </c>
      <c r="C601" s="2">
        <v>2024</v>
      </c>
      <c r="D601" s="2">
        <v>2</v>
      </c>
      <c r="E601" s="2">
        <v>1</v>
      </c>
      <c r="F601" s="2">
        <v>1</v>
      </c>
      <c r="G601" s="1" t="s">
        <v>7</v>
      </c>
    </row>
    <row r="602" spans="1:7" hidden="1">
      <c r="A602" t="s">
        <v>74</v>
      </c>
      <c r="B602" s="1" t="s">
        <v>69</v>
      </c>
      <c r="C602" s="2">
        <v>2024</v>
      </c>
      <c r="D602" s="2">
        <v>85</v>
      </c>
      <c r="E602" s="2">
        <v>69</v>
      </c>
      <c r="F602" s="2">
        <v>16</v>
      </c>
      <c r="G602" s="1" t="s">
        <v>7</v>
      </c>
    </row>
    <row r="603" spans="1:7" hidden="1">
      <c r="A603" t="s">
        <v>74</v>
      </c>
      <c r="B603" s="1" t="s">
        <v>6</v>
      </c>
      <c r="C603" s="2">
        <v>1990</v>
      </c>
      <c r="D603" s="2">
        <v>7</v>
      </c>
      <c r="E603" s="2">
        <v>6</v>
      </c>
      <c r="F603" s="2">
        <v>1</v>
      </c>
      <c r="G603" s="1" t="s">
        <v>7</v>
      </c>
    </row>
    <row r="604" spans="1:7" hidden="1">
      <c r="A604" t="s">
        <v>74</v>
      </c>
      <c r="B604" s="1" t="s">
        <v>6</v>
      </c>
      <c r="C604" s="2">
        <v>1991</v>
      </c>
      <c r="D604" s="2">
        <v>4</v>
      </c>
      <c r="E604" s="2">
        <v>2</v>
      </c>
      <c r="F604" s="2">
        <v>2</v>
      </c>
      <c r="G604" s="1" t="s">
        <v>7</v>
      </c>
    </row>
    <row r="605" spans="1:7" hidden="1">
      <c r="A605" t="s">
        <v>74</v>
      </c>
      <c r="B605" s="1" t="s">
        <v>6</v>
      </c>
      <c r="C605" s="2">
        <v>1992</v>
      </c>
      <c r="D605" s="2">
        <v>7</v>
      </c>
      <c r="E605" s="2">
        <v>5</v>
      </c>
      <c r="F605" s="2">
        <v>2</v>
      </c>
      <c r="G605" s="1" t="s">
        <v>7</v>
      </c>
    </row>
    <row r="606" spans="1:7" hidden="1">
      <c r="A606" t="s">
        <v>74</v>
      </c>
      <c r="B606" s="1" t="s">
        <v>6</v>
      </c>
      <c r="C606" s="2">
        <v>1995</v>
      </c>
      <c r="D606" s="2">
        <v>1</v>
      </c>
      <c r="E606" s="2">
        <v>1</v>
      </c>
      <c r="F606" s="1" t="s">
        <v>7</v>
      </c>
      <c r="G606" s="1" t="s">
        <v>7</v>
      </c>
    </row>
    <row r="607" spans="1:7" hidden="1">
      <c r="A607" t="s">
        <v>74</v>
      </c>
      <c r="B607" s="1" t="s">
        <v>6</v>
      </c>
      <c r="C607" s="2">
        <v>2020</v>
      </c>
      <c r="D607" s="2">
        <v>1</v>
      </c>
      <c r="E607" s="2">
        <v>1</v>
      </c>
      <c r="F607" s="1" t="s">
        <v>7</v>
      </c>
      <c r="G607" s="1" t="s">
        <v>7</v>
      </c>
    </row>
    <row r="608" spans="1:7" hidden="1">
      <c r="A608" t="s">
        <v>74</v>
      </c>
      <c r="B608" s="1" t="s">
        <v>6</v>
      </c>
      <c r="C608" s="2">
        <v>2023</v>
      </c>
      <c r="D608" s="2">
        <v>1</v>
      </c>
      <c r="E608" s="2">
        <v>1</v>
      </c>
      <c r="F608" s="1" t="s">
        <v>7</v>
      </c>
      <c r="G608" s="1" t="s">
        <v>7</v>
      </c>
    </row>
    <row r="609" spans="1:7" hidden="1">
      <c r="A609" t="s">
        <v>75</v>
      </c>
      <c r="B609" s="1" t="s">
        <v>3</v>
      </c>
      <c r="C609" s="2">
        <v>1990</v>
      </c>
      <c r="D609" s="2">
        <v>59</v>
      </c>
      <c r="E609" s="2">
        <v>51</v>
      </c>
      <c r="F609" s="2">
        <v>8</v>
      </c>
      <c r="G609" s="1" t="s">
        <v>7</v>
      </c>
    </row>
    <row r="610" spans="1:7" hidden="1">
      <c r="A610" t="s">
        <v>75</v>
      </c>
      <c r="B610" s="1" t="s">
        <v>3</v>
      </c>
      <c r="C610" s="2">
        <v>1991</v>
      </c>
      <c r="D610" s="2">
        <v>72</v>
      </c>
      <c r="E610" s="2">
        <v>50</v>
      </c>
      <c r="F610" s="2">
        <v>22</v>
      </c>
      <c r="G610" s="1" t="s">
        <v>7</v>
      </c>
    </row>
    <row r="611" spans="1:7" hidden="1">
      <c r="A611" t="s">
        <v>75</v>
      </c>
      <c r="B611" s="1" t="s">
        <v>3</v>
      </c>
      <c r="C611" s="2">
        <v>1992</v>
      </c>
      <c r="D611" s="2">
        <v>89</v>
      </c>
      <c r="E611" s="2">
        <v>74</v>
      </c>
      <c r="F611" s="2">
        <v>15</v>
      </c>
      <c r="G611" s="1" t="s">
        <v>7</v>
      </c>
    </row>
    <row r="612" spans="1:7" hidden="1">
      <c r="A612" t="s">
        <v>75</v>
      </c>
      <c r="B612" s="1" t="s">
        <v>3</v>
      </c>
      <c r="C612" s="2">
        <v>1993</v>
      </c>
      <c r="D612" s="2">
        <v>60</v>
      </c>
      <c r="E612" s="2">
        <v>47</v>
      </c>
      <c r="F612" s="2">
        <v>13</v>
      </c>
      <c r="G612" s="1" t="s">
        <v>7</v>
      </c>
    </row>
    <row r="613" spans="1:7" hidden="1">
      <c r="A613" t="s">
        <v>75</v>
      </c>
      <c r="B613" s="1" t="s">
        <v>3</v>
      </c>
      <c r="C613" s="2">
        <v>1994</v>
      </c>
      <c r="D613" s="2">
        <v>66</v>
      </c>
      <c r="E613" s="2">
        <v>58</v>
      </c>
      <c r="F613" s="2">
        <v>8</v>
      </c>
      <c r="G613" s="1" t="s">
        <v>7</v>
      </c>
    </row>
    <row r="614" spans="1:7" hidden="1">
      <c r="A614" t="s">
        <v>75</v>
      </c>
      <c r="B614" s="1" t="s">
        <v>3</v>
      </c>
      <c r="C614" s="2">
        <v>1995</v>
      </c>
      <c r="D614" s="2">
        <v>68</v>
      </c>
      <c r="E614" s="2">
        <v>54</v>
      </c>
      <c r="F614" s="2">
        <v>14</v>
      </c>
      <c r="G614" s="1" t="s">
        <v>7</v>
      </c>
    </row>
    <row r="615" spans="1:7" hidden="1">
      <c r="A615" t="s">
        <v>75</v>
      </c>
      <c r="B615" s="1" t="s">
        <v>3</v>
      </c>
      <c r="C615" s="2">
        <v>1996</v>
      </c>
      <c r="D615" s="2">
        <v>48</v>
      </c>
      <c r="E615" s="2">
        <v>40</v>
      </c>
      <c r="F615" s="2">
        <v>8</v>
      </c>
      <c r="G615" s="1" t="s">
        <v>7</v>
      </c>
    </row>
    <row r="616" spans="1:7" hidden="1">
      <c r="A616" t="s">
        <v>75</v>
      </c>
      <c r="B616" s="1" t="s">
        <v>3</v>
      </c>
      <c r="C616" s="2">
        <v>1997</v>
      </c>
      <c r="D616" s="2">
        <v>49</v>
      </c>
      <c r="E616" s="2">
        <v>38</v>
      </c>
      <c r="F616" s="2">
        <v>11</v>
      </c>
      <c r="G616" s="1" t="s">
        <v>7</v>
      </c>
    </row>
    <row r="617" spans="1:7" hidden="1">
      <c r="A617" t="s">
        <v>75</v>
      </c>
      <c r="B617" s="1" t="s">
        <v>3</v>
      </c>
      <c r="C617" s="2">
        <v>1998</v>
      </c>
      <c r="D617" s="2">
        <v>38</v>
      </c>
      <c r="E617" s="2">
        <v>29</v>
      </c>
      <c r="F617" s="2">
        <v>9</v>
      </c>
      <c r="G617" s="1" t="s">
        <v>7</v>
      </c>
    </row>
    <row r="618" spans="1:7" hidden="1">
      <c r="A618" t="s">
        <v>75</v>
      </c>
      <c r="B618" s="1" t="s">
        <v>3</v>
      </c>
      <c r="C618" s="2">
        <v>1999</v>
      </c>
      <c r="D618" s="2">
        <v>52</v>
      </c>
      <c r="E618" s="2">
        <v>41</v>
      </c>
      <c r="F618" s="2">
        <v>11</v>
      </c>
      <c r="G618" s="1" t="s">
        <v>7</v>
      </c>
    </row>
    <row r="619" spans="1:7" hidden="1">
      <c r="A619" t="s">
        <v>75</v>
      </c>
      <c r="B619" s="1" t="s">
        <v>3</v>
      </c>
      <c r="C619" s="2">
        <v>2000</v>
      </c>
      <c r="D619" s="2">
        <v>45</v>
      </c>
      <c r="E619" s="2">
        <v>36</v>
      </c>
      <c r="F619" s="2">
        <v>9</v>
      </c>
      <c r="G619" s="1" t="s">
        <v>7</v>
      </c>
    </row>
    <row r="620" spans="1:7" hidden="1">
      <c r="A620" t="s">
        <v>75</v>
      </c>
      <c r="B620" s="1" t="s">
        <v>3</v>
      </c>
      <c r="C620" s="2">
        <v>2001</v>
      </c>
      <c r="D620" s="2">
        <v>61</v>
      </c>
      <c r="E620" s="2">
        <v>43</v>
      </c>
      <c r="F620" s="2">
        <v>18</v>
      </c>
      <c r="G620" s="1" t="s">
        <v>7</v>
      </c>
    </row>
    <row r="621" spans="1:7" hidden="1">
      <c r="A621" t="s">
        <v>75</v>
      </c>
      <c r="B621" s="1" t="s">
        <v>3</v>
      </c>
      <c r="C621" s="2">
        <v>2002</v>
      </c>
      <c r="D621" s="2">
        <v>57</v>
      </c>
      <c r="E621" s="2">
        <v>39</v>
      </c>
      <c r="F621" s="2">
        <v>18</v>
      </c>
      <c r="G621" s="1" t="s">
        <v>7</v>
      </c>
    </row>
    <row r="622" spans="1:7" hidden="1">
      <c r="A622" t="s">
        <v>75</v>
      </c>
      <c r="B622" s="1" t="s">
        <v>3</v>
      </c>
      <c r="C622" s="2">
        <v>2003</v>
      </c>
      <c r="D622" s="2">
        <v>57</v>
      </c>
      <c r="E622" s="2">
        <v>38</v>
      </c>
      <c r="F622" s="2">
        <v>19</v>
      </c>
      <c r="G622" s="1" t="s">
        <v>7</v>
      </c>
    </row>
    <row r="623" spans="1:7" hidden="1">
      <c r="A623" t="s">
        <v>75</v>
      </c>
      <c r="B623" s="1" t="s">
        <v>3</v>
      </c>
      <c r="C623" s="2">
        <v>2004</v>
      </c>
      <c r="D623" s="2">
        <v>48</v>
      </c>
      <c r="E623" s="2">
        <v>40</v>
      </c>
      <c r="F623" s="2">
        <v>8</v>
      </c>
      <c r="G623" s="1" t="s">
        <v>7</v>
      </c>
    </row>
    <row r="624" spans="1:7" hidden="1">
      <c r="A624" t="s">
        <v>75</v>
      </c>
      <c r="B624" s="1" t="s">
        <v>3</v>
      </c>
      <c r="C624" s="2">
        <v>2005</v>
      </c>
      <c r="D624" s="2">
        <v>36</v>
      </c>
      <c r="E624" s="2">
        <v>26</v>
      </c>
      <c r="F624" s="2">
        <v>10</v>
      </c>
      <c r="G624" s="1" t="s">
        <v>7</v>
      </c>
    </row>
    <row r="625" spans="1:7" hidden="1">
      <c r="A625" t="s">
        <v>75</v>
      </c>
      <c r="B625" s="1" t="s">
        <v>3</v>
      </c>
      <c r="C625" s="2">
        <v>2006</v>
      </c>
      <c r="D625" s="2">
        <v>50</v>
      </c>
      <c r="E625" s="2">
        <v>37</v>
      </c>
      <c r="F625" s="2">
        <v>13</v>
      </c>
      <c r="G625" s="1" t="s">
        <v>7</v>
      </c>
    </row>
    <row r="626" spans="1:7" hidden="1">
      <c r="A626" t="s">
        <v>75</v>
      </c>
      <c r="B626" s="1" t="s">
        <v>3</v>
      </c>
      <c r="C626" s="2">
        <v>2007</v>
      </c>
      <c r="D626" s="2">
        <v>50</v>
      </c>
      <c r="E626" s="2">
        <v>36</v>
      </c>
      <c r="F626" s="2">
        <v>14</v>
      </c>
      <c r="G626" s="1" t="s">
        <v>7</v>
      </c>
    </row>
    <row r="627" spans="1:7" hidden="1">
      <c r="A627" t="s">
        <v>75</v>
      </c>
      <c r="B627" s="1" t="s">
        <v>3</v>
      </c>
      <c r="C627" s="2">
        <v>2008</v>
      </c>
      <c r="D627" s="2">
        <v>49</v>
      </c>
      <c r="E627" s="2">
        <v>31</v>
      </c>
      <c r="F627" s="2">
        <v>18</v>
      </c>
      <c r="G627" s="1" t="s">
        <v>7</v>
      </c>
    </row>
    <row r="628" spans="1:7" hidden="1">
      <c r="A628" t="s">
        <v>75</v>
      </c>
      <c r="B628" s="1" t="s">
        <v>3</v>
      </c>
      <c r="C628" s="2">
        <v>2009</v>
      </c>
      <c r="D628" s="2">
        <v>56</v>
      </c>
      <c r="E628" s="2">
        <v>41</v>
      </c>
      <c r="F628" s="2">
        <v>15</v>
      </c>
      <c r="G628" s="1" t="s">
        <v>7</v>
      </c>
    </row>
    <row r="629" spans="1:7">
      <c r="A629" t="s">
        <v>75</v>
      </c>
      <c r="B629" s="1" t="s">
        <v>3</v>
      </c>
      <c r="C629" s="2">
        <v>2010</v>
      </c>
      <c r="D629" s="2">
        <v>57</v>
      </c>
      <c r="E629" s="2">
        <v>45</v>
      </c>
      <c r="F629" s="2">
        <v>12</v>
      </c>
      <c r="G629" s="1" t="s">
        <v>7</v>
      </c>
    </row>
    <row r="630" spans="1:7" hidden="1">
      <c r="A630" t="s">
        <v>75</v>
      </c>
      <c r="B630" s="1" t="s">
        <v>3</v>
      </c>
      <c r="C630" s="2">
        <v>2011</v>
      </c>
      <c r="D630" s="2">
        <v>62</v>
      </c>
      <c r="E630" s="2">
        <v>48</v>
      </c>
      <c r="F630" s="2">
        <v>14</v>
      </c>
      <c r="G630" s="1" t="s">
        <v>7</v>
      </c>
    </row>
    <row r="631" spans="1:7" hidden="1">
      <c r="A631" t="s">
        <v>75</v>
      </c>
      <c r="B631" s="1" t="s">
        <v>3</v>
      </c>
      <c r="C631" s="2">
        <v>2012</v>
      </c>
      <c r="D631" s="2">
        <v>85</v>
      </c>
      <c r="E631" s="2">
        <v>68</v>
      </c>
      <c r="F631" s="2">
        <v>17</v>
      </c>
      <c r="G631" s="1" t="s">
        <v>7</v>
      </c>
    </row>
    <row r="632" spans="1:7" hidden="1">
      <c r="A632" t="s">
        <v>75</v>
      </c>
      <c r="B632" s="1" t="s">
        <v>3</v>
      </c>
      <c r="C632" s="2">
        <v>2013</v>
      </c>
      <c r="D632" s="2">
        <v>69</v>
      </c>
      <c r="E632" s="2">
        <v>59</v>
      </c>
      <c r="F632" s="2">
        <v>10</v>
      </c>
      <c r="G632" s="1" t="s">
        <v>7</v>
      </c>
    </row>
    <row r="633" spans="1:7" hidden="1">
      <c r="A633" t="s">
        <v>75</v>
      </c>
      <c r="B633" s="1" t="s">
        <v>3</v>
      </c>
      <c r="C633" s="2">
        <v>2014</v>
      </c>
      <c r="D633" s="2">
        <v>75</v>
      </c>
      <c r="E633" s="2">
        <v>59</v>
      </c>
      <c r="F633" s="2">
        <v>16</v>
      </c>
      <c r="G633" s="1" t="s">
        <v>7</v>
      </c>
    </row>
    <row r="634" spans="1:7" hidden="1">
      <c r="A634" t="s">
        <v>75</v>
      </c>
      <c r="B634" s="1" t="s">
        <v>3</v>
      </c>
      <c r="C634" s="2">
        <v>2015</v>
      </c>
      <c r="D634" s="2">
        <v>69</v>
      </c>
      <c r="E634" s="2">
        <v>47</v>
      </c>
      <c r="F634" s="2">
        <v>22</v>
      </c>
      <c r="G634" s="1" t="s">
        <v>7</v>
      </c>
    </row>
    <row r="635" spans="1:7" hidden="1">
      <c r="A635" t="s">
        <v>75</v>
      </c>
      <c r="B635" s="1" t="s">
        <v>3</v>
      </c>
      <c r="C635" s="2">
        <v>2016</v>
      </c>
      <c r="D635" s="2">
        <v>154</v>
      </c>
      <c r="E635" s="2">
        <v>129</v>
      </c>
      <c r="F635" s="2">
        <v>25</v>
      </c>
      <c r="G635" s="1" t="s">
        <v>7</v>
      </c>
    </row>
    <row r="636" spans="1:7" hidden="1">
      <c r="A636" t="s">
        <v>75</v>
      </c>
      <c r="B636" s="1" t="s">
        <v>3</v>
      </c>
      <c r="C636" s="2">
        <v>2017</v>
      </c>
      <c r="D636" s="2">
        <v>153</v>
      </c>
      <c r="E636" s="2">
        <v>124</v>
      </c>
      <c r="F636" s="2">
        <v>29</v>
      </c>
      <c r="G636" s="1" t="s">
        <v>7</v>
      </c>
    </row>
    <row r="637" spans="1:7" hidden="1">
      <c r="A637" t="s">
        <v>75</v>
      </c>
      <c r="B637" s="1" t="s">
        <v>3</v>
      </c>
      <c r="C637" s="2">
        <v>2018</v>
      </c>
      <c r="D637" s="2">
        <v>135</v>
      </c>
      <c r="E637" s="2">
        <v>115</v>
      </c>
      <c r="F637" s="2">
        <v>20</v>
      </c>
      <c r="G637" s="1" t="s">
        <v>7</v>
      </c>
    </row>
    <row r="638" spans="1:7">
      <c r="A638" t="s">
        <v>75</v>
      </c>
      <c r="B638" s="1" t="s">
        <v>3</v>
      </c>
      <c r="C638" s="2">
        <v>2019</v>
      </c>
      <c r="D638" s="2">
        <v>164</v>
      </c>
      <c r="E638" s="2">
        <v>129</v>
      </c>
      <c r="F638" s="2">
        <v>35</v>
      </c>
      <c r="G638" s="1" t="s">
        <v>7</v>
      </c>
    </row>
    <row r="639" spans="1:7" hidden="1">
      <c r="A639" t="s">
        <v>75</v>
      </c>
      <c r="B639" s="1" t="s">
        <v>3</v>
      </c>
      <c r="C639" s="2">
        <v>2020</v>
      </c>
      <c r="D639" s="2">
        <v>120</v>
      </c>
      <c r="E639" s="2">
        <v>97</v>
      </c>
      <c r="F639" s="2">
        <v>23</v>
      </c>
      <c r="G639" s="1" t="s">
        <v>7</v>
      </c>
    </row>
    <row r="640" spans="1:7">
      <c r="A640" t="s">
        <v>75</v>
      </c>
      <c r="B640" s="1" t="s">
        <v>3</v>
      </c>
      <c r="C640" s="2">
        <v>2021</v>
      </c>
      <c r="D640" s="2">
        <v>144</v>
      </c>
      <c r="E640" s="2">
        <v>123</v>
      </c>
      <c r="F640" s="2">
        <v>21</v>
      </c>
      <c r="G640" s="1" t="s">
        <v>7</v>
      </c>
    </row>
    <row r="641" spans="1:7" hidden="1">
      <c r="A641" t="s">
        <v>75</v>
      </c>
      <c r="B641" s="1" t="s">
        <v>3</v>
      </c>
      <c r="C641" s="2">
        <v>2022</v>
      </c>
      <c r="D641" s="2">
        <v>148</v>
      </c>
      <c r="E641" s="2">
        <v>125</v>
      </c>
      <c r="F641" s="2">
        <v>23</v>
      </c>
      <c r="G641" s="1" t="s">
        <v>7</v>
      </c>
    </row>
    <row r="642" spans="1:7" hidden="1">
      <c r="A642" t="s">
        <v>75</v>
      </c>
      <c r="B642" s="1" t="s">
        <v>3</v>
      </c>
      <c r="C642" s="2">
        <v>2023</v>
      </c>
      <c r="D642" s="2">
        <v>158</v>
      </c>
      <c r="E642" s="2">
        <v>123</v>
      </c>
      <c r="F642" s="2">
        <v>35</v>
      </c>
      <c r="G642" s="1" t="s">
        <v>7</v>
      </c>
    </row>
    <row r="643" spans="1:7" hidden="1">
      <c r="A643" t="s">
        <v>75</v>
      </c>
      <c r="B643" s="1" t="s">
        <v>3</v>
      </c>
      <c r="C643" s="2">
        <v>2024</v>
      </c>
      <c r="D643" s="2">
        <v>138</v>
      </c>
      <c r="E643" s="2">
        <v>110</v>
      </c>
      <c r="F643" s="2">
        <v>28</v>
      </c>
      <c r="G643" s="1" t="s">
        <v>7</v>
      </c>
    </row>
    <row r="644" spans="1:7" hidden="1">
      <c r="A644" t="s">
        <v>75</v>
      </c>
      <c r="B644" s="1" t="s">
        <v>35</v>
      </c>
      <c r="C644" s="2">
        <v>1990</v>
      </c>
      <c r="D644" s="2">
        <v>54</v>
      </c>
      <c r="E644" s="2">
        <v>46</v>
      </c>
      <c r="F644" s="2">
        <v>8</v>
      </c>
      <c r="G644" s="1" t="s">
        <v>7</v>
      </c>
    </row>
    <row r="645" spans="1:7" hidden="1">
      <c r="A645" t="s">
        <v>75</v>
      </c>
      <c r="B645" s="1" t="s">
        <v>36</v>
      </c>
      <c r="C645" s="2">
        <v>1991</v>
      </c>
      <c r="D645" s="2">
        <v>65</v>
      </c>
      <c r="E645" s="2">
        <v>44</v>
      </c>
      <c r="F645" s="2">
        <v>21</v>
      </c>
      <c r="G645" s="1" t="s">
        <v>7</v>
      </c>
    </row>
    <row r="646" spans="1:7" hidden="1">
      <c r="A646" t="s">
        <v>75</v>
      </c>
      <c r="B646" s="1" t="s">
        <v>36</v>
      </c>
      <c r="C646" s="2">
        <v>1993</v>
      </c>
      <c r="D646" s="2">
        <v>1</v>
      </c>
      <c r="E646" s="1" t="s">
        <v>7</v>
      </c>
      <c r="F646" s="2">
        <v>1</v>
      </c>
      <c r="G646" s="1" t="s">
        <v>7</v>
      </c>
    </row>
    <row r="647" spans="1:7" hidden="1">
      <c r="A647" t="s">
        <v>75</v>
      </c>
      <c r="B647" s="1" t="s">
        <v>37</v>
      </c>
      <c r="C647" s="2">
        <v>1992</v>
      </c>
      <c r="D647" s="2">
        <v>71</v>
      </c>
      <c r="E647" s="2">
        <v>57</v>
      </c>
      <c r="F647" s="2">
        <v>14</v>
      </c>
      <c r="G647" s="1" t="s">
        <v>7</v>
      </c>
    </row>
    <row r="648" spans="1:7" hidden="1">
      <c r="A648" t="s">
        <v>75</v>
      </c>
      <c r="B648" s="1" t="s">
        <v>38</v>
      </c>
      <c r="C648" s="2">
        <v>1993</v>
      </c>
      <c r="D648" s="2">
        <v>56</v>
      </c>
      <c r="E648" s="2">
        <v>44</v>
      </c>
      <c r="F648" s="2">
        <v>12</v>
      </c>
      <c r="G648" s="1" t="s">
        <v>7</v>
      </c>
    </row>
    <row r="649" spans="1:7" hidden="1">
      <c r="A649" t="s">
        <v>75</v>
      </c>
      <c r="B649" s="1" t="s">
        <v>39</v>
      </c>
      <c r="C649" s="2">
        <v>1994</v>
      </c>
      <c r="D649" s="2">
        <v>66</v>
      </c>
      <c r="E649" s="2">
        <v>58</v>
      </c>
      <c r="F649" s="2">
        <v>8</v>
      </c>
      <c r="G649" s="1" t="s">
        <v>7</v>
      </c>
    </row>
    <row r="650" spans="1:7" hidden="1">
      <c r="A650" t="s">
        <v>75</v>
      </c>
      <c r="B650" s="1" t="s">
        <v>39</v>
      </c>
      <c r="C650" s="2">
        <v>1995</v>
      </c>
      <c r="D650" s="2">
        <v>3</v>
      </c>
      <c r="E650" s="2">
        <v>2</v>
      </c>
      <c r="F650" s="2">
        <v>1</v>
      </c>
      <c r="G650" s="1" t="s">
        <v>7</v>
      </c>
    </row>
    <row r="651" spans="1:7" hidden="1">
      <c r="A651" t="s">
        <v>75</v>
      </c>
      <c r="B651" s="1" t="s">
        <v>40</v>
      </c>
      <c r="C651" s="2">
        <v>1995</v>
      </c>
      <c r="D651" s="2">
        <v>64</v>
      </c>
      <c r="E651" s="2">
        <v>51</v>
      </c>
      <c r="F651" s="2">
        <v>13</v>
      </c>
      <c r="G651" s="1" t="s">
        <v>7</v>
      </c>
    </row>
    <row r="652" spans="1:7" hidden="1">
      <c r="A652" t="s">
        <v>75</v>
      </c>
      <c r="B652" s="1" t="s">
        <v>41</v>
      </c>
      <c r="C652" s="2">
        <v>1996</v>
      </c>
      <c r="D652" s="2">
        <v>48</v>
      </c>
      <c r="E652" s="2">
        <v>40</v>
      </c>
      <c r="F652" s="2">
        <v>8</v>
      </c>
      <c r="G652" s="1" t="s">
        <v>7</v>
      </c>
    </row>
    <row r="653" spans="1:7" hidden="1">
      <c r="A653" t="s">
        <v>75</v>
      </c>
      <c r="B653" s="1" t="s">
        <v>42</v>
      </c>
      <c r="C653" s="2">
        <v>1997</v>
      </c>
      <c r="D653" s="2">
        <v>49</v>
      </c>
      <c r="E653" s="2">
        <v>38</v>
      </c>
      <c r="F653" s="2">
        <v>11</v>
      </c>
      <c r="G653" s="1" t="s">
        <v>7</v>
      </c>
    </row>
    <row r="654" spans="1:7" hidden="1">
      <c r="A654" t="s">
        <v>75</v>
      </c>
      <c r="B654" s="1" t="s">
        <v>42</v>
      </c>
      <c r="C654" s="2">
        <v>1998</v>
      </c>
      <c r="D654" s="2">
        <v>1</v>
      </c>
      <c r="E654" s="2">
        <v>1</v>
      </c>
      <c r="F654" s="1" t="s">
        <v>7</v>
      </c>
      <c r="G654" s="1" t="s">
        <v>7</v>
      </c>
    </row>
    <row r="655" spans="1:7" hidden="1">
      <c r="A655" t="s">
        <v>75</v>
      </c>
      <c r="B655" s="1" t="s">
        <v>43</v>
      </c>
      <c r="C655" s="2">
        <v>1998</v>
      </c>
      <c r="D655" s="2">
        <v>37</v>
      </c>
      <c r="E655" s="2">
        <v>28</v>
      </c>
      <c r="F655" s="2">
        <v>9</v>
      </c>
      <c r="G655" s="1" t="s">
        <v>7</v>
      </c>
    </row>
    <row r="656" spans="1:7" hidden="1">
      <c r="A656" t="s">
        <v>75</v>
      </c>
      <c r="B656" s="1" t="s">
        <v>44</v>
      </c>
      <c r="C656" s="2">
        <v>1999</v>
      </c>
      <c r="D656" s="2">
        <v>52</v>
      </c>
      <c r="E656" s="2">
        <v>41</v>
      </c>
      <c r="F656" s="2">
        <v>11</v>
      </c>
      <c r="G656" s="1" t="s">
        <v>7</v>
      </c>
    </row>
    <row r="657" spans="1:7" hidden="1">
      <c r="A657" t="s">
        <v>75</v>
      </c>
      <c r="B657" s="1" t="s">
        <v>45</v>
      </c>
      <c r="C657" s="2">
        <v>2000</v>
      </c>
      <c r="D657" s="2">
        <v>45</v>
      </c>
      <c r="E657" s="2">
        <v>36</v>
      </c>
      <c r="F657" s="2">
        <v>9</v>
      </c>
      <c r="G657" s="1" t="s">
        <v>7</v>
      </c>
    </row>
    <row r="658" spans="1:7" hidden="1">
      <c r="A658" t="s">
        <v>75</v>
      </c>
      <c r="B658" s="1" t="s">
        <v>45</v>
      </c>
      <c r="C658" s="2">
        <v>2001</v>
      </c>
      <c r="D658" s="2">
        <v>1</v>
      </c>
      <c r="E658" s="2">
        <v>1</v>
      </c>
      <c r="F658" s="1" t="s">
        <v>7</v>
      </c>
      <c r="G658" s="1" t="s">
        <v>7</v>
      </c>
    </row>
    <row r="659" spans="1:7" hidden="1">
      <c r="A659" t="s">
        <v>75</v>
      </c>
      <c r="B659" s="1" t="s">
        <v>46</v>
      </c>
      <c r="C659" s="2">
        <v>2001</v>
      </c>
      <c r="D659" s="2">
        <v>60</v>
      </c>
      <c r="E659" s="2">
        <v>42</v>
      </c>
      <c r="F659" s="2">
        <v>18</v>
      </c>
      <c r="G659" s="1" t="s">
        <v>7</v>
      </c>
    </row>
    <row r="660" spans="1:7" hidden="1">
      <c r="A660" t="s">
        <v>75</v>
      </c>
      <c r="B660" s="1" t="s">
        <v>47</v>
      </c>
      <c r="C660" s="2">
        <v>2002</v>
      </c>
      <c r="D660" s="2">
        <v>57</v>
      </c>
      <c r="E660" s="2">
        <v>39</v>
      </c>
      <c r="F660" s="2">
        <v>18</v>
      </c>
      <c r="G660" s="1" t="s">
        <v>7</v>
      </c>
    </row>
    <row r="661" spans="1:7" hidden="1">
      <c r="A661" t="s">
        <v>75</v>
      </c>
      <c r="B661" s="1" t="s">
        <v>48</v>
      </c>
      <c r="C661" s="2">
        <v>2003</v>
      </c>
      <c r="D661" s="2">
        <v>57</v>
      </c>
      <c r="E661" s="2">
        <v>38</v>
      </c>
      <c r="F661" s="2">
        <v>19</v>
      </c>
      <c r="G661" s="1" t="s">
        <v>7</v>
      </c>
    </row>
    <row r="662" spans="1:7" hidden="1">
      <c r="A662" t="s">
        <v>75</v>
      </c>
      <c r="B662" s="1" t="s">
        <v>49</v>
      </c>
      <c r="C662" s="2">
        <v>2004</v>
      </c>
      <c r="D662" s="2">
        <v>48</v>
      </c>
      <c r="E662" s="2">
        <v>40</v>
      </c>
      <c r="F662" s="2">
        <v>8</v>
      </c>
      <c r="G662" s="1" t="s">
        <v>7</v>
      </c>
    </row>
    <row r="663" spans="1:7" hidden="1">
      <c r="A663" t="s">
        <v>75</v>
      </c>
      <c r="B663" s="1" t="s">
        <v>50</v>
      </c>
      <c r="C663" s="2">
        <v>2005</v>
      </c>
      <c r="D663" s="2">
        <v>36</v>
      </c>
      <c r="E663" s="2">
        <v>26</v>
      </c>
      <c r="F663" s="2">
        <v>10</v>
      </c>
      <c r="G663" s="1" t="s">
        <v>7</v>
      </c>
    </row>
    <row r="664" spans="1:7" hidden="1">
      <c r="A664" t="s">
        <v>75</v>
      </c>
      <c r="B664" s="1" t="s">
        <v>51</v>
      </c>
      <c r="C664" s="2">
        <v>2006</v>
      </c>
      <c r="D664" s="2">
        <v>50</v>
      </c>
      <c r="E664" s="2">
        <v>37</v>
      </c>
      <c r="F664" s="2">
        <v>13</v>
      </c>
      <c r="G664" s="1" t="s">
        <v>7</v>
      </c>
    </row>
    <row r="665" spans="1:7" hidden="1">
      <c r="A665" t="s">
        <v>75</v>
      </c>
      <c r="B665" s="1" t="s">
        <v>52</v>
      </c>
      <c r="C665" s="2">
        <v>2007</v>
      </c>
      <c r="D665" s="2">
        <v>50</v>
      </c>
      <c r="E665" s="2">
        <v>36</v>
      </c>
      <c r="F665" s="2">
        <v>14</v>
      </c>
      <c r="G665" s="1" t="s">
        <v>7</v>
      </c>
    </row>
    <row r="666" spans="1:7" hidden="1">
      <c r="A666" t="s">
        <v>75</v>
      </c>
      <c r="B666" s="1" t="s">
        <v>52</v>
      </c>
      <c r="C666" s="2">
        <v>2008</v>
      </c>
      <c r="D666" s="2">
        <v>1</v>
      </c>
      <c r="E666" s="2">
        <v>1</v>
      </c>
      <c r="F666" s="1" t="s">
        <v>7</v>
      </c>
      <c r="G666" s="1" t="s">
        <v>7</v>
      </c>
    </row>
    <row r="667" spans="1:7" hidden="1">
      <c r="A667" t="s">
        <v>75</v>
      </c>
      <c r="B667" s="1" t="s">
        <v>53</v>
      </c>
      <c r="C667" s="2">
        <v>2008</v>
      </c>
      <c r="D667" s="2">
        <v>48</v>
      </c>
      <c r="E667" s="2">
        <v>30</v>
      </c>
      <c r="F667" s="2">
        <v>18</v>
      </c>
      <c r="G667" s="1" t="s">
        <v>7</v>
      </c>
    </row>
    <row r="668" spans="1:7" hidden="1">
      <c r="A668" t="s">
        <v>75</v>
      </c>
      <c r="B668" s="1" t="s">
        <v>54</v>
      </c>
      <c r="C668" s="2">
        <v>2009</v>
      </c>
      <c r="D668" s="2">
        <v>56</v>
      </c>
      <c r="E668" s="2">
        <v>41</v>
      </c>
      <c r="F668" s="2">
        <v>15</v>
      </c>
      <c r="G668" s="1" t="s">
        <v>7</v>
      </c>
    </row>
    <row r="669" spans="1:7" hidden="1">
      <c r="A669" t="s">
        <v>75</v>
      </c>
      <c r="B669" s="1" t="s">
        <v>55</v>
      </c>
      <c r="C669" s="2">
        <v>2010</v>
      </c>
      <c r="D669" s="2">
        <v>57</v>
      </c>
      <c r="E669" s="2">
        <v>45</v>
      </c>
      <c r="F669" s="2">
        <v>12</v>
      </c>
      <c r="G669" s="1" t="s">
        <v>7</v>
      </c>
    </row>
    <row r="670" spans="1:7" hidden="1">
      <c r="A670" t="s">
        <v>75</v>
      </c>
      <c r="B670" s="1" t="s">
        <v>56</v>
      </c>
      <c r="C670" s="2">
        <v>2011</v>
      </c>
      <c r="D670" s="2">
        <v>62</v>
      </c>
      <c r="E670" s="2">
        <v>48</v>
      </c>
      <c r="F670" s="2">
        <v>14</v>
      </c>
      <c r="G670" s="1" t="s">
        <v>7</v>
      </c>
    </row>
    <row r="671" spans="1:7" hidden="1">
      <c r="A671" t="s">
        <v>75</v>
      </c>
      <c r="B671" s="1" t="s">
        <v>57</v>
      </c>
      <c r="C671" s="2">
        <v>2012</v>
      </c>
      <c r="D671" s="2">
        <v>85</v>
      </c>
      <c r="E671" s="2">
        <v>68</v>
      </c>
      <c r="F671" s="2">
        <v>17</v>
      </c>
      <c r="G671" s="1" t="s">
        <v>7</v>
      </c>
    </row>
    <row r="672" spans="1:7" hidden="1">
      <c r="A672" t="s">
        <v>75</v>
      </c>
      <c r="B672" s="1" t="s">
        <v>58</v>
      </c>
      <c r="C672" s="2">
        <v>2013</v>
      </c>
      <c r="D672" s="2">
        <v>69</v>
      </c>
      <c r="E672" s="2">
        <v>59</v>
      </c>
      <c r="F672" s="2">
        <v>10</v>
      </c>
      <c r="G672" s="1" t="s">
        <v>7</v>
      </c>
    </row>
    <row r="673" spans="1:7" hidden="1">
      <c r="A673" t="s">
        <v>75</v>
      </c>
      <c r="B673" s="1" t="s">
        <v>58</v>
      </c>
      <c r="C673" s="2">
        <v>2014</v>
      </c>
      <c r="D673" s="2">
        <v>2</v>
      </c>
      <c r="E673" s="2">
        <v>1</v>
      </c>
      <c r="F673" s="2">
        <v>1</v>
      </c>
      <c r="G673" s="1" t="s">
        <v>7</v>
      </c>
    </row>
    <row r="674" spans="1:7" hidden="1">
      <c r="A674" t="s">
        <v>75</v>
      </c>
      <c r="B674" s="1" t="s">
        <v>59</v>
      </c>
      <c r="C674" s="2">
        <v>2014</v>
      </c>
      <c r="D674" s="2">
        <v>73</v>
      </c>
      <c r="E674" s="2">
        <v>58</v>
      </c>
      <c r="F674" s="2">
        <v>15</v>
      </c>
      <c r="G674" s="1" t="s">
        <v>7</v>
      </c>
    </row>
    <row r="675" spans="1:7" hidden="1">
      <c r="A675" t="s">
        <v>75</v>
      </c>
      <c r="B675" s="1" t="s">
        <v>60</v>
      </c>
      <c r="C675" s="2">
        <v>2015</v>
      </c>
      <c r="D675" s="2">
        <v>69</v>
      </c>
      <c r="E675" s="2">
        <v>47</v>
      </c>
      <c r="F675" s="2">
        <v>22</v>
      </c>
      <c r="G675" s="1" t="s">
        <v>7</v>
      </c>
    </row>
    <row r="676" spans="1:7" hidden="1">
      <c r="A676" t="s">
        <v>75</v>
      </c>
      <c r="B676" s="1" t="s">
        <v>61</v>
      </c>
      <c r="C676" s="2">
        <v>2016</v>
      </c>
      <c r="D676" s="2">
        <v>154</v>
      </c>
      <c r="E676" s="2">
        <v>129</v>
      </c>
      <c r="F676" s="2">
        <v>25</v>
      </c>
      <c r="G676" s="1" t="s">
        <v>7</v>
      </c>
    </row>
    <row r="677" spans="1:7" hidden="1">
      <c r="A677" t="s">
        <v>75</v>
      </c>
      <c r="B677" s="1" t="s">
        <v>61</v>
      </c>
      <c r="C677" s="2">
        <v>2017</v>
      </c>
      <c r="D677" s="2">
        <v>5</v>
      </c>
      <c r="E677" s="2">
        <v>4</v>
      </c>
      <c r="F677" s="2">
        <v>1</v>
      </c>
      <c r="G677" s="1" t="s">
        <v>7</v>
      </c>
    </row>
    <row r="678" spans="1:7" hidden="1">
      <c r="A678" t="s">
        <v>75</v>
      </c>
      <c r="B678" s="1" t="s">
        <v>62</v>
      </c>
      <c r="C678" s="2">
        <v>2017</v>
      </c>
      <c r="D678" s="2">
        <v>148</v>
      </c>
      <c r="E678" s="2">
        <v>120</v>
      </c>
      <c r="F678" s="2">
        <v>28</v>
      </c>
      <c r="G678" s="1" t="s">
        <v>7</v>
      </c>
    </row>
    <row r="679" spans="1:7" hidden="1">
      <c r="A679" t="s">
        <v>75</v>
      </c>
      <c r="B679" s="1" t="s">
        <v>63</v>
      </c>
      <c r="C679" s="2">
        <v>2018</v>
      </c>
      <c r="D679" s="2">
        <v>134</v>
      </c>
      <c r="E679" s="2">
        <v>115</v>
      </c>
      <c r="F679" s="2">
        <v>19</v>
      </c>
      <c r="G679" s="1" t="s">
        <v>7</v>
      </c>
    </row>
    <row r="680" spans="1:7" hidden="1">
      <c r="A680" t="s">
        <v>75</v>
      </c>
      <c r="B680" s="1" t="s">
        <v>63</v>
      </c>
      <c r="C680" s="2">
        <v>2019</v>
      </c>
      <c r="D680" s="2">
        <v>10</v>
      </c>
      <c r="E680" s="2">
        <v>8</v>
      </c>
      <c r="F680" s="2">
        <v>2</v>
      </c>
      <c r="G680" s="1" t="s">
        <v>7</v>
      </c>
    </row>
    <row r="681" spans="1:7" hidden="1">
      <c r="A681" t="s">
        <v>75</v>
      </c>
      <c r="B681" s="1" t="s">
        <v>63</v>
      </c>
      <c r="C681" s="2">
        <v>2020</v>
      </c>
      <c r="D681" s="2">
        <v>1</v>
      </c>
      <c r="E681" s="1" t="s">
        <v>7</v>
      </c>
      <c r="F681" s="2">
        <v>1</v>
      </c>
      <c r="G681" s="1" t="s">
        <v>7</v>
      </c>
    </row>
    <row r="682" spans="1:7" hidden="1">
      <c r="A682" t="s">
        <v>75</v>
      </c>
      <c r="B682" s="1" t="s">
        <v>64</v>
      </c>
      <c r="C682" s="2">
        <v>2019</v>
      </c>
      <c r="D682" s="2">
        <v>154</v>
      </c>
      <c r="E682" s="2">
        <v>121</v>
      </c>
      <c r="F682" s="2">
        <v>33</v>
      </c>
      <c r="G682" s="1" t="s">
        <v>7</v>
      </c>
    </row>
    <row r="683" spans="1:7" hidden="1">
      <c r="A683" t="s">
        <v>75</v>
      </c>
      <c r="B683" s="1" t="s">
        <v>64</v>
      </c>
      <c r="C683" s="2">
        <v>2020</v>
      </c>
      <c r="D683" s="2">
        <v>3</v>
      </c>
      <c r="E683" s="2">
        <v>3</v>
      </c>
      <c r="F683" s="1" t="s">
        <v>7</v>
      </c>
      <c r="G683" s="1" t="s">
        <v>7</v>
      </c>
    </row>
    <row r="684" spans="1:7" hidden="1">
      <c r="A684" t="s">
        <v>75</v>
      </c>
      <c r="B684" s="1" t="s">
        <v>65</v>
      </c>
      <c r="C684" s="2">
        <v>2020</v>
      </c>
      <c r="D684" s="2">
        <v>116</v>
      </c>
      <c r="E684" s="2">
        <v>94</v>
      </c>
      <c r="F684" s="2">
        <v>22</v>
      </c>
      <c r="G684" s="1" t="s">
        <v>7</v>
      </c>
    </row>
    <row r="685" spans="1:7" hidden="1">
      <c r="A685" t="s">
        <v>75</v>
      </c>
      <c r="B685" s="1" t="s">
        <v>65</v>
      </c>
      <c r="C685" s="2">
        <v>2021</v>
      </c>
      <c r="D685" s="2">
        <v>3</v>
      </c>
      <c r="E685" s="2">
        <v>2</v>
      </c>
      <c r="F685" s="2">
        <v>1</v>
      </c>
      <c r="G685" s="1" t="s">
        <v>7</v>
      </c>
    </row>
    <row r="686" spans="1:7" hidden="1">
      <c r="A686" t="s">
        <v>75</v>
      </c>
      <c r="B686" s="1" t="s">
        <v>66</v>
      </c>
      <c r="C686" s="2">
        <v>2021</v>
      </c>
      <c r="D686" s="2">
        <v>139</v>
      </c>
      <c r="E686" s="2">
        <v>120</v>
      </c>
      <c r="F686" s="2">
        <v>19</v>
      </c>
      <c r="G686" s="1" t="s">
        <v>7</v>
      </c>
    </row>
    <row r="687" spans="1:7" hidden="1">
      <c r="A687" t="s">
        <v>75</v>
      </c>
      <c r="B687" s="1" t="s">
        <v>66</v>
      </c>
      <c r="C687" s="2">
        <v>2022</v>
      </c>
      <c r="D687" s="2">
        <v>1</v>
      </c>
      <c r="E687" s="2">
        <v>1</v>
      </c>
      <c r="F687" s="1" t="s">
        <v>7</v>
      </c>
      <c r="G687" s="1" t="s">
        <v>7</v>
      </c>
    </row>
    <row r="688" spans="1:7" hidden="1">
      <c r="A688" t="s">
        <v>75</v>
      </c>
      <c r="B688" s="1" t="s">
        <v>66</v>
      </c>
      <c r="C688" s="2">
        <v>2023</v>
      </c>
      <c r="D688" s="2">
        <v>1</v>
      </c>
      <c r="E688" s="2">
        <v>1</v>
      </c>
      <c r="F688" s="1" t="s">
        <v>7</v>
      </c>
      <c r="G688" s="1" t="s">
        <v>7</v>
      </c>
    </row>
    <row r="689" spans="1:7" hidden="1">
      <c r="A689" t="s">
        <v>75</v>
      </c>
      <c r="B689" s="1" t="s">
        <v>67</v>
      </c>
      <c r="C689" s="2">
        <v>2022</v>
      </c>
      <c r="D689" s="2">
        <v>146</v>
      </c>
      <c r="E689" s="2">
        <v>123</v>
      </c>
      <c r="F689" s="2">
        <v>23</v>
      </c>
      <c r="G689" s="1" t="s">
        <v>7</v>
      </c>
    </row>
    <row r="690" spans="1:7" hidden="1">
      <c r="A690" t="s">
        <v>75</v>
      </c>
      <c r="B690" s="1" t="s">
        <v>67</v>
      </c>
      <c r="C690" s="2">
        <v>2023</v>
      </c>
      <c r="D690" s="2">
        <v>2</v>
      </c>
      <c r="E690" s="2">
        <v>2</v>
      </c>
      <c r="F690" s="1" t="s">
        <v>7</v>
      </c>
      <c r="G690" s="1" t="s">
        <v>7</v>
      </c>
    </row>
    <row r="691" spans="1:7" hidden="1">
      <c r="A691" t="s">
        <v>75</v>
      </c>
      <c r="B691" s="1" t="s">
        <v>67</v>
      </c>
      <c r="C691" s="2">
        <v>2024</v>
      </c>
      <c r="D691" s="2">
        <v>2</v>
      </c>
      <c r="E691" s="2">
        <v>1</v>
      </c>
      <c r="F691" s="2">
        <v>1</v>
      </c>
      <c r="G691" s="1" t="s">
        <v>7</v>
      </c>
    </row>
    <row r="692" spans="1:7" hidden="1">
      <c r="A692" t="s">
        <v>75</v>
      </c>
      <c r="B692" s="1" t="s">
        <v>68</v>
      </c>
      <c r="C692" s="2">
        <v>2023</v>
      </c>
      <c r="D692" s="2">
        <v>153</v>
      </c>
      <c r="E692" s="2">
        <v>118</v>
      </c>
      <c r="F692" s="2">
        <v>35</v>
      </c>
      <c r="G692" s="1" t="s">
        <v>7</v>
      </c>
    </row>
    <row r="693" spans="1:7" hidden="1">
      <c r="A693" t="s">
        <v>75</v>
      </c>
      <c r="B693" s="1" t="s">
        <v>68</v>
      </c>
      <c r="C693" s="2">
        <v>2024</v>
      </c>
      <c r="D693" s="2">
        <v>2</v>
      </c>
      <c r="E693" s="2">
        <v>2</v>
      </c>
      <c r="F693" s="1" t="s">
        <v>7</v>
      </c>
      <c r="G693" s="1" t="s">
        <v>7</v>
      </c>
    </row>
    <row r="694" spans="1:7" hidden="1">
      <c r="A694" t="s">
        <v>75</v>
      </c>
      <c r="B694" s="1" t="s">
        <v>69</v>
      </c>
      <c r="C694" s="2">
        <v>2024</v>
      </c>
      <c r="D694" s="2">
        <v>130</v>
      </c>
      <c r="E694" s="2">
        <v>103</v>
      </c>
      <c r="F694" s="2">
        <v>27</v>
      </c>
      <c r="G694" s="1" t="s">
        <v>7</v>
      </c>
    </row>
    <row r="695" spans="1:7" hidden="1">
      <c r="A695" t="s">
        <v>75</v>
      </c>
      <c r="B695" s="1" t="s">
        <v>6</v>
      </c>
      <c r="C695" s="2">
        <v>1990</v>
      </c>
      <c r="D695" s="2">
        <v>5</v>
      </c>
      <c r="E695" s="2">
        <v>5</v>
      </c>
      <c r="F695" s="1" t="s">
        <v>7</v>
      </c>
      <c r="G695" s="1" t="s">
        <v>7</v>
      </c>
    </row>
    <row r="696" spans="1:7" hidden="1">
      <c r="A696" t="s">
        <v>75</v>
      </c>
      <c r="B696" s="1" t="s">
        <v>6</v>
      </c>
      <c r="C696" s="2">
        <v>1991</v>
      </c>
      <c r="D696" s="2">
        <v>7</v>
      </c>
      <c r="E696" s="2">
        <v>6</v>
      </c>
      <c r="F696" s="2">
        <v>1</v>
      </c>
      <c r="G696" s="1" t="s">
        <v>7</v>
      </c>
    </row>
    <row r="697" spans="1:7" hidden="1">
      <c r="A697" t="s">
        <v>75</v>
      </c>
      <c r="B697" s="1" t="s">
        <v>6</v>
      </c>
      <c r="C697" s="2">
        <v>1992</v>
      </c>
      <c r="D697" s="2">
        <v>18</v>
      </c>
      <c r="E697" s="2">
        <v>17</v>
      </c>
      <c r="F697" s="2">
        <v>1</v>
      </c>
      <c r="G697" s="1" t="s">
        <v>7</v>
      </c>
    </row>
    <row r="698" spans="1:7" hidden="1">
      <c r="A698" t="s">
        <v>75</v>
      </c>
      <c r="B698" s="1" t="s">
        <v>6</v>
      </c>
      <c r="C698" s="2">
        <v>1993</v>
      </c>
      <c r="D698" s="2">
        <v>3</v>
      </c>
      <c r="E698" s="2">
        <v>3</v>
      </c>
      <c r="F698" s="1" t="s">
        <v>7</v>
      </c>
      <c r="G698" s="1" t="s">
        <v>7</v>
      </c>
    </row>
    <row r="699" spans="1:7" hidden="1">
      <c r="A699" t="s">
        <v>75</v>
      </c>
      <c r="B699" s="1" t="s">
        <v>6</v>
      </c>
      <c r="C699" s="2">
        <v>1995</v>
      </c>
      <c r="D699" s="2">
        <v>1</v>
      </c>
      <c r="E699" s="2">
        <v>1</v>
      </c>
      <c r="F699" s="1" t="s">
        <v>7</v>
      </c>
      <c r="G699" s="1" t="s">
        <v>7</v>
      </c>
    </row>
    <row r="700" spans="1:7" hidden="1">
      <c r="A700" t="s">
        <v>75</v>
      </c>
      <c r="B700" s="1" t="s">
        <v>6</v>
      </c>
      <c r="C700" s="2">
        <v>2018</v>
      </c>
      <c r="D700" s="2">
        <v>1</v>
      </c>
      <c r="E700" s="1" t="s">
        <v>7</v>
      </c>
      <c r="F700" s="2">
        <v>1</v>
      </c>
      <c r="G700" s="1" t="s">
        <v>7</v>
      </c>
    </row>
    <row r="701" spans="1:7" hidden="1">
      <c r="A701" t="s">
        <v>75</v>
      </c>
      <c r="B701" s="1" t="s">
        <v>6</v>
      </c>
      <c r="C701" s="2">
        <v>2021</v>
      </c>
      <c r="D701" s="2">
        <v>2</v>
      </c>
      <c r="E701" s="2">
        <v>1</v>
      </c>
      <c r="F701" s="2">
        <v>1</v>
      </c>
      <c r="G701" s="1" t="s">
        <v>7</v>
      </c>
    </row>
    <row r="702" spans="1:7" hidden="1">
      <c r="A702" t="s">
        <v>75</v>
      </c>
      <c r="B702" s="1" t="s">
        <v>6</v>
      </c>
      <c r="C702" s="2">
        <v>2022</v>
      </c>
      <c r="D702" s="2">
        <v>1</v>
      </c>
      <c r="E702" s="2">
        <v>1</v>
      </c>
      <c r="F702" s="1" t="s">
        <v>7</v>
      </c>
      <c r="G702" s="1" t="s">
        <v>7</v>
      </c>
    </row>
    <row r="703" spans="1:7" hidden="1">
      <c r="A703" t="s">
        <v>75</v>
      </c>
      <c r="B703" s="1" t="s">
        <v>6</v>
      </c>
      <c r="C703" s="2">
        <v>2023</v>
      </c>
      <c r="D703" s="2">
        <v>2</v>
      </c>
      <c r="E703" s="2">
        <v>2</v>
      </c>
      <c r="F703" s="1" t="s">
        <v>7</v>
      </c>
      <c r="G703" s="1" t="s">
        <v>7</v>
      </c>
    </row>
    <row r="704" spans="1:7" hidden="1">
      <c r="A704" t="s">
        <v>75</v>
      </c>
      <c r="B704" s="1" t="s">
        <v>6</v>
      </c>
      <c r="C704" s="2">
        <v>2024</v>
      </c>
      <c r="D704" s="2">
        <v>4</v>
      </c>
      <c r="E704" s="2">
        <v>4</v>
      </c>
      <c r="F704" s="1" t="s">
        <v>7</v>
      </c>
      <c r="G704" s="1" t="s">
        <v>7</v>
      </c>
    </row>
    <row r="705" spans="1:7" hidden="1">
      <c r="A705" t="s">
        <v>76</v>
      </c>
      <c r="B705" s="1" t="s">
        <v>3</v>
      </c>
      <c r="C705" s="2">
        <v>1990</v>
      </c>
      <c r="D705" s="2">
        <v>71</v>
      </c>
      <c r="E705" s="2">
        <v>56</v>
      </c>
      <c r="F705" s="2">
        <v>14</v>
      </c>
      <c r="G705" s="2">
        <v>1</v>
      </c>
    </row>
    <row r="706" spans="1:7" hidden="1">
      <c r="A706" t="s">
        <v>76</v>
      </c>
      <c r="B706" s="1" t="s">
        <v>3</v>
      </c>
      <c r="C706" s="2">
        <v>1991</v>
      </c>
      <c r="D706" s="2">
        <v>65</v>
      </c>
      <c r="E706" s="2">
        <v>48</v>
      </c>
      <c r="F706" s="2">
        <v>17</v>
      </c>
      <c r="G706" s="1" t="s">
        <v>7</v>
      </c>
    </row>
    <row r="707" spans="1:7" hidden="1">
      <c r="A707" t="s">
        <v>76</v>
      </c>
      <c r="B707" s="1" t="s">
        <v>3</v>
      </c>
      <c r="C707" s="2">
        <v>1992</v>
      </c>
      <c r="D707" s="2">
        <v>52</v>
      </c>
      <c r="E707" s="2">
        <v>44</v>
      </c>
      <c r="F707" s="2">
        <v>8</v>
      </c>
      <c r="G707" s="1" t="s">
        <v>7</v>
      </c>
    </row>
    <row r="708" spans="1:7" hidden="1">
      <c r="A708" t="s">
        <v>76</v>
      </c>
      <c r="B708" s="1" t="s">
        <v>3</v>
      </c>
      <c r="C708" s="2">
        <v>1993</v>
      </c>
      <c r="D708" s="2">
        <v>58</v>
      </c>
      <c r="E708" s="2">
        <v>38</v>
      </c>
      <c r="F708" s="2">
        <v>20</v>
      </c>
      <c r="G708" s="1" t="s">
        <v>7</v>
      </c>
    </row>
    <row r="709" spans="1:7" hidden="1">
      <c r="A709" t="s">
        <v>76</v>
      </c>
      <c r="B709" s="1" t="s">
        <v>3</v>
      </c>
      <c r="C709" s="2">
        <v>1994</v>
      </c>
      <c r="D709" s="2">
        <v>59</v>
      </c>
      <c r="E709" s="2">
        <v>49</v>
      </c>
      <c r="F709" s="2">
        <v>10</v>
      </c>
      <c r="G709" s="1" t="s">
        <v>7</v>
      </c>
    </row>
    <row r="710" spans="1:7" hidden="1">
      <c r="A710" t="s">
        <v>76</v>
      </c>
      <c r="B710" s="1" t="s">
        <v>3</v>
      </c>
      <c r="C710" s="2">
        <v>1995</v>
      </c>
      <c r="D710" s="2">
        <v>63</v>
      </c>
      <c r="E710" s="2">
        <v>47</v>
      </c>
      <c r="F710" s="2">
        <v>16</v>
      </c>
      <c r="G710" s="1" t="s">
        <v>7</v>
      </c>
    </row>
    <row r="711" spans="1:7" hidden="1">
      <c r="A711" t="s">
        <v>76</v>
      </c>
      <c r="B711" s="1" t="s">
        <v>3</v>
      </c>
      <c r="C711" s="2">
        <v>1996</v>
      </c>
      <c r="D711" s="2">
        <v>57</v>
      </c>
      <c r="E711" s="2">
        <v>45</v>
      </c>
      <c r="F711" s="2">
        <v>12</v>
      </c>
      <c r="G711" s="1" t="s">
        <v>7</v>
      </c>
    </row>
    <row r="712" spans="1:7" hidden="1">
      <c r="A712" t="s">
        <v>76</v>
      </c>
      <c r="B712" s="1" t="s">
        <v>3</v>
      </c>
      <c r="C712" s="2">
        <v>1997</v>
      </c>
      <c r="D712" s="2">
        <v>67</v>
      </c>
      <c r="E712" s="2">
        <v>55</v>
      </c>
      <c r="F712" s="2">
        <v>12</v>
      </c>
      <c r="G712" s="1" t="s">
        <v>7</v>
      </c>
    </row>
    <row r="713" spans="1:7" hidden="1">
      <c r="A713" t="s">
        <v>76</v>
      </c>
      <c r="B713" s="1" t="s">
        <v>3</v>
      </c>
      <c r="C713" s="2">
        <v>1998</v>
      </c>
      <c r="D713" s="2">
        <v>53</v>
      </c>
      <c r="E713" s="2">
        <v>42</v>
      </c>
      <c r="F713" s="2">
        <v>10</v>
      </c>
      <c r="G713" s="2">
        <v>1</v>
      </c>
    </row>
    <row r="714" spans="1:7" hidden="1">
      <c r="A714" t="s">
        <v>76</v>
      </c>
      <c r="B714" s="1" t="s">
        <v>3</v>
      </c>
      <c r="C714" s="2">
        <v>1999</v>
      </c>
      <c r="D714" s="2">
        <v>46</v>
      </c>
      <c r="E714" s="2">
        <v>41</v>
      </c>
      <c r="F714" s="2">
        <v>5</v>
      </c>
      <c r="G714" s="1" t="s">
        <v>7</v>
      </c>
    </row>
    <row r="715" spans="1:7" hidden="1">
      <c r="A715" t="s">
        <v>76</v>
      </c>
      <c r="B715" s="1" t="s">
        <v>3</v>
      </c>
      <c r="C715" s="2">
        <v>2000</v>
      </c>
      <c r="D715" s="2">
        <v>54</v>
      </c>
      <c r="E715" s="2">
        <v>41</v>
      </c>
      <c r="F715" s="2">
        <v>13</v>
      </c>
      <c r="G715" s="1" t="s">
        <v>7</v>
      </c>
    </row>
    <row r="716" spans="1:7" hidden="1">
      <c r="A716" t="s">
        <v>76</v>
      </c>
      <c r="B716" s="1" t="s">
        <v>3</v>
      </c>
      <c r="C716" s="2">
        <v>2001</v>
      </c>
      <c r="D716" s="2">
        <v>50</v>
      </c>
      <c r="E716" s="2">
        <v>41</v>
      </c>
      <c r="F716" s="2">
        <v>9</v>
      </c>
      <c r="G716" s="1" t="s">
        <v>7</v>
      </c>
    </row>
    <row r="717" spans="1:7" hidden="1">
      <c r="A717" t="s">
        <v>76</v>
      </c>
      <c r="B717" s="1" t="s">
        <v>3</v>
      </c>
      <c r="C717" s="2">
        <v>2002</v>
      </c>
      <c r="D717" s="2">
        <v>58</v>
      </c>
      <c r="E717" s="2">
        <v>52</v>
      </c>
      <c r="F717" s="2">
        <v>6</v>
      </c>
      <c r="G717" s="1" t="s">
        <v>7</v>
      </c>
    </row>
    <row r="718" spans="1:7" hidden="1">
      <c r="A718" t="s">
        <v>76</v>
      </c>
      <c r="B718" s="1" t="s">
        <v>3</v>
      </c>
      <c r="C718" s="2">
        <v>2003</v>
      </c>
      <c r="D718" s="2">
        <v>57</v>
      </c>
      <c r="E718" s="2">
        <v>47</v>
      </c>
      <c r="F718" s="2">
        <v>10</v>
      </c>
      <c r="G718" s="1" t="s">
        <v>7</v>
      </c>
    </row>
    <row r="719" spans="1:7" hidden="1">
      <c r="A719" t="s">
        <v>76</v>
      </c>
      <c r="B719" s="1" t="s">
        <v>3</v>
      </c>
      <c r="C719" s="2">
        <v>2004</v>
      </c>
      <c r="D719" s="2">
        <v>56</v>
      </c>
      <c r="E719" s="2">
        <v>38</v>
      </c>
      <c r="F719" s="2">
        <v>18</v>
      </c>
      <c r="G719" s="1" t="s">
        <v>7</v>
      </c>
    </row>
    <row r="720" spans="1:7" hidden="1">
      <c r="A720" t="s">
        <v>76</v>
      </c>
      <c r="B720" s="1" t="s">
        <v>3</v>
      </c>
      <c r="C720" s="2">
        <v>2005</v>
      </c>
      <c r="D720" s="2">
        <v>50</v>
      </c>
      <c r="E720" s="2">
        <v>38</v>
      </c>
      <c r="F720" s="2">
        <v>12</v>
      </c>
      <c r="G720" s="1" t="s">
        <v>7</v>
      </c>
    </row>
    <row r="721" spans="1:7" hidden="1">
      <c r="A721" t="s">
        <v>76</v>
      </c>
      <c r="B721" s="1" t="s">
        <v>3</v>
      </c>
      <c r="C721" s="2">
        <v>2006</v>
      </c>
      <c r="D721" s="2">
        <v>73</v>
      </c>
      <c r="E721" s="2">
        <v>52</v>
      </c>
      <c r="F721" s="2">
        <v>21</v>
      </c>
      <c r="G721" s="1" t="s">
        <v>7</v>
      </c>
    </row>
    <row r="722" spans="1:7" hidden="1">
      <c r="A722" t="s">
        <v>76</v>
      </c>
      <c r="B722" s="1" t="s">
        <v>3</v>
      </c>
      <c r="C722" s="2">
        <v>2007</v>
      </c>
      <c r="D722" s="2">
        <v>53</v>
      </c>
      <c r="E722" s="2">
        <v>38</v>
      </c>
      <c r="F722" s="2">
        <v>15</v>
      </c>
      <c r="G722" s="1" t="s">
        <v>7</v>
      </c>
    </row>
    <row r="723" spans="1:7" hidden="1">
      <c r="A723" t="s">
        <v>76</v>
      </c>
      <c r="B723" s="1" t="s">
        <v>3</v>
      </c>
      <c r="C723" s="2">
        <v>2008</v>
      </c>
      <c r="D723" s="2">
        <v>48</v>
      </c>
      <c r="E723" s="2">
        <v>36</v>
      </c>
      <c r="F723" s="2">
        <v>12</v>
      </c>
      <c r="G723" s="1" t="s">
        <v>7</v>
      </c>
    </row>
    <row r="724" spans="1:7" hidden="1">
      <c r="A724" t="s">
        <v>76</v>
      </c>
      <c r="B724" s="1" t="s">
        <v>3</v>
      </c>
      <c r="C724" s="2">
        <v>2009</v>
      </c>
      <c r="D724" s="2">
        <v>68</v>
      </c>
      <c r="E724" s="2">
        <v>52</v>
      </c>
      <c r="F724" s="2">
        <v>16</v>
      </c>
      <c r="G724" s="1" t="s">
        <v>7</v>
      </c>
    </row>
    <row r="725" spans="1:7">
      <c r="A725" t="s">
        <v>76</v>
      </c>
      <c r="B725" s="1" t="s">
        <v>3</v>
      </c>
      <c r="C725" s="2">
        <v>2010</v>
      </c>
      <c r="D725" s="2">
        <v>63</v>
      </c>
      <c r="E725" s="2">
        <v>48</v>
      </c>
      <c r="F725" s="2">
        <v>15</v>
      </c>
      <c r="G725" s="1" t="s">
        <v>7</v>
      </c>
    </row>
    <row r="726" spans="1:7" hidden="1">
      <c r="A726" t="s">
        <v>76</v>
      </c>
      <c r="B726" s="1" t="s">
        <v>3</v>
      </c>
      <c r="C726" s="2">
        <v>2011</v>
      </c>
      <c r="D726" s="2">
        <v>91</v>
      </c>
      <c r="E726" s="2">
        <v>63</v>
      </c>
      <c r="F726" s="2">
        <v>28</v>
      </c>
      <c r="G726" s="1" t="s">
        <v>7</v>
      </c>
    </row>
    <row r="727" spans="1:7" hidden="1">
      <c r="A727" t="s">
        <v>76</v>
      </c>
      <c r="B727" s="1" t="s">
        <v>3</v>
      </c>
      <c r="C727" s="2">
        <v>2012</v>
      </c>
      <c r="D727" s="2">
        <v>101</v>
      </c>
      <c r="E727" s="2">
        <v>87</v>
      </c>
      <c r="F727" s="2">
        <v>14</v>
      </c>
      <c r="G727" s="1" t="s">
        <v>7</v>
      </c>
    </row>
    <row r="728" spans="1:7" hidden="1">
      <c r="A728" t="s">
        <v>76</v>
      </c>
      <c r="B728" s="1" t="s">
        <v>3</v>
      </c>
      <c r="C728" s="2">
        <v>2013</v>
      </c>
      <c r="D728" s="2">
        <v>109</v>
      </c>
      <c r="E728" s="2">
        <v>90</v>
      </c>
      <c r="F728" s="2">
        <v>19</v>
      </c>
      <c r="G728" s="1" t="s">
        <v>7</v>
      </c>
    </row>
    <row r="729" spans="1:7" hidden="1">
      <c r="A729" t="s">
        <v>76</v>
      </c>
      <c r="B729" s="1" t="s">
        <v>3</v>
      </c>
      <c r="C729" s="2">
        <v>2014</v>
      </c>
      <c r="D729" s="2">
        <v>71</v>
      </c>
      <c r="E729" s="2">
        <v>51</v>
      </c>
      <c r="F729" s="2">
        <v>20</v>
      </c>
      <c r="G729" s="1" t="s">
        <v>7</v>
      </c>
    </row>
    <row r="730" spans="1:7" hidden="1">
      <c r="A730" t="s">
        <v>76</v>
      </c>
      <c r="B730" s="1" t="s">
        <v>3</v>
      </c>
      <c r="C730" s="2">
        <v>2015</v>
      </c>
      <c r="D730" s="2">
        <v>112</v>
      </c>
      <c r="E730" s="2">
        <v>91</v>
      </c>
      <c r="F730" s="2">
        <v>21</v>
      </c>
      <c r="G730" s="1" t="s">
        <v>7</v>
      </c>
    </row>
    <row r="731" spans="1:7" hidden="1">
      <c r="A731" t="s">
        <v>76</v>
      </c>
      <c r="B731" s="1" t="s">
        <v>3</v>
      </c>
      <c r="C731" s="2">
        <v>2016</v>
      </c>
      <c r="D731" s="2">
        <v>177</v>
      </c>
      <c r="E731" s="2">
        <v>138</v>
      </c>
      <c r="F731" s="2">
        <v>39</v>
      </c>
      <c r="G731" s="1" t="s">
        <v>7</v>
      </c>
    </row>
    <row r="732" spans="1:7" hidden="1">
      <c r="A732" t="s">
        <v>76</v>
      </c>
      <c r="B732" s="1" t="s">
        <v>3</v>
      </c>
      <c r="C732" s="2">
        <v>2017</v>
      </c>
      <c r="D732" s="2">
        <v>183</v>
      </c>
      <c r="E732" s="2">
        <v>152</v>
      </c>
      <c r="F732" s="2">
        <v>31</v>
      </c>
      <c r="G732" s="1" t="s">
        <v>7</v>
      </c>
    </row>
    <row r="733" spans="1:7" hidden="1">
      <c r="A733" t="s">
        <v>76</v>
      </c>
      <c r="B733" s="1" t="s">
        <v>3</v>
      </c>
      <c r="C733" s="2">
        <v>2018</v>
      </c>
      <c r="D733" s="2">
        <v>182</v>
      </c>
      <c r="E733" s="2">
        <v>156</v>
      </c>
      <c r="F733" s="2">
        <v>26</v>
      </c>
      <c r="G733" s="1" t="s">
        <v>7</v>
      </c>
    </row>
    <row r="734" spans="1:7">
      <c r="A734" t="s">
        <v>76</v>
      </c>
      <c r="B734" s="1" t="s">
        <v>3</v>
      </c>
      <c r="C734" s="2">
        <v>2019</v>
      </c>
      <c r="D734" s="2">
        <v>188</v>
      </c>
      <c r="E734" s="2">
        <v>149</v>
      </c>
      <c r="F734" s="2">
        <v>39</v>
      </c>
      <c r="G734" s="1" t="s">
        <v>7</v>
      </c>
    </row>
    <row r="735" spans="1:7" hidden="1">
      <c r="A735" t="s">
        <v>76</v>
      </c>
      <c r="B735" s="1" t="s">
        <v>3</v>
      </c>
      <c r="C735" s="2">
        <v>2020</v>
      </c>
      <c r="D735" s="2">
        <v>182</v>
      </c>
      <c r="E735" s="2">
        <v>157</v>
      </c>
      <c r="F735" s="2">
        <v>25</v>
      </c>
      <c r="G735" s="1" t="s">
        <v>7</v>
      </c>
    </row>
    <row r="736" spans="1:7">
      <c r="A736" t="s">
        <v>76</v>
      </c>
      <c r="B736" s="1" t="s">
        <v>3</v>
      </c>
      <c r="C736" s="2">
        <v>2021</v>
      </c>
      <c r="D736" s="2">
        <v>197</v>
      </c>
      <c r="E736" s="2">
        <v>162</v>
      </c>
      <c r="F736" s="2">
        <v>35</v>
      </c>
      <c r="G736" s="1" t="s">
        <v>7</v>
      </c>
    </row>
    <row r="737" spans="1:7" hidden="1">
      <c r="A737" t="s">
        <v>76</v>
      </c>
      <c r="B737" s="1" t="s">
        <v>3</v>
      </c>
      <c r="C737" s="2">
        <v>2022</v>
      </c>
      <c r="D737" s="2">
        <v>218</v>
      </c>
      <c r="E737" s="2">
        <v>174</v>
      </c>
      <c r="F737" s="2">
        <v>44</v>
      </c>
      <c r="G737" s="1" t="s">
        <v>7</v>
      </c>
    </row>
    <row r="738" spans="1:7" hidden="1">
      <c r="A738" t="s">
        <v>76</v>
      </c>
      <c r="B738" s="1" t="s">
        <v>3</v>
      </c>
      <c r="C738" s="2">
        <v>2023</v>
      </c>
      <c r="D738" s="2">
        <v>179</v>
      </c>
      <c r="E738" s="2">
        <v>146</v>
      </c>
      <c r="F738" s="2">
        <v>33</v>
      </c>
      <c r="G738" s="1" t="s">
        <v>7</v>
      </c>
    </row>
    <row r="739" spans="1:7" hidden="1">
      <c r="A739" t="s">
        <v>76</v>
      </c>
      <c r="B739" s="1" t="s">
        <v>3</v>
      </c>
      <c r="C739" s="2">
        <v>2024</v>
      </c>
      <c r="D739" s="2">
        <v>210</v>
      </c>
      <c r="E739" s="2">
        <v>169</v>
      </c>
      <c r="F739" s="2">
        <v>41</v>
      </c>
      <c r="G739" s="1" t="s">
        <v>7</v>
      </c>
    </row>
    <row r="740" spans="1:7" hidden="1">
      <c r="A740" t="s">
        <v>76</v>
      </c>
      <c r="B740" s="1" t="s">
        <v>30</v>
      </c>
      <c r="C740" s="2">
        <v>1995</v>
      </c>
      <c r="D740" s="2">
        <v>1</v>
      </c>
      <c r="E740" s="2">
        <v>1</v>
      </c>
      <c r="F740" s="1" t="s">
        <v>7</v>
      </c>
      <c r="G740" s="1" t="s">
        <v>7</v>
      </c>
    </row>
    <row r="741" spans="1:7" hidden="1">
      <c r="A741" t="s">
        <v>76</v>
      </c>
      <c r="B741" s="1" t="s">
        <v>35</v>
      </c>
      <c r="C741" s="2">
        <v>1990</v>
      </c>
      <c r="D741" s="2">
        <v>62</v>
      </c>
      <c r="E741" s="2">
        <v>49</v>
      </c>
      <c r="F741" s="2">
        <v>13</v>
      </c>
      <c r="G741" s="1" t="s">
        <v>7</v>
      </c>
    </row>
    <row r="742" spans="1:7" hidden="1">
      <c r="A742" t="s">
        <v>76</v>
      </c>
      <c r="B742" s="1" t="s">
        <v>35</v>
      </c>
      <c r="C742" s="2">
        <v>2005</v>
      </c>
      <c r="D742" s="2">
        <v>1</v>
      </c>
      <c r="E742" s="2">
        <v>1</v>
      </c>
      <c r="F742" s="1" t="s">
        <v>7</v>
      </c>
      <c r="G742" s="1" t="s">
        <v>7</v>
      </c>
    </row>
    <row r="743" spans="1:7" hidden="1">
      <c r="A743" t="s">
        <v>76</v>
      </c>
      <c r="B743" s="1" t="s">
        <v>36</v>
      </c>
      <c r="C743" s="2">
        <v>1991</v>
      </c>
      <c r="D743" s="2">
        <v>62</v>
      </c>
      <c r="E743" s="2">
        <v>45</v>
      </c>
      <c r="F743" s="2">
        <v>17</v>
      </c>
      <c r="G743" s="1" t="s">
        <v>7</v>
      </c>
    </row>
    <row r="744" spans="1:7" hidden="1">
      <c r="A744" t="s">
        <v>76</v>
      </c>
      <c r="B744" s="1" t="s">
        <v>37</v>
      </c>
      <c r="C744" s="2">
        <v>1992</v>
      </c>
      <c r="D744" s="2">
        <v>42</v>
      </c>
      <c r="E744" s="2">
        <v>34</v>
      </c>
      <c r="F744" s="2">
        <v>8</v>
      </c>
      <c r="G744" s="1" t="s">
        <v>7</v>
      </c>
    </row>
    <row r="745" spans="1:7" hidden="1">
      <c r="A745" t="s">
        <v>76</v>
      </c>
      <c r="B745" s="1" t="s">
        <v>37</v>
      </c>
      <c r="C745" s="2">
        <v>1993</v>
      </c>
      <c r="D745" s="2">
        <v>1</v>
      </c>
      <c r="E745" s="2">
        <v>1</v>
      </c>
      <c r="F745" s="1" t="s">
        <v>7</v>
      </c>
      <c r="G745" s="1" t="s">
        <v>7</v>
      </c>
    </row>
    <row r="746" spans="1:7" hidden="1">
      <c r="A746" t="s">
        <v>76</v>
      </c>
      <c r="B746" s="1" t="s">
        <v>38</v>
      </c>
      <c r="C746" s="2">
        <v>1993</v>
      </c>
      <c r="D746" s="2">
        <v>56</v>
      </c>
      <c r="E746" s="2">
        <v>37</v>
      </c>
      <c r="F746" s="2">
        <v>19</v>
      </c>
      <c r="G746" s="1" t="s">
        <v>7</v>
      </c>
    </row>
    <row r="747" spans="1:7" hidden="1">
      <c r="A747" t="s">
        <v>76</v>
      </c>
      <c r="B747" s="1" t="s">
        <v>39</v>
      </c>
      <c r="C747" s="2">
        <v>1994</v>
      </c>
      <c r="D747" s="2">
        <v>59</v>
      </c>
      <c r="E747" s="2">
        <v>49</v>
      </c>
      <c r="F747" s="2">
        <v>10</v>
      </c>
      <c r="G747" s="1" t="s">
        <v>7</v>
      </c>
    </row>
    <row r="748" spans="1:7" hidden="1">
      <c r="A748" t="s">
        <v>76</v>
      </c>
      <c r="B748" s="1" t="s">
        <v>40</v>
      </c>
      <c r="C748" s="2">
        <v>1995</v>
      </c>
      <c r="D748" s="2">
        <v>62</v>
      </c>
      <c r="E748" s="2">
        <v>46</v>
      </c>
      <c r="F748" s="2">
        <v>16</v>
      </c>
      <c r="G748" s="1" t="s">
        <v>7</v>
      </c>
    </row>
    <row r="749" spans="1:7" hidden="1">
      <c r="A749" t="s">
        <v>76</v>
      </c>
      <c r="B749" s="1" t="s">
        <v>40</v>
      </c>
      <c r="C749" s="2">
        <v>1996</v>
      </c>
      <c r="D749" s="2">
        <v>2</v>
      </c>
      <c r="E749" s="2">
        <v>1</v>
      </c>
      <c r="F749" s="2">
        <v>1</v>
      </c>
      <c r="G749" s="1" t="s">
        <v>7</v>
      </c>
    </row>
    <row r="750" spans="1:7" hidden="1">
      <c r="A750" t="s">
        <v>76</v>
      </c>
      <c r="B750" s="1" t="s">
        <v>41</v>
      </c>
      <c r="C750" s="2">
        <v>1996</v>
      </c>
      <c r="D750" s="2">
        <v>55</v>
      </c>
      <c r="E750" s="2">
        <v>44</v>
      </c>
      <c r="F750" s="2">
        <v>11</v>
      </c>
      <c r="G750" s="1" t="s">
        <v>7</v>
      </c>
    </row>
    <row r="751" spans="1:7" hidden="1">
      <c r="A751" t="s">
        <v>76</v>
      </c>
      <c r="B751" s="1" t="s">
        <v>42</v>
      </c>
      <c r="C751" s="2">
        <v>1997</v>
      </c>
      <c r="D751" s="2">
        <v>67</v>
      </c>
      <c r="E751" s="2">
        <v>55</v>
      </c>
      <c r="F751" s="2">
        <v>12</v>
      </c>
      <c r="G751" s="1" t="s">
        <v>7</v>
      </c>
    </row>
    <row r="752" spans="1:7" hidden="1">
      <c r="A752" t="s">
        <v>76</v>
      </c>
      <c r="B752" s="1" t="s">
        <v>42</v>
      </c>
      <c r="C752" s="2">
        <v>1998</v>
      </c>
      <c r="D752" s="2">
        <v>1</v>
      </c>
      <c r="E752" s="2">
        <v>1</v>
      </c>
      <c r="F752" s="1" t="s">
        <v>7</v>
      </c>
      <c r="G752" s="1" t="s">
        <v>7</v>
      </c>
    </row>
    <row r="753" spans="1:7" hidden="1">
      <c r="A753" t="s">
        <v>76</v>
      </c>
      <c r="B753" s="1" t="s">
        <v>43</v>
      </c>
      <c r="C753" s="2">
        <v>1998</v>
      </c>
      <c r="D753" s="2">
        <v>52</v>
      </c>
      <c r="E753" s="2">
        <v>41</v>
      </c>
      <c r="F753" s="2">
        <v>10</v>
      </c>
      <c r="G753" s="2">
        <v>1</v>
      </c>
    </row>
    <row r="754" spans="1:7" hidden="1">
      <c r="A754" t="s">
        <v>76</v>
      </c>
      <c r="B754" s="1" t="s">
        <v>44</v>
      </c>
      <c r="C754" s="2">
        <v>1999</v>
      </c>
      <c r="D754" s="2">
        <v>46</v>
      </c>
      <c r="E754" s="2">
        <v>41</v>
      </c>
      <c r="F754" s="2">
        <v>5</v>
      </c>
      <c r="G754" s="1" t="s">
        <v>7</v>
      </c>
    </row>
    <row r="755" spans="1:7" hidden="1">
      <c r="A755" t="s">
        <v>76</v>
      </c>
      <c r="B755" s="1" t="s">
        <v>44</v>
      </c>
      <c r="C755" s="2">
        <v>2000</v>
      </c>
      <c r="D755" s="2">
        <v>1</v>
      </c>
      <c r="E755" s="2">
        <v>1</v>
      </c>
      <c r="F755" s="1" t="s">
        <v>7</v>
      </c>
      <c r="G755" s="1" t="s">
        <v>7</v>
      </c>
    </row>
    <row r="756" spans="1:7" hidden="1">
      <c r="A756" t="s">
        <v>76</v>
      </c>
      <c r="B756" s="1" t="s">
        <v>45</v>
      </c>
      <c r="C756" s="2">
        <v>2000</v>
      </c>
      <c r="D756" s="2">
        <v>53</v>
      </c>
      <c r="E756" s="2">
        <v>40</v>
      </c>
      <c r="F756" s="2">
        <v>13</v>
      </c>
      <c r="G756" s="1" t="s">
        <v>7</v>
      </c>
    </row>
    <row r="757" spans="1:7" hidden="1">
      <c r="A757" t="s">
        <v>76</v>
      </c>
      <c r="B757" s="1" t="s">
        <v>45</v>
      </c>
      <c r="C757" s="2">
        <v>2001</v>
      </c>
      <c r="D757" s="2">
        <v>1</v>
      </c>
      <c r="E757" s="2">
        <v>1</v>
      </c>
      <c r="F757" s="1" t="s">
        <v>7</v>
      </c>
      <c r="G757" s="1" t="s">
        <v>7</v>
      </c>
    </row>
    <row r="758" spans="1:7" hidden="1">
      <c r="A758" t="s">
        <v>76</v>
      </c>
      <c r="B758" s="1" t="s">
        <v>46</v>
      </c>
      <c r="C758" s="2">
        <v>2001</v>
      </c>
      <c r="D758" s="2">
        <v>49</v>
      </c>
      <c r="E758" s="2">
        <v>40</v>
      </c>
      <c r="F758" s="2">
        <v>9</v>
      </c>
      <c r="G758" s="1" t="s">
        <v>7</v>
      </c>
    </row>
    <row r="759" spans="1:7" hidden="1">
      <c r="A759" t="s">
        <v>76</v>
      </c>
      <c r="B759" s="1" t="s">
        <v>46</v>
      </c>
      <c r="C759" s="2">
        <v>2002</v>
      </c>
      <c r="D759" s="2">
        <v>1</v>
      </c>
      <c r="E759" s="2">
        <v>1</v>
      </c>
      <c r="F759" s="1" t="s">
        <v>7</v>
      </c>
      <c r="G759" s="1" t="s">
        <v>7</v>
      </c>
    </row>
    <row r="760" spans="1:7" hidden="1">
      <c r="A760" t="s">
        <v>76</v>
      </c>
      <c r="B760" s="1" t="s">
        <v>47</v>
      </c>
      <c r="C760" s="2">
        <v>2002</v>
      </c>
      <c r="D760" s="2">
        <v>57</v>
      </c>
      <c r="E760" s="2">
        <v>51</v>
      </c>
      <c r="F760" s="2">
        <v>6</v>
      </c>
      <c r="G760" s="1" t="s">
        <v>7</v>
      </c>
    </row>
    <row r="761" spans="1:7" hidden="1">
      <c r="A761" t="s">
        <v>76</v>
      </c>
      <c r="B761" s="1" t="s">
        <v>48</v>
      </c>
      <c r="C761" s="2">
        <v>2003</v>
      </c>
      <c r="D761" s="2">
        <v>57</v>
      </c>
      <c r="E761" s="2">
        <v>47</v>
      </c>
      <c r="F761" s="2">
        <v>10</v>
      </c>
      <c r="G761" s="1" t="s">
        <v>7</v>
      </c>
    </row>
    <row r="762" spans="1:7" hidden="1">
      <c r="A762" t="s">
        <v>76</v>
      </c>
      <c r="B762" s="1" t="s">
        <v>49</v>
      </c>
      <c r="C762" s="2">
        <v>2004</v>
      </c>
      <c r="D762" s="2">
        <v>56</v>
      </c>
      <c r="E762" s="2">
        <v>38</v>
      </c>
      <c r="F762" s="2">
        <v>18</v>
      </c>
      <c r="G762" s="1" t="s">
        <v>7</v>
      </c>
    </row>
    <row r="763" spans="1:7" hidden="1">
      <c r="A763" t="s">
        <v>76</v>
      </c>
      <c r="B763" s="1" t="s">
        <v>49</v>
      </c>
      <c r="C763" s="2">
        <v>2005</v>
      </c>
      <c r="D763" s="2">
        <v>1</v>
      </c>
      <c r="E763" s="2">
        <v>1</v>
      </c>
      <c r="F763" s="1" t="s">
        <v>7</v>
      </c>
      <c r="G763" s="1" t="s">
        <v>7</v>
      </c>
    </row>
    <row r="764" spans="1:7" hidden="1">
      <c r="A764" t="s">
        <v>76</v>
      </c>
      <c r="B764" s="1" t="s">
        <v>50</v>
      </c>
      <c r="C764" s="2">
        <v>2005</v>
      </c>
      <c r="D764" s="2">
        <v>48</v>
      </c>
      <c r="E764" s="2">
        <v>36</v>
      </c>
      <c r="F764" s="2">
        <v>12</v>
      </c>
      <c r="G764" s="1" t="s">
        <v>7</v>
      </c>
    </row>
    <row r="765" spans="1:7" hidden="1">
      <c r="A765" t="s">
        <v>76</v>
      </c>
      <c r="B765" s="1" t="s">
        <v>51</v>
      </c>
      <c r="C765" s="2">
        <v>2006</v>
      </c>
      <c r="D765" s="2">
        <v>73</v>
      </c>
      <c r="E765" s="2">
        <v>52</v>
      </c>
      <c r="F765" s="2">
        <v>21</v>
      </c>
      <c r="G765" s="1" t="s">
        <v>7</v>
      </c>
    </row>
    <row r="766" spans="1:7" hidden="1">
      <c r="A766" t="s">
        <v>76</v>
      </c>
      <c r="B766" s="1" t="s">
        <v>52</v>
      </c>
      <c r="C766" s="2">
        <v>2007</v>
      </c>
      <c r="D766" s="2">
        <v>53</v>
      </c>
      <c r="E766" s="2">
        <v>38</v>
      </c>
      <c r="F766" s="2">
        <v>15</v>
      </c>
      <c r="G766" s="1" t="s">
        <v>7</v>
      </c>
    </row>
    <row r="767" spans="1:7" hidden="1">
      <c r="A767" t="s">
        <v>76</v>
      </c>
      <c r="B767" s="1" t="s">
        <v>53</v>
      </c>
      <c r="C767" s="2">
        <v>2008</v>
      </c>
      <c r="D767" s="2">
        <v>48</v>
      </c>
      <c r="E767" s="2">
        <v>36</v>
      </c>
      <c r="F767" s="2">
        <v>12</v>
      </c>
      <c r="G767" s="1" t="s">
        <v>7</v>
      </c>
    </row>
    <row r="768" spans="1:7" hidden="1">
      <c r="A768" t="s">
        <v>76</v>
      </c>
      <c r="B768" s="1" t="s">
        <v>53</v>
      </c>
      <c r="C768" s="2">
        <v>2009</v>
      </c>
      <c r="D768" s="2">
        <v>2</v>
      </c>
      <c r="E768" s="2">
        <v>2</v>
      </c>
      <c r="F768" s="1" t="s">
        <v>7</v>
      </c>
      <c r="G768" s="1" t="s">
        <v>7</v>
      </c>
    </row>
    <row r="769" spans="1:7" hidden="1">
      <c r="A769" t="s">
        <v>76</v>
      </c>
      <c r="B769" s="1" t="s">
        <v>54</v>
      </c>
      <c r="C769" s="2">
        <v>2009</v>
      </c>
      <c r="D769" s="2">
        <v>66</v>
      </c>
      <c r="E769" s="2">
        <v>50</v>
      </c>
      <c r="F769" s="2">
        <v>16</v>
      </c>
      <c r="G769" s="1" t="s">
        <v>7</v>
      </c>
    </row>
    <row r="770" spans="1:7" hidden="1">
      <c r="A770" t="s">
        <v>76</v>
      </c>
      <c r="B770" s="1" t="s">
        <v>55</v>
      </c>
      <c r="C770" s="2">
        <v>2010</v>
      </c>
      <c r="D770" s="2">
        <v>63</v>
      </c>
      <c r="E770" s="2">
        <v>48</v>
      </c>
      <c r="F770" s="2">
        <v>15</v>
      </c>
      <c r="G770" s="1" t="s">
        <v>7</v>
      </c>
    </row>
    <row r="771" spans="1:7" hidden="1">
      <c r="A771" t="s">
        <v>76</v>
      </c>
      <c r="B771" s="1" t="s">
        <v>56</v>
      </c>
      <c r="C771" s="2">
        <v>2011</v>
      </c>
      <c r="D771" s="2">
        <v>91</v>
      </c>
      <c r="E771" s="2">
        <v>63</v>
      </c>
      <c r="F771" s="2">
        <v>28</v>
      </c>
      <c r="G771" s="1" t="s">
        <v>7</v>
      </c>
    </row>
    <row r="772" spans="1:7" hidden="1">
      <c r="A772" t="s">
        <v>76</v>
      </c>
      <c r="B772" s="1" t="s">
        <v>57</v>
      </c>
      <c r="C772" s="2">
        <v>2012</v>
      </c>
      <c r="D772" s="2">
        <v>101</v>
      </c>
      <c r="E772" s="2">
        <v>87</v>
      </c>
      <c r="F772" s="2">
        <v>14</v>
      </c>
      <c r="G772" s="1" t="s">
        <v>7</v>
      </c>
    </row>
    <row r="773" spans="1:7" hidden="1">
      <c r="A773" t="s">
        <v>76</v>
      </c>
      <c r="B773" s="1" t="s">
        <v>57</v>
      </c>
      <c r="C773" s="2">
        <v>2013</v>
      </c>
      <c r="D773" s="2">
        <v>1</v>
      </c>
      <c r="E773" s="2">
        <v>1</v>
      </c>
      <c r="F773" s="1" t="s">
        <v>7</v>
      </c>
      <c r="G773" s="1" t="s">
        <v>7</v>
      </c>
    </row>
    <row r="774" spans="1:7" hidden="1">
      <c r="A774" t="s">
        <v>76</v>
      </c>
      <c r="B774" s="1" t="s">
        <v>58</v>
      </c>
      <c r="C774" s="2">
        <v>2013</v>
      </c>
      <c r="D774" s="2">
        <v>108</v>
      </c>
      <c r="E774" s="2">
        <v>89</v>
      </c>
      <c r="F774" s="2">
        <v>19</v>
      </c>
      <c r="G774" s="1" t="s">
        <v>7</v>
      </c>
    </row>
    <row r="775" spans="1:7" hidden="1">
      <c r="A775" t="s">
        <v>76</v>
      </c>
      <c r="B775" s="1" t="s">
        <v>58</v>
      </c>
      <c r="C775" s="2">
        <v>2014</v>
      </c>
      <c r="D775" s="2">
        <v>1</v>
      </c>
      <c r="E775" s="2">
        <v>1</v>
      </c>
      <c r="F775" s="1" t="s">
        <v>7</v>
      </c>
      <c r="G775" s="1" t="s">
        <v>7</v>
      </c>
    </row>
    <row r="776" spans="1:7" hidden="1">
      <c r="A776" t="s">
        <v>76</v>
      </c>
      <c r="B776" s="1" t="s">
        <v>59</v>
      </c>
      <c r="C776" s="2">
        <v>2014</v>
      </c>
      <c r="D776" s="2">
        <v>70</v>
      </c>
      <c r="E776" s="2">
        <v>50</v>
      </c>
      <c r="F776" s="2">
        <v>20</v>
      </c>
      <c r="G776" s="1" t="s">
        <v>7</v>
      </c>
    </row>
    <row r="777" spans="1:7" hidden="1">
      <c r="A777" t="s">
        <v>76</v>
      </c>
      <c r="B777" s="1" t="s">
        <v>59</v>
      </c>
      <c r="C777" s="2">
        <v>2015</v>
      </c>
      <c r="D777" s="2">
        <v>4</v>
      </c>
      <c r="E777" s="2">
        <v>3</v>
      </c>
      <c r="F777" s="2">
        <v>1</v>
      </c>
      <c r="G777" s="1" t="s">
        <v>7</v>
      </c>
    </row>
    <row r="778" spans="1:7" hidden="1">
      <c r="A778" t="s">
        <v>76</v>
      </c>
      <c r="B778" s="1" t="s">
        <v>59</v>
      </c>
      <c r="C778" s="2">
        <v>2016</v>
      </c>
      <c r="D778" s="2">
        <v>1</v>
      </c>
      <c r="E778" s="2">
        <v>1</v>
      </c>
      <c r="F778" s="1" t="s">
        <v>7</v>
      </c>
      <c r="G778" s="1" t="s">
        <v>7</v>
      </c>
    </row>
    <row r="779" spans="1:7" hidden="1">
      <c r="A779" t="s">
        <v>76</v>
      </c>
      <c r="B779" s="1" t="s">
        <v>60</v>
      </c>
      <c r="C779" s="2">
        <v>2015</v>
      </c>
      <c r="D779" s="2">
        <v>108</v>
      </c>
      <c r="E779" s="2">
        <v>88</v>
      </c>
      <c r="F779" s="2">
        <v>20</v>
      </c>
      <c r="G779" s="1" t="s">
        <v>7</v>
      </c>
    </row>
    <row r="780" spans="1:7" hidden="1">
      <c r="A780" t="s">
        <v>76</v>
      </c>
      <c r="B780" s="1" t="s">
        <v>61</v>
      </c>
      <c r="C780" s="2">
        <v>2016</v>
      </c>
      <c r="D780" s="2">
        <v>176</v>
      </c>
      <c r="E780" s="2">
        <v>137</v>
      </c>
      <c r="F780" s="2">
        <v>39</v>
      </c>
      <c r="G780" s="1" t="s">
        <v>7</v>
      </c>
    </row>
    <row r="781" spans="1:7" hidden="1">
      <c r="A781" t="s">
        <v>76</v>
      </c>
      <c r="B781" s="1" t="s">
        <v>61</v>
      </c>
      <c r="C781" s="2">
        <v>2017</v>
      </c>
      <c r="D781" s="2">
        <v>1</v>
      </c>
      <c r="E781" s="2">
        <v>1</v>
      </c>
      <c r="F781" s="1" t="s">
        <v>7</v>
      </c>
      <c r="G781" s="1" t="s">
        <v>7</v>
      </c>
    </row>
    <row r="782" spans="1:7" hidden="1">
      <c r="A782" t="s">
        <v>76</v>
      </c>
      <c r="B782" s="1" t="s">
        <v>62</v>
      </c>
      <c r="C782" s="2">
        <v>2017</v>
      </c>
      <c r="D782" s="2">
        <v>182</v>
      </c>
      <c r="E782" s="2">
        <v>151</v>
      </c>
      <c r="F782" s="2">
        <v>31</v>
      </c>
      <c r="G782" s="1" t="s">
        <v>7</v>
      </c>
    </row>
    <row r="783" spans="1:7" hidden="1">
      <c r="A783" t="s">
        <v>76</v>
      </c>
      <c r="B783" s="1" t="s">
        <v>63</v>
      </c>
      <c r="C783" s="2">
        <v>2018</v>
      </c>
      <c r="D783" s="2">
        <v>182</v>
      </c>
      <c r="E783" s="2">
        <v>156</v>
      </c>
      <c r="F783" s="2">
        <v>26</v>
      </c>
      <c r="G783" s="1" t="s">
        <v>7</v>
      </c>
    </row>
    <row r="784" spans="1:7" hidden="1">
      <c r="A784" t="s">
        <v>76</v>
      </c>
      <c r="B784" s="1" t="s">
        <v>63</v>
      </c>
      <c r="C784" s="2">
        <v>2019</v>
      </c>
      <c r="D784" s="2">
        <v>8</v>
      </c>
      <c r="E784" s="2">
        <v>5</v>
      </c>
      <c r="F784" s="2">
        <v>3</v>
      </c>
      <c r="G784" s="1" t="s">
        <v>7</v>
      </c>
    </row>
    <row r="785" spans="1:7" hidden="1">
      <c r="A785" t="s">
        <v>76</v>
      </c>
      <c r="B785" s="1" t="s">
        <v>63</v>
      </c>
      <c r="C785" s="2">
        <v>2020</v>
      </c>
      <c r="D785" s="2">
        <v>2</v>
      </c>
      <c r="E785" s="2">
        <v>2</v>
      </c>
      <c r="F785" s="1" t="s">
        <v>7</v>
      </c>
      <c r="G785" s="1" t="s">
        <v>7</v>
      </c>
    </row>
    <row r="786" spans="1:7" hidden="1">
      <c r="A786" t="s">
        <v>76</v>
      </c>
      <c r="B786" s="1" t="s">
        <v>63</v>
      </c>
      <c r="C786" s="2">
        <v>2023</v>
      </c>
      <c r="D786" s="2">
        <v>1</v>
      </c>
      <c r="E786" s="2">
        <v>1</v>
      </c>
      <c r="F786" s="1" t="s">
        <v>7</v>
      </c>
      <c r="G786" s="1" t="s">
        <v>7</v>
      </c>
    </row>
    <row r="787" spans="1:7" hidden="1">
      <c r="A787" t="s">
        <v>76</v>
      </c>
      <c r="B787" s="1" t="s">
        <v>64</v>
      </c>
      <c r="C787" s="2">
        <v>2019</v>
      </c>
      <c r="D787" s="2">
        <v>180</v>
      </c>
      <c r="E787" s="2">
        <v>144</v>
      </c>
      <c r="F787" s="2">
        <v>36</v>
      </c>
      <c r="G787" s="1" t="s">
        <v>7</v>
      </c>
    </row>
    <row r="788" spans="1:7" hidden="1">
      <c r="A788" t="s">
        <v>76</v>
      </c>
      <c r="B788" s="1" t="s">
        <v>64</v>
      </c>
      <c r="C788" s="2">
        <v>2020</v>
      </c>
      <c r="D788" s="2">
        <v>1</v>
      </c>
      <c r="E788" s="2">
        <v>1</v>
      </c>
      <c r="F788" s="1" t="s">
        <v>7</v>
      </c>
      <c r="G788" s="1" t="s">
        <v>7</v>
      </c>
    </row>
    <row r="789" spans="1:7" hidden="1">
      <c r="A789" t="s">
        <v>76</v>
      </c>
      <c r="B789" s="1" t="s">
        <v>64</v>
      </c>
      <c r="C789" s="2">
        <v>2022</v>
      </c>
      <c r="D789" s="2">
        <v>1</v>
      </c>
      <c r="E789" s="2">
        <v>1</v>
      </c>
      <c r="F789" s="1" t="s">
        <v>7</v>
      </c>
      <c r="G789" s="1" t="s">
        <v>7</v>
      </c>
    </row>
    <row r="790" spans="1:7" hidden="1">
      <c r="A790" t="s">
        <v>76</v>
      </c>
      <c r="B790" s="1" t="s">
        <v>65</v>
      </c>
      <c r="C790" s="2">
        <v>2020</v>
      </c>
      <c r="D790" s="2">
        <v>178</v>
      </c>
      <c r="E790" s="2">
        <v>153</v>
      </c>
      <c r="F790" s="2">
        <v>25</v>
      </c>
      <c r="G790" s="1" t="s">
        <v>7</v>
      </c>
    </row>
    <row r="791" spans="1:7" hidden="1">
      <c r="A791" t="s">
        <v>76</v>
      </c>
      <c r="B791" s="1" t="s">
        <v>65</v>
      </c>
      <c r="C791" s="2">
        <v>2021</v>
      </c>
      <c r="D791" s="2">
        <v>6</v>
      </c>
      <c r="E791" s="2">
        <v>6</v>
      </c>
      <c r="F791" s="1" t="s">
        <v>7</v>
      </c>
      <c r="G791" s="1" t="s">
        <v>7</v>
      </c>
    </row>
    <row r="792" spans="1:7" hidden="1">
      <c r="A792" t="s">
        <v>76</v>
      </c>
      <c r="B792" s="1" t="s">
        <v>65</v>
      </c>
      <c r="C792" s="2">
        <v>2022</v>
      </c>
      <c r="D792" s="2">
        <v>1</v>
      </c>
      <c r="E792" s="1" t="s">
        <v>7</v>
      </c>
      <c r="F792" s="2">
        <v>1</v>
      </c>
      <c r="G792" s="1" t="s">
        <v>7</v>
      </c>
    </row>
    <row r="793" spans="1:7" hidden="1">
      <c r="A793" t="s">
        <v>76</v>
      </c>
      <c r="B793" s="1" t="s">
        <v>66</v>
      </c>
      <c r="C793" s="2">
        <v>2021</v>
      </c>
      <c r="D793" s="2">
        <v>187</v>
      </c>
      <c r="E793" s="2">
        <v>154</v>
      </c>
      <c r="F793" s="2">
        <v>33</v>
      </c>
      <c r="G793" s="1" t="s">
        <v>7</v>
      </c>
    </row>
    <row r="794" spans="1:7" hidden="1">
      <c r="A794" t="s">
        <v>76</v>
      </c>
      <c r="B794" s="1" t="s">
        <v>66</v>
      </c>
      <c r="C794" s="2">
        <v>2022</v>
      </c>
      <c r="D794" s="2">
        <v>1</v>
      </c>
      <c r="E794" s="2">
        <v>1</v>
      </c>
      <c r="F794" s="1" t="s">
        <v>7</v>
      </c>
      <c r="G794" s="1" t="s">
        <v>7</v>
      </c>
    </row>
    <row r="795" spans="1:7" hidden="1">
      <c r="A795" t="s">
        <v>76</v>
      </c>
      <c r="B795" s="1" t="s">
        <v>66</v>
      </c>
      <c r="C795" s="2">
        <v>2024</v>
      </c>
      <c r="D795" s="2">
        <v>1</v>
      </c>
      <c r="E795" s="2">
        <v>1</v>
      </c>
      <c r="F795" s="1" t="s">
        <v>7</v>
      </c>
      <c r="G795" s="1" t="s">
        <v>7</v>
      </c>
    </row>
    <row r="796" spans="1:7" hidden="1">
      <c r="A796" t="s">
        <v>76</v>
      </c>
      <c r="B796" s="1" t="s">
        <v>67</v>
      </c>
      <c r="C796" s="2">
        <v>2022</v>
      </c>
      <c r="D796" s="2">
        <v>209</v>
      </c>
      <c r="E796" s="2">
        <v>168</v>
      </c>
      <c r="F796" s="2">
        <v>41</v>
      </c>
      <c r="G796" s="1" t="s">
        <v>7</v>
      </c>
    </row>
    <row r="797" spans="1:7" hidden="1">
      <c r="A797" t="s">
        <v>76</v>
      </c>
      <c r="B797" s="1" t="s">
        <v>67</v>
      </c>
      <c r="C797" s="2">
        <v>2023</v>
      </c>
      <c r="D797" s="2">
        <v>2</v>
      </c>
      <c r="E797" s="2">
        <v>1</v>
      </c>
      <c r="F797" s="2">
        <v>1</v>
      </c>
      <c r="G797" s="1" t="s">
        <v>7</v>
      </c>
    </row>
    <row r="798" spans="1:7" hidden="1">
      <c r="A798" t="s">
        <v>76</v>
      </c>
      <c r="B798" s="1" t="s">
        <v>67</v>
      </c>
      <c r="C798" s="2">
        <v>2024</v>
      </c>
      <c r="D798" s="2">
        <v>3</v>
      </c>
      <c r="E798" s="2">
        <v>3</v>
      </c>
      <c r="F798" s="1" t="s">
        <v>7</v>
      </c>
      <c r="G798" s="1" t="s">
        <v>7</v>
      </c>
    </row>
    <row r="799" spans="1:7" hidden="1">
      <c r="A799" t="s">
        <v>76</v>
      </c>
      <c r="B799" s="1" t="s">
        <v>68</v>
      </c>
      <c r="C799" s="2">
        <v>2023</v>
      </c>
      <c r="D799" s="2">
        <v>175</v>
      </c>
      <c r="E799" s="2">
        <v>143</v>
      </c>
      <c r="F799" s="2">
        <v>32</v>
      </c>
      <c r="G799" s="1" t="s">
        <v>7</v>
      </c>
    </row>
    <row r="800" spans="1:7" hidden="1">
      <c r="A800" t="s">
        <v>76</v>
      </c>
      <c r="B800" s="1" t="s">
        <v>68</v>
      </c>
      <c r="C800" s="2">
        <v>2024</v>
      </c>
      <c r="D800" s="2">
        <v>5</v>
      </c>
      <c r="E800" s="2">
        <v>3</v>
      </c>
      <c r="F800" s="2">
        <v>2</v>
      </c>
      <c r="G800" s="1" t="s">
        <v>7</v>
      </c>
    </row>
    <row r="801" spans="1:7" hidden="1">
      <c r="A801" t="s">
        <v>76</v>
      </c>
      <c r="B801" s="1" t="s">
        <v>69</v>
      </c>
      <c r="C801" s="2">
        <v>2024</v>
      </c>
      <c r="D801" s="2">
        <v>199</v>
      </c>
      <c r="E801" s="2">
        <v>160</v>
      </c>
      <c r="F801" s="2">
        <v>39</v>
      </c>
      <c r="G801" s="1" t="s">
        <v>7</v>
      </c>
    </row>
    <row r="802" spans="1:7" hidden="1">
      <c r="A802" t="s">
        <v>76</v>
      </c>
      <c r="B802" s="1" t="s">
        <v>6</v>
      </c>
      <c r="C802" s="2">
        <v>1990</v>
      </c>
      <c r="D802" s="2">
        <v>9</v>
      </c>
      <c r="E802" s="2">
        <v>7</v>
      </c>
      <c r="F802" s="2">
        <v>1</v>
      </c>
      <c r="G802" s="2">
        <v>1</v>
      </c>
    </row>
    <row r="803" spans="1:7" hidden="1">
      <c r="A803" t="s">
        <v>76</v>
      </c>
      <c r="B803" s="1" t="s">
        <v>6</v>
      </c>
      <c r="C803" s="2">
        <v>1991</v>
      </c>
      <c r="D803" s="2">
        <v>3</v>
      </c>
      <c r="E803" s="2">
        <v>3</v>
      </c>
      <c r="F803" s="1" t="s">
        <v>7</v>
      </c>
      <c r="G803" s="1" t="s">
        <v>7</v>
      </c>
    </row>
    <row r="804" spans="1:7" hidden="1">
      <c r="A804" t="s">
        <v>76</v>
      </c>
      <c r="B804" s="1" t="s">
        <v>6</v>
      </c>
      <c r="C804" s="2">
        <v>1992</v>
      </c>
      <c r="D804" s="2">
        <v>10</v>
      </c>
      <c r="E804" s="2">
        <v>10</v>
      </c>
      <c r="F804" s="1" t="s">
        <v>7</v>
      </c>
      <c r="G804" s="1" t="s">
        <v>7</v>
      </c>
    </row>
    <row r="805" spans="1:7" hidden="1">
      <c r="A805" t="s">
        <v>76</v>
      </c>
      <c r="B805" s="1" t="s">
        <v>6</v>
      </c>
      <c r="C805" s="2">
        <v>1993</v>
      </c>
      <c r="D805" s="2">
        <v>1</v>
      </c>
      <c r="E805" s="1" t="s">
        <v>7</v>
      </c>
      <c r="F805" s="2">
        <v>1</v>
      </c>
      <c r="G805" s="1" t="s">
        <v>7</v>
      </c>
    </row>
    <row r="806" spans="1:7" hidden="1">
      <c r="A806" t="s">
        <v>76</v>
      </c>
      <c r="B806" s="1" t="s">
        <v>6</v>
      </c>
      <c r="C806" s="2">
        <v>2020</v>
      </c>
      <c r="D806" s="2">
        <v>1</v>
      </c>
      <c r="E806" s="2">
        <v>1</v>
      </c>
      <c r="F806" s="1" t="s">
        <v>7</v>
      </c>
      <c r="G806" s="1" t="s">
        <v>7</v>
      </c>
    </row>
    <row r="807" spans="1:7" hidden="1">
      <c r="A807" t="s">
        <v>76</v>
      </c>
      <c r="B807" s="1" t="s">
        <v>6</v>
      </c>
      <c r="C807" s="2">
        <v>2021</v>
      </c>
      <c r="D807" s="2">
        <v>4</v>
      </c>
      <c r="E807" s="2">
        <v>2</v>
      </c>
      <c r="F807" s="2">
        <v>2</v>
      </c>
      <c r="G807" s="1" t="s">
        <v>7</v>
      </c>
    </row>
    <row r="808" spans="1:7" hidden="1">
      <c r="A808" t="s">
        <v>76</v>
      </c>
      <c r="B808" s="1" t="s">
        <v>6</v>
      </c>
      <c r="C808" s="2">
        <v>2022</v>
      </c>
      <c r="D808" s="2">
        <v>6</v>
      </c>
      <c r="E808" s="2">
        <v>4</v>
      </c>
      <c r="F808" s="2">
        <v>2</v>
      </c>
      <c r="G808" s="1" t="s">
        <v>7</v>
      </c>
    </row>
    <row r="809" spans="1:7" hidden="1">
      <c r="A809" t="s">
        <v>76</v>
      </c>
      <c r="B809" s="1" t="s">
        <v>6</v>
      </c>
      <c r="C809" s="2">
        <v>2023</v>
      </c>
      <c r="D809" s="2">
        <v>1</v>
      </c>
      <c r="E809" s="2">
        <v>1</v>
      </c>
      <c r="F809" s="1" t="s">
        <v>7</v>
      </c>
      <c r="G809" s="1" t="s">
        <v>7</v>
      </c>
    </row>
    <row r="810" spans="1:7" hidden="1">
      <c r="A810" t="s">
        <v>76</v>
      </c>
      <c r="B810" s="1" t="s">
        <v>6</v>
      </c>
      <c r="C810" s="2">
        <v>2024</v>
      </c>
      <c r="D810" s="2">
        <v>2</v>
      </c>
      <c r="E810" s="2">
        <v>2</v>
      </c>
      <c r="F810" s="1" t="s">
        <v>7</v>
      </c>
      <c r="G810" s="1" t="s">
        <v>7</v>
      </c>
    </row>
    <row r="811" spans="1:7" hidden="1">
      <c r="A811" t="s">
        <v>77</v>
      </c>
      <c r="B811" s="1" t="s">
        <v>3</v>
      </c>
      <c r="C811" s="2">
        <v>1990</v>
      </c>
      <c r="D811" s="2">
        <v>62</v>
      </c>
      <c r="E811" s="2">
        <v>44</v>
      </c>
      <c r="F811" s="2">
        <v>18</v>
      </c>
      <c r="G811" s="1" t="s">
        <v>7</v>
      </c>
    </row>
    <row r="812" spans="1:7" hidden="1">
      <c r="A812" t="s">
        <v>77</v>
      </c>
      <c r="B812" s="1" t="s">
        <v>3</v>
      </c>
      <c r="C812" s="2">
        <v>1991</v>
      </c>
      <c r="D812" s="2">
        <v>57</v>
      </c>
      <c r="E812" s="2">
        <v>49</v>
      </c>
      <c r="F812" s="2">
        <v>8</v>
      </c>
      <c r="G812" s="1" t="s">
        <v>7</v>
      </c>
    </row>
    <row r="813" spans="1:7" hidden="1">
      <c r="A813" t="s">
        <v>77</v>
      </c>
      <c r="B813" s="1" t="s">
        <v>3</v>
      </c>
      <c r="C813" s="2">
        <v>1992</v>
      </c>
      <c r="D813" s="2">
        <v>73</v>
      </c>
      <c r="E813" s="2">
        <v>60</v>
      </c>
      <c r="F813" s="2">
        <v>13</v>
      </c>
      <c r="G813" s="1" t="s">
        <v>7</v>
      </c>
    </row>
    <row r="814" spans="1:7" hidden="1">
      <c r="A814" t="s">
        <v>77</v>
      </c>
      <c r="B814" s="1" t="s">
        <v>3</v>
      </c>
      <c r="C814" s="2">
        <v>1993</v>
      </c>
      <c r="D814" s="2">
        <v>64</v>
      </c>
      <c r="E814" s="2">
        <v>46</v>
      </c>
      <c r="F814" s="2">
        <v>18</v>
      </c>
      <c r="G814" s="1" t="s">
        <v>7</v>
      </c>
    </row>
    <row r="815" spans="1:7" hidden="1">
      <c r="A815" t="s">
        <v>77</v>
      </c>
      <c r="B815" s="1" t="s">
        <v>3</v>
      </c>
      <c r="C815" s="2">
        <v>1994</v>
      </c>
      <c r="D815" s="2">
        <v>56</v>
      </c>
      <c r="E815" s="2">
        <v>41</v>
      </c>
      <c r="F815" s="2">
        <v>15</v>
      </c>
      <c r="G815" s="1" t="s">
        <v>7</v>
      </c>
    </row>
    <row r="816" spans="1:7" hidden="1">
      <c r="A816" t="s">
        <v>77</v>
      </c>
      <c r="B816" s="1" t="s">
        <v>3</v>
      </c>
      <c r="C816" s="2">
        <v>1995</v>
      </c>
      <c r="D816" s="2">
        <v>64</v>
      </c>
      <c r="E816" s="2">
        <v>43</v>
      </c>
      <c r="F816" s="2">
        <v>21</v>
      </c>
      <c r="G816" s="1" t="s">
        <v>7</v>
      </c>
    </row>
    <row r="817" spans="1:7" hidden="1">
      <c r="A817" t="s">
        <v>77</v>
      </c>
      <c r="B817" s="1" t="s">
        <v>3</v>
      </c>
      <c r="C817" s="2">
        <v>1996</v>
      </c>
      <c r="D817" s="2">
        <v>54</v>
      </c>
      <c r="E817" s="2">
        <v>38</v>
      </c>
      <c r="F817" s="2">
        <v>16</v>
      </c>
      <c r="G817" s="1" t="s">
        <v>7</v>
      </c>
    </row>
    <row r="818" spans="1:7" hidden="1">
      <c r="A818" t="s">
        <v>77</v>
      </c>
      <c r="B818" s="1" t="s">
        <v>3</v>
      </c>
      <c r="C818" s="2">
        <v>1997</v>
      </c>
      <c r="D818" s="2">
        <v>78</v>
      </c>
      <c r="E818" s="2">
        <v>53</v>
      </c>
      <c r="F818" s="2">
        <v>25</v>
      </c>
      <c r="G818" s="1" t="s">
        <v>7</v>
      </c>
    </row>
    <row r="819" spans="1:7" hidden="1">
      <c r="A819" t="s">
        <v>77</v>
      </c>
      <c r="B819" s="1" t="s">
        <v>3</v>
      </c>
      <c r="C819" s="2">
        <v>1998</v>
      </c>
      <c r="D819" s="2">
        <v>52</v>
      </c>
      <c r="E819" s="2">
        <v>39</v>
      </c>
      <c r="F819" s="2">
        <v>13</v>
      </c>
      <c r="G819" s="1" t="s">
        <v>7</v>
      </c>
    </row>
    <row r="820" spans="1:7" hidden="1">
      <c r="A820" t="s">
        <v>77</v>
      </c>
      <c r="B820" s="1" t="s">
        <v>3</v>
      </c>
      <c r="C820" s="2">
        <v>1999</v>
      </c>
      <c r="D820" s="2">
        <v>62</v>
      </c>
      <c r="E820" s="2">
        <v>46</v>
      </c>
      <c r="F820" s="2">
        <v>16</v>
      </c>
      <c r="G820" s="1" t="s">
        <v>7</v>
      </c>
    </row>
    <row r="821" spans="1:7" hidden="1">
      <c r="A821" t="s">
        <v>77</v>
      </c>
      <c r="B821" s="1" t="s">
        <v>3</v>
      </c>
      <c r="C821" s="2">
        <v>2000</v>
      </c>
      <c r="D821" s="2">
        <v>69</v>
      </c>
      <c r="E821" s="2">
        <v>61</v>
      </c>
      <c r="F821" s="2">
        <v>8</v>
      </c>
      <c r="G821" s="1" t="s">
        <v>7</v>
      </c>
    </row>
    <row r="822" spans="1:7" hidden="1">
      <c r="A822" t="s">
        <v>77</v>
      </c>
      <c r="B822" s="1" t="s">
        <v>3</v>
      </c>
      <c r="C822" s="2">
        <v>2001</v>
      </c>
      <c r="D822" s="2">
        <v>64</v>
      </c>
      <c r="E822" s="2">
        <v>48</v>
      </c>
      <c r="F822" s="2">
        <v>16</v>
      </c>
      <c r="G822" s="1" t="s">
        <v>7</v>
      </c>
    </row>
    <row r="823" spans="1:7" hidden="1">
      <c r="A823" t="s">
        <v>77</v>
      </c>
      <c r="B823" s="1" t="s">
        <v>3</v>
      </c>
      <c r="C823" s="2">
        <v>2002</v>
      </c>
      <c r="D823" s="2">
        <v>75</v>
      </c>
      <c r="E823" s="2">
        <v>65</v>
      </c>
      <c r="F823" s="2">
        <v>10</v>
      </c>
      <c r="G823" s="1" t="s">
        <v>7</v>
      </c>
    </row>
    <row r="824" spans="1:7" hidden="1">
      <c r="A824" t="s">
        <v>77</v>
      </c>
      <c r="B824" s="1" t="s">
        <v>3</v>
      </c>
      <c r="C824" s="2">
        <v>2003</v>
      </c>
      <c r="D824" s="2">
        <v>51</v>
      </c>
      <c r="E824" s="2">
        <v>38</v>
      </c>
      <c r="F824" s="2">
        <v>13</v>
      </c>
      <c r="G824" s="1" t="s">
        <v>7</v>
      </c>
    </row>
    <row r="825" spans="1:7" hidden="1">
      <c r="A825" t="s">
        <v>77</v>
      </c>
      <c r="B825" s="1" t="s">
        <v>3</v>
      </c>
      <c r="C825" s="2">
        <v>2004</v>
      </c>
      <c r="D825" s="2">
        <v>62</v>
      </c>
      <c r="E825" s="2">
        <v>43</v>
      </c>
      <c r="F825" s="2">
        <v>19</v>
      </c>
      <c r="G825" s="1" t="s">
        <v>7</v>
      </c>
    </row>
    <row r="826" spans="1:7" hidden="1">
      <c r="A826" t="s">
        <v>77</v>
      </c>
      <c r="B826" s="1" t="s">
        <v>3</v>
      </c>
      <c r="C826" s="2">
        <v>2005</v>
      </c>
      <c r="D826" s="2">
        <v>64</v>
      </c>
      <c r="E826" s="2">
        <v>40</v>
      </c>
      <c r="F826" s="2">
        <v>24</v>
      </c>
      <c r="G826" s="1" t="s">
        <v>7</v>
      </c>
    </row>
    <row r="827" spans="1:7" hidden="1">
      <c r="A827" t="s">
        <v>77</v>
      </c>
      <c r="B827" s="1" t="s">
        <v>3</v>
      </c>
      <c r="C827" s="2">
        <v>2006</v>
      </c>
      <c r="D827" s="2">
        <v>65</v>
      </c>
      <c r="E827" s="2">
        <v>44</v>
      </c>
      <c r="F827" s="2">
        <v>21</v>
      </c>
      <c r="G827" s="1" t="s">
        <v>7</v>
      </c>
    </row>
    <row r="828" spans="1:7" hidden="1">
      <c r="A828" t="s">
        <v>77</v>
      </c>
      <c r="B828" s="1" t="s">
        <v>3</v>
      </c>
      <c r="C828" s="2">
        <v>2007</v>
      </c>
      <c r="D828" s="2">
        <v>65</v>
      </c>
      <c r="E828" s="2">
        <v>55</v>
      </c>
      <c r="F828" s="2">
        <v>10</v>
      </c>
      <c r="G828" s="1" t="s">
        <v>7</v>
      </c>
    </row>
    <row r="829" spans="1:7" hidden="1">
      <c r="A829" t="s">
        <v>77</v>
      </c>
      <c r="B829" s="1" t="s">
        <v>3</v>
      </c>
      <c r="C829" s="2">
        <v>2008</v>
      </c>
      <c r="D829" s="2">
        <v>72</v>
      </c>
      <c r="E829" s="2">
        <v>51</v>
      </c>
      <c r="F829" s="2">
        <v>21</v>
      </c>
      <c r="G829" s="1" t="s">
        <v>7</v>
      </c>
    </row>
    <row r="830" spans="1:7" hidden="1">
      <c r="A830" t="s">
        <v>77</v>
      </c>
      <c r="B830" s="1" t="s">
        <v>3</v>
      </c>
      <c r="C830" s="2">
        <v>2009</v>
      </c>
      <c r="D830" s="2">
        <v>79</v>
      </c>
      <c r="E830" s="2">
        <v>60</v>
      </c>
      <c r="F830" s="2">
        <v>19</v>
      </c>
      <c r="G830" s="1" t="s">
        <v>7</v>
      </c>
    </row>
    <row r="831" spans="1:7">
      <c r="A831" t="s">
        <v>77</v>
      </c>
      <c r="B831" s="1" t="s">
        <v>3</v>
      </c>
      <c r="C831" s="2">
        <v>2010</v>
      </c>
      <c r="D831" s="2">
        <v>83</v>
      </c>
      <c r="E831" s="2">
        <v>57</v>
      </c>
      <c r="F831" s="2">
        <v>26</v>
      </c>
      <c r="G831" s="1" t="s">
        <v>7</v>
      </c>
    </row>
    <row r="832" spans="1:7" hidden="1">
      <c r="A832" t="s">
        <v>77</v>
      </c>
      <c r="B832" s="1" t="s">
        <v>3</v>
      </c>
      <c r="C832" s="2">
        <v>2011</v>
      </c>
      <c r="D832" s="2">
        <v>106</v>
      </c>
      <c r="E832" s="2">
        <v>73</v>
      </c>
      <c r="F832" s="2">
        <v>33</v>
      </c>
      <c r="G832" s="1" t="s">
        <v>7</v>
      </c>
    </row>
    <row r="833" spans="1:7" hidden="1">
      <c r="A833" t="s">
        <v>77</v>
      </c>
      <c r="B833" s="1" t="s">
        <v>3</v>
      </c>
      <c r="C833" s="2">
        <v>2012</v>
      </c>
      <c r="D833" s="2">
        <v>127</v>
      </c>
      <c r="E833" s="2">
        <v>103</v>
      </c>
      <c r="F833" s="2">
        <v>24</v>
      </c>
      <c r="G833" s="1" t="s">
        <v>7</v>
      </c>
    </row>
    <row r="834" spans="1:7" hidden="1">
      <c r="A834" t="s">
        <v>77</v>
      </c>
      <c r="B834" s="1" t="s">
        <v>3</v>
      </c>
      <c r="C834" s="2">
        <v>2013</v>
      </c>
      <c r="D834" s="2">
        <v>111</v>
      </c>
      <c r="E834" s="2">
        <v>86</v>
      </c>
      <c r="F834" s="2">
        <v>25</v>
      </c>
      <c r="G834" s="1" t="s">
        <v>7</v>
      </c>
    </row>
    <row r="835" spans="1:7" hidden="1">
      <c r="A835" t="s">
        <v>77</v>
      </c>
      <c r="B835" s="1" t="s">
        <v>3</v>
      </c>
      <c r="C835" s="2">
        <v>2014</v>
      </c>
      <c r="D835" s="2">
        <v>97</v>
      </c>
      <c r="E835" s="2">
        <v>69</v>
      </c>
      <c r="F835" s="2">
        <v>28</v>
      </c>
      <c r="G835" s="1" t="s">
        <v>7</v>
      </c>
    </row>
    <row r="836" spans="1:7" hidden="1">
      <c r="A836" t="s">
        <v>77</v>
      </c>
      <c r="B836" s="1" t="s">
        <v>3</v>
      </c>
      <c r="C836" s="2">
        <v>2015</v>
      </c>
      <c r="D836" s="2">
        <v>109</v>
      </c>
      <c r="E836" s="2">
        <v>85</v>
      </c>
      <c r="F836" s="2">
        <v>24</v>
      </c>
      <c r="G836" s="1" t="s">
        <v>7</v>
      </c>
    </row>
    <row r="837" spans="1:7" hidden="1">
      <c r="A837" t="s">
        <v>77</v>
      </c>
      <c r="B837" s="1" t="s">
        <v>3</v>
      </c>
      <c r="C837" s="2">
        <v>2016</v>
      </c>
      <c r="D837" s="2">
        <v>175</v>
      </c>
      <c r="E837" s="2">
        <v>153</v>
      </c>
      <c r="F837" s="2">
        <v>22</v>
      </c>
      <c r="G837" s="1" t="s">
        <v>7</v>
      </c>
    </row>
    <row r="838" spans="1:7" hidden="1">
      <c r="A838" t="s">
        <v>77</v>
      </c>
      <c r="B838" s="1" t="s">
        <v>3</v>
      </c>
      <c r="C838" s="2">
        <v>2017</v>
      </c>
      <c r="D838" s="2">
        <v>201</v>
      </c>
      <c r="E838" s="2">
        <v>176</v>
      </c>
      <c r="F838" s="2">
        <v>25</v>
      </c>
      <c r="G838" s="1" t="s">
        <v>7</v>
      </c>
    </row>
    <row r="839" spans="1:7" hidden="1">
      <c r="A839" t="s">
        <v>77</v>
      </c>
      <c r="B839" s="1" t="s">
        <v>3</v>
      </c>
      <c r="C839" s="2">
        <v>2018</v>
      </c>
      <c r="D839" s="2">
        <v>195</v>
      </c>
      <c r="E839" s="2">
        <v>160</v>
      </c>
      <c r="F839" s="2">
        <v>35</v>
      </c>
      <c r="G839" s="1" t="s">
        <v>7</v>
      </c>
    </row>
    <row r="840" spans="1:7">
      <c r="A840" t="s">
        <v>77</v>
      </c>
      <c r="B840" s="1" t="s">
        <v>3</v>
      </c>
      <c r="C840" s="2">
        <v>2019</v>
      </c>
      <c r="D840" s="2">
        <v>172</v>
      </c>
      <c r="E840" s="2">
        <v>141</v>
      </c>
      <c r="F840" s="2">
        <v>31</v>
      </c>
      <c r="G840" s="1" t="s">
        <v>7</v>
      </c>
    </row>
    <row r="841" spans="1:7" hidden="1">
      <c r="A841" t="s">
        <v>77</v>
      </c>
      <c r="B841" s="1" t="s">
        <v>3</v>
      </c>
      <c r="C841" s="2">
        <v>2020</v>
      </c>
      <c r="D841" s="2">
        <v>183</v>
      </c>
      <c r="E841" s="2">
        <v>147</v>
      </c>
      <c r="F841" s="2">
        <v>36</v>
      </c>
      <c r="G841" s="1" t="s">
        <v>7</v>
      </c>
    </row>
    <row r="842" spans="1:7">
      <c r="A842" t="s">
        <v>77</v>
      </c>
      <c r="B842" s="1" t="s">
        <v>3</v>
      </c>
      <c r="C842" s="2">
        <v>2021</v>
      </c>
      <c r="D842" s="2">
        <v>204</v>
      </c>
      <c r="E842" s="2">
        <v>156</v>
      </c>
      <c r="F842" s="2">
        <v>48</v>
      </c>
      <c r="G842" s="1" t="s">
        <v>7</v>
      </c>
    </row>
    <row r="843" spans="1:7" hidden="1">
      <c r="A843" t="s">
        <v>77</v>
      </c>
      <c r="B843" s="1" t="s">
        <v>3</v>
      </c>
      <c r="C843" s="2">
        <v>2022</v>
      </c>
      <c r="D843" s="2">
        <v>193</v>
      </c>
      <c r="E843" s="2">
        <v>162</v>
      </c>
      <c r="F843" s="2">
        <v>31</v>
      </c>
      <c r="G843" s="1" t="s">
        <v>7</v>
      </c>
    </row>
    <row r="844" spans="1:7" hidden="1">
      <c r="A844" t="s">
        <v>77</v>
      </c>
      <c r="B844" s="1" t="s">
        <v>3</v>
      </c>
      <c r="C844" s="2">
        <v>2023</v>
      </c>
      <c r="D844" s="2">
        <v>240</v>
      </c>
      <c r="E844" s="2">
        <v>198</v>
      </c>
      <c r="F844" s="2">
        <v>42</v>
      </c>
      <c r="G844" s="1" t="s">
        <v>7</v>
      </c>
    </row>
    <row r="845" spans="1:7" hidden="1">
      <c r="A845" t="s">
        <v>77</v>
      </c>
      <c r="B845" s="1" t="s">
        <v>3</v>
      </c>
      <c r="C845" s="2">
        <v>2024</v>
      </c>
      <c r="D845" s="2">
        <v>207</v>
      </c>
      <c r="E845" s="2">
        <v>154</v>
      </c>
      <c r="F845" s="2">
        <v>53</v>
      </c>
      <c r="G845" s="1" t="s">
        <v>7</v>
      </c>
    </row>
    <row r="846" spans="1:7" hidden="1">
      <c r="A846" t="s">
        <v>77</v>
      </c>
      <c r="B846" s="1" t="s">
        <v>35</v>
      </c>
      <c r="C846" s="2">
        <v>1990</v>
      </c>
      <c r="D846" s="2">
        <v>56</v>
      </c>
      <c r="E846" s="2">
        <v>39</v>
      </c>
      <c r="F846" s="2">
        <v>17</v>
      </c>
      <c r="G846" s="1" t="s">
        <v>7</v>
      </c>
    </row>
    <row r="847" spans="1:7" hidden="1">
      <c r="A847" t="s">
        <v>77</v>
      </c>
      <c r="B847" s="1" t="s">
        <v>36</v>
      </c>
      <c r="C847" s="2">
        <v>1991</v>
      </c>
      <c r="D847" s="2">
        <v>55</v>
      </c>
      <c r="E847" s="2">
        <v>47</v>
      </c>
      <c r="F847" s="2">
        <v>8</v>
      </c>
      <c r="G847" s="1" t="s">
        <v>7</v>
      </c>
    </row>
    <row r="848" spans="1:7" hidden="1">
      <c r="A848" t="s">
        <v>77</v>
      </c>
      <c r="B848" s="1" t="s">
        <v>37</v>
      </c>
      <c r="C848" s="2">
        <v>1992</v>
      </c>
      <c r="D848" s="2">
        <v>60</v>
      </c>
      <c r="E848" s="2">
        <v>48</v>
      </c>
      <c r="F848" s="2">
        <v>12</v>
      </c>
      <c r="G848" s="1" t="s">
        <v>7</v>
      </c>
    </row>
    <row r="849" spans="1:7" hidden="1">
      <c r="A849" t="s">
        <v>77</v>
      </c>
      <c r="B849" s="1" t="s">
        <v>38</v>
      </c>
      <c r="C849" s="2">
        <v>1993</v>
      </c>
      <c r="D849" s="2">
        <v>62</v>
      </c>
      <c r="E849" s="2">
        <v>44</v>
      </c>
      <c r="F849" s="2">
        <v>18</v>
      </c>
      <c r="G849" s="1" t="s">
        <v>7</v>
      </c>
    </row>
    <row r="850" spans="1:7" hidden="1">
      <c r="A850" t="s">
        <v>77</v>
      </c>
      <c r="B850" s="1" t="s">
        <v>38</v>
      </c>
      <c r="C850" s="2">
        <v>1998</v>
      </c>
      <c r="D850" s="2">
        <v>1</v>
      </c>
      <c r="E850" s="2">
        <v>1</v>
      </c>
      <c r="F850" s="1" t="s">
        <v>7</v>
      </c>
      <c r="G850" s="1" t="s">
        <v>7</v>
      </c>
    </row>
    <row r="851" spans="1:7" hidden="1">
      <c r="A851" t="s">
        <v>77</v>
      </c>
      <c r="B851" s="1" t="s">
        <v>39</v>
      </c>
      <c r="C851" s="2">
        <v>1994</v>
      </c>
      <c r="D851" s="2">
        <v>56</v>
      </c>
      <c r="E851" s="2">
        <v>41</v>
      </c>
      <c r="F851" s="2">
        <v>15</v>
      </c>
      <c r="G851" s="1" t="s">
        <v>7</v>
      </c>
    </row>
    <row r="852" spans="1:7" hidden="1">
      <c r="A852" t="s">
        <v>77</v>
      </c>
      <c r="B852" s="1" t="s">
        <v>39</v>
      </c>
      <c r="C852" s="2">
        <v>1995</v>
      </c>
      <c r="D852" s="2">
        <v>1</v>
      </c>
      <c r="E852" s="2">
        <v>1</v>
      </c>
      <c r="F852" s="1" t="s">
        <v>7</v>
      </c>
      <c r="G852" s="1" t="s">
        <v>7</v>
      </c>
    </row>
    <row r="853" spans="1:7" hidden="1">
      <c r="A853" t="s">
        <v>77</v>
      </c>
      <c r="B853" s="1" t="s">
        <v>40</v>
      </c>
      <c r="C853" s="2">
        <v>1995</v>
      </c>
      <c r="D853" s="2">
        <v>62</v>
      </c>
      <c r="E853" s="2">
        <v>42</v>
      </c>
      <c r="F853" s="2">
        <v>20</v>
      </c>
      <c r="G853" s="1" t="s">
        <v>7</v>
      </c>
    </row>
    <row r="854" spans="1:7" hidden="1">
      <c r="A854" t="s">
        <v>77</v>
      </c>
      <c r="B854" s="1" t="s">
        <v>41</v>
      </c>
      <c r="C854" s="2">
        <v>1996</v>
      </c>
      <c r="D854" s="2">
        <v>54</v>
      </c>
      <c r="E854" s="2">
        <v>38</v>
      </c>
      <c r="F854" s="2">
        <v>16</v>
      </c>
      <c r="G854" s="1" t="s">
        <v>7</v>
      </c>
    </row>
    <row r="855" spans="1:7" hidden="1">
      <c r="A855" t="s">
        <v>77</v>
      </c>
      <c r="B855" s="1" t="s">
        <v>41</v>
      </c>
      <c r="C855" s="2">
        <v>1997</v>
      </c>
      <c r="D855" s="2">
        <v>1</v>
      </c>
      <c r="E855" s="1" t="s">
        <v>7</v>
      </c>
      <c r="F855" s="2">
        <v>1</v>
      </c>
      <c r="G855" s="1" t="s">
        <v>7</v>
      </c>
    </row>
    <row r="856" spans="1:7" hidden="1">
      <c r="A856" t="s">
        <v>77</v>
      </c>
      <c r="B856" s="1" t="s">
        <v>42</v>
      </c>
      <c r="C856" s="2">
        <v>1997</v>
      </c>
      <c r="D856" s="2">
        <v>77</v>
      </c>
      <c r="E856" s="2">
        <v>53</v>
      </c>
      <c r="F856" s="2">
        <v>24</v>
      </c>
      <c r="G856" s="1" t="s">
        <v>7</v>
      </c>
    </row>
    <row r="857" spans="1:7" hidden="1">
      <c r="A857" t="s">
        <v>77</v>
      </c>
      <c r="B857" s="1" t="s">
        <v>42</v>
      </c>
      <c r="C857" s="2">
        <v>1998</v>
      </c>
      <c r="D857" s="2">
        <v>1</v>
      </c>
      <c r="E857" s="2">
        <v>1</v>
      </c>
      <c r="F857" s="1" t="s">
        <v>7</v>
      </c>
      <c r="G857" s="1" t="s">
        <v>7</v>
      </c>
    </row>
    <row r="858" spans="1:7" hidden="1">
      <c r="A858" t="s">
        <v>77</v>
      </c>
      <c r="B858" s="1" t="s">
        <v>43</v>
      </c>
      <c r="C858" s="2">
        <v>1998</v>
      </c>
      <c r="D858" s="2">
        <v>50</v>
      </c>
      <c r="E858" s="2">
        <v>37</v>
      </c>
      <c r="F858" s="2">
        <v>13</v>
      </c>
      <c r="G858" s="1" t="s">
        <v>7</v>
      </c>
    </row>
    <row r="859" spans="1:7" hidden="1">
      <c r="A859" t="s">
        <v>77</v>
      </c>
      <c r="B859" s="1" t="s">
        <v>43</v>
      </c>
      <c r="C859" s="2">
        <v>1999</v>
      </c>
      <c r="D859" s="2">
        <v>1</v>
      </c>
      <c r="E859" s="2">
        <v>1</v>
      </c>
      <c r="F859" s="1" t="s">
        <v>7</v>
      </c>
      <c r="G859" s="1" t="s">
        <v>7</v>
      </c>
    </row>
    <row r="860" spans="1:7" hidden="1">
      <c r="A860" t="s">
        <v>77</v>
      </c>
      <c r="B860" s="1" t="s">
        <v>44</v>
      </c>
      <c r="C860" s="2">
        <v>1999</v>
      </c>
      <c r="D860" s="2">
        <v>61</v>
      </c>
      <c r="E860" s="2">
        <v>45</v>
      </c>
      <c r="F860" s="2">
        <v>16</v>
      </c>
      <c r="G860" s="1" t="s">
        <v>7</v>
      </c>
    </row>
    <row r="861" spans="1:7" hidden="1">
      <c r="A861" t="s">
        <v>77</v>
      </c>
      <c r="B861" s="1" t="s">
        <v>45</v>
      </c>
      <c r="C861" s="2">
        <v>2000</v>
      </c>
      <c r="D861" s="2">
        <v>69</v>
      </c>
      <c r="E861" s="2">
        <v>61</v>
      </c>
      <c r="F861" s="2">
        <v>8</v>
      </c>
      <c r="G861" s="1" t="s">
        <v>7</v>
      </c>
    </row>
    <row r="862" spans="1:7" hidden="1">
      <c r="A862" t="s">
        <v>77</v>
      </c>
      <c r="B862" s="1" t="s">
        <v>45</v>
      </c>
      <c r="C862" s="2">
        <v>2001</v>
      </c>
      <c r="D862" s="2">
        <v>1</v>
      </c>
      <c r="E862" s="2">
        <v>1</v>
      </c>
      <c r="F862" s="1" t="s">
        <v>7</v>
      </c>
      <c r="G862" s="1" t="s">
        <v>7</v>
      </c>
    </row>
    <row r="863" spans="1:7" hidden="1">
      <c r="A863" t="s">
        <v>77</v>
      </c>
      <c r="B863" s="1" t="s">
        <v>46</v>
      </c>
      <c r="C863" s="2">
        <v>2001</v>
      </c>
      <c r="D863" s="2">
        <v>63</v>
      </c>
      <c r="E863" s="2">
        <v>47</v>
      </c>
      <c r="F863" s="2">
        <v>16</v>
      </c>
      <c r="G863" s="1" t="s">
        <v>7</v>
      </c>
    </row>
    <row r="864" spans="1:7" hidden="1">
      <c r="A864" t="s">
        <v>77</v>
      </c>
      <c r="B864" s="1" t="s">
        <v>47</v>
      </c>
      <c r="C864" s="2">
        <v>2002</v>
      </c>
      <c r="D864" s="2">
        <v>75</v>
      </c>
      <c r="E864" s="2">
        <v>65</v>
      </c>
      <c r="F864" s="2">
        <v>10</v>
      </c>
      <c r="G864" s="1" t="s">
        <v>7</v>
      </c>
    </row>
    <row r="865" spans="1:7" hidden="1">
      <c r="A865" t="s">
        <v>77</v>
      </c>
      <c r="B865" s="1" t="s">
        <v>48</v>
      </c>
      <c r="C865" s="2">
        <v>2003</v>
      </c>
      <c r="D865" s="2">
        <v>51</v>
      </c>
      <c r="E865" s="2">
        <v>38</v>
      </c>
      <c r="F865" s="2">
        <v>13</v>
      </c>
      <c r="G865" s="1" t="s">
        <v>7</v>
      </c>
    </row>
    <row r="866" spans="1:7" hidden="1">
      <c r="A866" t="s">
        <v>77</v>
      </c>
      <c r="B866" s="1" t="s">
        <v>49</v>
      </c>
      <c r="C866" s="2">
        <v>2004</v>
      </c>
      <c r="D866" s="2">
        <v>62</v>
      </c>
      <c r="E866" s="2">
        <v>43</v>
      </c>
      <c r="F866" s="2">
        <v>19</v>
      </c>
      <c r="G866" s="1" t="s">
        <v>7</v>
      </c>
    </row>
    <row r="867" spans="1:7" hidden="1">
      <c r="A867" t="s">
        <v>77</v>
      </c>
      <c r="B867" s="1" t="s">
        <v>50</v>
      </c>
      <c r="C867" s="2">
        <v>2005</v>
      </c>
      <c r="D867" s="2">
        <v>64</v>
      </c>
      <c r="E867" s="2">
        <v>40</v>
      </c>
      <c r="F867" s="2">
        <v>24</v>
      </c>
      <c r="G867" s="1" t="s">
        <v>7</v>
      </c>
    </row>
    <row r="868" spans="1:7" hidden="1">
      <c r="A868" t="s">
        <v>77</v>
      </c>
      <c r="B868" s="1" t="s">
        <v>51</v>
      </c>
      <c r="C868" s="2">
        <v>2006</v>
      </c>
      <c r="D868" s="2">
        <v>65</v>
      </c>
      <c r="E868" s="2">
        <v>44</v>
      </c>
      <c r="F868" s="2">
        <v>21</v>
      </c>
      <c r="G868" s="1" t="s">
        <v>7</v>
      </c>
    </row>
    <row r="869" spans="1:7" hidden="1">
      <c r="A869" t="s">
        <v>77</v>
      </c>
      <c r="B869" s="1" t="s">
        <v>52</v>
      </c>
      <c r="C869" s="2">
        <v>2007</v>
      </c>
      <c r="D869" s="2">
        <v>65</v>
      </c>
      <c r="E869" s="2">
        <v>55</v>
      </c>
      <c r="F869" s="2">
        <v>10</v>
      </c>
      <c r="G869" s="1" t="s">
        <v>7</v>
      </c>
    </row>
    <row r="870" spans="1:7" hidden="1">
      <c r="A870" t="s">
        <v>77</v>
      </c>
      <c r="B870" s="1" t="s">
        <v>53</v>
      </c>
      <c r="C870" s="2">
        <v>2008</v>
      </c>
      <c r="D870" s="2">
        <v>72</v>
      </c>
      <c r="E870" s="2">
        <v>51</v>
      </c>
      <c r="F870" s="2">
        <v>21</v>
      </c>
      <c r="G870" s="1" t="s">
        <v>7</v>
      </c>
    </row>
    <row r="871" spans="1:7" hidden="1">
      <c r="A871" t="s">
        <v>77</v>
      </c>
      <c r="B871" s="1" t="s">
        <v>53</v>
      </c>
      <c r="C871" s="2">
        <v>2009</v>
      </c>
      <c r="D871" s="2">
        <v>2</v>
      </c>
      <c r="E871" s="2">
        <v>2</v>
      </c>
      <c r="F871" s="1" t="s">
        <v>7</v>
      </c>
      <c r="G871" s="1" t="s">
        <v>7</v>
      </c>
    </row>
    <row r="872" spans="1:7" hidden="1">
      <c r="A872" t="s">
        <v>77</v>
      </c>
      <c r="B872" s="1" t="s">
        <v>54</v>
      </c>
      <c r="C872" s="2">
        <v>2009</v>
      </c>
      <c r="D872" s="2">
        <v>77</v>
      </c>
      <c r="E872" s="2">
        <v>58</v>
      </c>
      <c r="F872" s="2">
        <v>19</v>
      </c>
      <c r="G872" s="1" t="s">
        <v>7</v>
      </c>
    </row>
    <row r="873" spans="1:7" hidden="1">
      <c r="A873" t="s">
        <v>77</v>
      </c>
      <c r="B873" s="1" t="s">
        <v>55</v>
      </c>
      <c r="C873" s="2">
        <v>2010</v>
      </c>
      <c r="D873" s="2">
        <v>83</v>
      </c>
      <c r="E873" s="2">
        <v>57</v>
      </c>
      <c r="F873" s="2">
        <v>26</v>
      </c>
      <c r="G873" s="1" t="s">
        <v>7</v>
      </c>
    </row>
    <row r="874" spans="1:7" hidden="1">
      <c r="A874" t="s">
        <v>77</v>
      </c>
      <c r="B874" s="1" t="s">
        <v>56</v>
      </c>
      <c r="C874" s="2">
        <v>2011</v>
      </c>
      <c r="D874" s="2">
        <v>106</v>
      </c>
      <c r="E874" s="2">
        <v>73</v>
      </c>
      <c r="F874" s="2">
        <v>33</v>
      </c>
      <c r="G874" s="1" t="s">
        <v>7</v>
      </c>
    </row>
    <row r="875" spans="1:7" hidden="1">
      <c r="A875" t="s">
        <v>77</v>
      </c>
      <c r="B875" s="1" t="s">
        <v>57</v>
      </c>
      <c r="C875" s="2">
        <v>2012</v>
      </c>
      <c r="D875" s="2">
        <v>127</v>
      </c>
      <c r="E875" s="2">
        <v>103</v>
      </c>
      <c r="F875" s="2">
        <v>24</v>
      </c>
      <c r="G875" s="1" t="s">
        <v>7</v>
      </c>
    </row>
    <row r="876" spans="1:7" hidden="1">
      <c r="A876" t="s">
        <v>77</v>
      </c>
      <c r="B876" s="1" t="s">
        <v>57</v>
      </c>
      <c r="C876" s="2">
        <v>2013</v>
      </c>
      <c r="D876" s="2">
        <v>3</v>
      </c>
      <c r="E876" s="2">
        <v>3</v>
      </c>
      <c r="F876" s="1" t="s">
        <v>7</v>
      </c>
      <c r="G876" s="1" t="s">
        <v>7</v>
      </c>
    </row>
    <row r="877" spans="1:7" hidden="1">
      <c r="A877" t="s">
        <v>77</v>
      </c>
      <c r="B877" s="1" t="s">
        <v>58</v>
      </c>
      <c r="C877" s="2">
        <v>2013</v>
      </c>
      <c r="D877" s="2">
        <v>108</v>
      </c>
      <c r="E877" s="2">
        <v>83</v>
      </c>
      <c r="F877" s="2">
        <v>25</v>
      </c>
      <c r="G877" s="1" t="s">
        <v>7</v>
      </c>
    </row>
    <row r="878" spans="1:7" hidden="1">
      <c r="A878" t="s">
        <v>77</v>
      </c>
      <c r="B878" s="1" t="s">
        <v>58</v>
      </c>
      <c r="C878" s="2">
        <v>2014</v>
      </c>
      <c r="D878" s="2">
        <v>2</v>
      </c>
      <c r="E878" s="1" t="s">
        <v>7</v>
      </c>
      <c r="F878" s="2">
        <v>2</v>
      </c>
      <c r="G878" s="1" t="s">
        <v>7</v>
      </c>
    </row>
    <row r="879" spans="1:7" hidden="1">
      <c r="A879" t="s">
        <v>77</v>
      </c>
      <c r="B879" s="1" t="s">
        <v>59</v>
      </c>
      <c r="C879" s="2">
        <v>2014</v>
      </c>
      <c r="D879" s="2">
        <v>95</v>
      </c>
      <c r="E879" s="2">
        <v>69</v>
      </c>
      <c r="F879" s="2">
        <v>26</v>
      </c>
      <c r="G879" s="1" t="s">
        <v>7</v>
      </c>
    </row>
    <row r="880" spans="1:7" hidden="1">
      <c r="A880" t="s">
        <v>77</v>
      </c>
      <c r="B880" s="1" t="s">
        <v>60</v>
      </c>
      <c r="C880" s="2">
        <v>2015</v>
      </c>
      <c r="D880" s="2">
        <v>109</v>
      </c>
      <c r="E880" s="2">
        <v>85</v>
      </c>
      <c r="F880" s="2">
        <v>24</v>
      </c>
      <c r="G880" s="1" t="s">
        <v>7</v>
      </c>
    </row>
    <row r="881" spans="1:7" hidden="1">
      <c r="A881" t="s">
        <v>77</v>
      </c>
      <c r="B881" s="1" t="s">
        <v>60</v>
      </c>
      <c r="C881" s="2">
        <v>2016</v>
      </c>
      <c r="D881" s="2">
        <v>1</v>
      </c>
      <c r="E881" s="2">
        <v>1</v>
      </c>
      <c r="F881" s="1" t="s">
        <v>7</v>
      </c>
      <c r="G881" s="1" t="s">
        <v>7</v>
      </c>
    </row>
    <row r="882" spans="1:7" hidden="1">
      <c r="A882" t="s">
        <v>77</v>
      </c>
      <c r="B882" s="1" t="s">
        <v>61</v>
      </c>
      <c r="C882" s="2">
        <v>2016</v>
      </c>
      <c r="D882" s="2">
        <v>174</v>
      </c>
      <c r="E882" s="2">
        <v>152</v>
      </c>
      <c r="F882" s="2">
        <v>22</v>
      </c>
      <c r="G882" s="1" t="s">
        <v>7</v>
      </c>
    </row>
    <row r="883" spans="1:7" hidden="1">
      <c r="A883" t="s">
        <v>77</v>
      </c>
      <c r="B883" s="1" t="s">
        <v>61</v>
      </c>
      <c r="C883" s="2">
        <v>2017</v>
      </c>
      <c r="D883" s="2">
        <v>1</v>
      </c>
      <c r="E883" s="2">
        <v>1</v>
      </c>
      <c r="F883" s="1" t="s">
        <v>7</v>
      </c>
      <c r="G883" s="1" t="s">
        <v>7</v>
      </c>
    </row>
    <row r="884" spans="1:7" hidden="1">
      <c r="A884" t="s">
        <v>77</v>
      </c>
      <c r="B884" s="1" t="s">
        <v>62</v>
      </c>
      <c r="C884" s="2">
        <v>2017</v>
      </c>
      <c r="D884" s="2">
        <v>200</v>
      </c>
      <c r="E884" s="2">
        <v>175</v>
      </c>
      <c r="F884" s="2">
        <v>25</v>
      </c>
      <c r="G884" s="1" t="s">
        <v>7</v>
      </c>
    </row>
    <row r="885" spans="1:7" hidden="1">
      <c r="A885" t="s">
        <v>77</v>
      </c>
      <c r="B885" s="1" t="s">
        <v>62</v>
      </c>
      <c r="C885" s="2">
        <v>2018</v>
      </c>
      <c r="D885" s="2">
        <v>2</v>
      </c>
      <c r="E885" s="2">
        <v>1</v>
      </c>
      <c r="F885" s="2">
        <v>1</v>
      </c>
      <c r="G885" s="1" t="s">
        <v>7</v>
      </c>
    </row>
    <row r="886" spans="1:7" hidden="1">
      <c r="A886" t="s">
        <v>77</v>
      </c>
      <c r="B886" s="1" t="s">
        <v>63</v>
      </c>
      <c r="C886" s="2">
        <v>2018</v>
      </c>
      <c r="D886" s="2">
        <v>192</v>
      </c>
      <c r="E886" s="2">
        <v>158</v>
      </c>
      <c r="F886" s="2">
        <v>34</v>
      </c>
      <c r="G886" s="1" t="s">
        <v>7</v>
      </c>
    </row>
    <row r="887" spans="1:7" hidden="1">
      <c r="A887" t="s">
        <v>77</v>
      </c>
      <c r="B887" s="1" t="s">
        <v>63</v>
      </c>
      <c r="C887" s="2">
        <v>2019</v>
      </c>
      <c r="D887" s="2">
        <v>4</v>
      </c>
      <c r="E887" s="2">
        <v>3</v>
      </c>
      <c r="F887" s="2">
        <v>1</v>
      </c>
      <c r="G887" s="1" t="s">
        <v>7</v>
      </c>
    </row>
    <row r="888" spans="1:7" hidden="1">
      <c r="A888" t="s">
        <v>77</v>
      </c>
      <c r="B888" s="1" t="s">
        <v>64</v>
      </c>
      <c r="C888" s="2">
        <v>2019</v>
      </c>
      <c r="D888" s="2">
        <v>168</v>
      </c>
      <c r="E888" s="2">
        <v>138</v>
      </c>
      <c r="F888" s="2">
        <v>30</v>
      </c>
      <c r="G888" s="1" t="s">
        <v>7</v>
      </c>
    </row>
    <row r="889" spans="1:7" hidden="1">
      <c r="A889" t="s">
        <v>77</v>
      </c>
      <c r="B889" s="1" t="s">
        <v>64</v>
      </c>
      <c r="C889" s="2">
        <v>2020</v>
      </c>
      <c r="D889" s="2">
        <v>1</v>
      </c>
      <c r="E889" s="2">
        <v>1</v>
      </c>
      <c r="F889" s="1" t="s">
        <v>7</v>
      </c>
      <c r="G889" s="1" t="s">
        <v>7</v>
      </c>
    </row>
    <row r="890" spans="1:7" hidden="1">
      <c r="A890" t="s">
        <v>77</v>
      </c>
      <c r="B890" s="1" t="s">
        <v>65</v>
      </c>
      <c r="C890" s="2">
        <v>2020</v>
      </c>
      <c r="D890" s="2">
        <v>182</v>
      </c>
      <c r="E890" s="2">
        <v>146</v>
      </c>
      <c r="F890" s="2">
        <v>36</v>
      </c>
      <c r="G890" s="1" t="s">
        <v>7</v>
      </c>
    </row>
    <row r="891" spans="1:7" hidden="1">
      <c r="A891" t="s">
        <v>77</v>
      </c>
      <c r="B891" s="1" t="s">
        <v>65</v>
      </c>
      <c r="C891" s="2">
        <v>2021</v>
      </c>
      <c r="D891" s="2">
        <v>4</v>
      </c>
      <c r="E891" s="2">
        <v>3</v>
      </c>
      <c r="F891" s="2">
        <v>1</v>
      </c>
      <c r="G891" s="1" t="s">
        <v>7</v>
      </c>
    </row>
    <row r="892" spans="1:7" hidden="1">
      <c r="A892" t="s">
        <v>77</v>
      </c>
      <c r="B892" s="1" t="s">
        <v>66</v>
      </c>
      <c r="C892" s="2">
        <v>2021</v>
      </c>
      <c r="D892" s="2">
        <v>196</v>
      </c>
      <c r="E892" s="2">
        <v>150</v>
      </c>
      <c r="F892" s="2">
        <v>46</v>
      </c>
      <c r="G892" s="1" t="s">
        <v>7</v>
      </c>
    </row>
    <row r="893" spans="1:7" hidden="1">
      <c r="A893" t="s">
        <v>77</v>
      </c>
      <c r="B893" s="1" t="s">
        <v>66</v>
      </c>
      <c r="C893" s="2">
        <v>2022</v>
      </c>
      <c r="D893" s="2">
        <v>1</v>
      </c>
      <c r="E893" s="2">
        <v>1</v>
      </c>
      <c r="F893" s="1" t="s">
        <v>7</v>
      </c>
      <c r="G893" s="1" t="s">
        <v>7</v>
      </c>
    </row>
    <row r="894" spans="1:7" hidden="1">
      <c r="A894" t="s">
        <v>77</v>
      </c>
      <c r="B894" s="1" t="s">
        <v>66</v>
      </c>
      <c r="C894" s="2">
        <v>2024</v>
      </c>
      <c r="D894" s="2">
        <v>1</v>
      </c>
      <c r="E894" s="2">
        <v>1</v>
      </c>
      <c r="F894" s="1" t="s">
        <v>7</v>
      </c>
      <c r="G894" s="1" t="s">
        <v>7</v>
      </c>
    </row>
    <row r="895" spans="1:7" hidden="1">
      <c r="A895" t="s">
        <v>77</v>
      </c>
      <c r="B895" s="1" t="s">
        <v>67</v>
      </c>
      <c r="C895" s="2">
        <v>2022</v>
      </c>
      <c r="D895" s="2">
        <v>188</v>
      </c>
      <c r="E895" s="2">
        <v>157</v>
      </c>
      <c r="F895" s="2">
        <v>31</v>
      </c>
      <c r="G895" s="1" t="s">
        <v>7</v>
      </c>
    </row>
    <row r="896" spans="1:7" hidden="1">
      <c r="A896" t="s">
        <v>77</v>
      </c>
      <c r="B896" s="1" t="s">
        <v>67</v>
      </c>
      <c r="C896" s="2">
        <v>2023</v>
      </c>
      <c r="D896" s="2">
        <v>5</v>
      </c>
      <c r="E896" s="2">
        <v>4</v>
      </c>
      <c r="F896" s="2">
        <v>1</v>
      </c>
      <c r="G896" s="1" t="s">
        <v>7</v>
      </c>
    </row>
    <row r="897" spans="1:7" hidden="1">
      <c r="A897" t="s">
        <v>77</v>
      </c>
      <c r="B897" s="1" t="s">
        <v>67</v>
      </c>
      <c r="C897" s="2">
        <v>2024</v>
      </c>
      <c r="D897" s="2">
        <v>5</v>
      </c>
      <c r="E897" s="2">
        <v>4</v>
      </c>
      <c r="F897" s="2">
        <v>1</v>
      </c>
      <c r="G897" s="1" t="s">
        <v>7</v>
      </c>
    </row>
    <row r="898" spans="1:7" hidden="1">
      <c r="A898" t="s">
        <v>77</v>
      </c>
      <c r="B898" s="1" t="s">
        <v>68</v>
      </c>
      <c r="C898" s="2">
        <v>2023</v>
      </c>
      <c r="D898" s="2">
        <v>231</v>
      </c>
      <c r="E898" s="2">
        <v>190</v>
      </c>
      <c r="F898" s="2">
        <v>41</v>
      </c>
      <c r="G898" s="1" t="s">
        <v>7</v>
      </c>
    </row>
    <row r="899" spans="1:7" hidden="1">
      <c r="A899" t="s">
        <v>77</v>
      </c>
      <c r="B899" s="1" t="s">
        <v>68</v>
      </c>
      <c r="C899" s="2">
        <v>2024</v>
      </c>
      <c r="D899" s="2">
        <v>2</v>
      </c>
      <c r="E899" s="2">
        <v>2</v>
      </c>
      <c r="F899" s="1" t="s">
        <v>7</v>
      </c>
      <c r="G899" s="1" t="s">
        <v>7</v>
      </c>
    </row>
    <row r="900" spans="1:7" hidden="1">
      <c r="A900" t="s">
        <v>77</v>
      </c>
      <c r="B900" s="1" t="s">
        <v>69</v>
      </c>
      <c r="C900" s="2">
        <v>2024</v>
      </c>
      <c r="D900" s="2">
        <v>199</v>
      </c>
      <c r="E900" s="2">
        <v>147</v>
      </c>
      <c r="F900" s="2">
        <v>52</v>
      </c>
      <c r="G900" s="1" t="s">
        <v>7</v>
      </c>
    </row>
    <row r="901" spans="1:7" hidden="1">
      <c r="A901" t="s">
        <v>77</v>
      </c>
      <c r="B901" s="1" t="s">
        <v>6</v>
      </c>
      <c r="C901" s="2">
        <v>1990</v>
      </c>
      <c r="D901" s="2">
        <v>6</v>
      </c>
      <c r="E901" s="2">
        <v>5</v>
      </c>
      <c r="F901" s="2">
        <v>1</v>
      </c>
      <c r="G901" s="1" t="s">
        <v>7</v>
      </c>
    </row>
    <row r="902" spans="1:7" hidden="1">
      <c r="A902" t="s">
        <v>77</v>
      </c>
      <c r="B902" s="1" t="s">
        <v>6</v>
      </c>
      <c r="C902" s="2">
        <v>1991</v>
      </c>
      <c r="D902" s="2">
        <v>2</v>
      </c>
      <c r="E902" s="2">
        <v>2</v>
      </c>
      <c r="F902" s="1" t="s">
        <v>7</v>
      </c>
      <c r="G902" s="1" t="s">
        <v>7</v>
      </c>
    </row>
    <row r="903" spans="1:7" hidden="1">
      <c r="A903" t="s">
        <v>77</v>
      </c>
      <c r="B903" s="1" t="s">
        <v>6</v>
      </c>
      <c r="C903" s="2">
        <v>1992</v>
      </c>
      <c r="D903" s="2">
        <v>13</v>
      </c>
      <c r="E903" s="2">
        <v>12</v>
      </c>
      <c r="F903" s="2">
        <v>1</v>
      </c>
      <c r="G903" s="1" t="s">
        <v>7</v>
      </c>
    </row>
    <row r="904" spans="1:7" hidden="1">
      <c r="A904" t="s">
        <v>77</v>
      </c>
      <c r="B904" s="1" t="s">
        <v>6</v>
      </c>
      <c r="C904" s="2">
        <v>1993</v>
      </c>
      <c r="D904" s="2">
        <v>2</v>
      </c>
      <c r="E904" s="2">
        <v>2</v>
      </c>
      <c r="F904" s="1" t="s">
        <v>7</v>
      </c>
      <c r="G904" s="1" t="s">
        <v>7</v>
      </c>
    </row>
    <row r="905" spans="1:7" hidden="1">
      <c r="A905" t="s">
        <v>77</v>
      </c>
      <c r="B905" s="1" t="s">
        <v>6</v>
      </c>
      <c r="C905" s="2">
        <v>1995</v>
      </c>
      <c r="D905" s="2">
        <v>1</v>
      </c>
      <c r="E905" s="1" t="s">
        <v>7</v>
      </c>
      <c r="F905" s="2">
        <v>1</v>
      </c>
      <c r="G905" s="1" t="s">
        <v>7</v>
      </c>
    </row>
    <row r="906" spans="1:7" hidden="1">
      <c r="A906" t="s">
        <v>77</v>
      </c>
      <c r="B906" s="1" t="s">
        <v>6</v>
      </c>
      <c r="C906" s="2">
        <v>2018</v>
      </c>
      <c r="D906" s="2">
        <v>1</v>
      </c>
      <c r="E906" s="2">
        <v>1</v>
      </c>
      <c r="F906" s="1" t="s">
        <v>7</v>
      </c>
      <c r="G906" s="1" t="s">
        <v>7</v>
      </c>
    </row>
    <row r="907" spans="1:7" hidden="1">
      <c r="A907" t="s">
        <v>77</v>
      </c>
      <c r="B907" s="1" t="s">
        <v>6</v>
      </c>
      <c r="C907" s="2">
        <v>2021</v>
      </c>
      <c r="D907" s="2">
        <v>4</v>
      </c>
      <c r="E907" s="2">
        <v>3</v>
      </c>
      <c r="F907" s="2">
        <v>1</v>
      </c>
      <c r="G907" s="1" t="s">
        <v>7</v>
      </c>
    </row>
    <row r="908" spans="1:7" hidden="1">
      <c r="A908" t="s">
        <v>77</v>
      </c>
      <c r="B908" s="1" t="s">
        <v>6</v>
      </c>
      <c r="C908" s="2">
        <v>2022</v>
      </c>
      <c r="D908" s="2">
        <v>4</v>
      </c>
      <c r="E908" s="2">
        <v>4</v>
      </c>
      <c r="F908" s="1" t="s">
        <v>7</v>
      </c>
      <c r="G908" s="1" t="s">
        <v>7</v>
      </c>
    </row>
    <row r="909" spans="1:7" hidden="1">
      <c r="A909" t="s">
        <v>77</v>
      </c>
      <c r="B909" s="1" t="s">
        <v>6</v>
      </c>
      <c r="C909" s="2">
        <v>2023</v>
      </c>
      <c r="D909" s="2">
        <v>4</v>
      </c>
      <c r="E909" s="2">
        <v>4</v>
      </c>
      <c r="F909" s="1" t="s">
        <v>7</v>
      </c>
      <c r="G909" s="1" t="s">
        <v>7</v>
      </c>
    </row>
    <row r="910" spans="1:7" hidden="1">
      <c r="A910" t="s">
        <v>78</v>
      </c>
      <c r="B910" s="1" t="s">
        <v>3</v>
      </c>
      <c r="C910" s="2">
        <v>1990</v>
      </c>
      <c r="D910" s="2">
        <v>69</v>
      </c>
      <c r="E910" s="2">
        <v>55</v>
      </c>
      <c r="F910" s="2">
        <v>14</v>
      </c>
      <c r="G910" s="1" t="s">
        <v>7</v>
      </c>
    </row>
    <row r="911" spans="1:7" hidden="1">
      <c r="A911" t="s">
        <v>78</v>
      </c>
      <c r="B911" s="1" t="s">
        <v>3</v>
      </c>
      <c r="C911" s="2">
        <v>1991</v>
      </c>
      <c r="D911" s="2">
        <v>81</v>
      </c>
      <c r="E911" s="2">
        <v>57</v>
      </c>
      <c r="F911" s="2">
        <v>24</v>
      </c>
      <c r="G911" s="1" t="s">
        <v>7</v>
      </c>
    </row>
    <row r="912" spans="1:7" hidden="1">
      <c r="A912" t="s">
        <v>78</v>
      </c>
      <c r="B912" s="1" t="s">
        <v>3</v>
      </c>
      <c r="C912" s="2">
        <v>1992</v>
      </c>
      <c r="D912" s="2">
        <v>82</v>
      </c>
      <c r="E912" s="2">
        <v>65</v>
      </c>
      <c r="F912" s="2">
        <v>17</v>
      </c>
      <c r="G912" s="1" t="s">
        <v>7</v>
      </c>
    </row>
    <row r="913" spans="1:7" hidden="1">
      <c r="A913" t="s">
        <v>78</v>
      </c>
      <c r="B913" s="1" t="s">
        <v>3</v>
      </c>
      <c r="C913" s="2">
        <v>1993</v>
      </c>
      <c r="D913" s="2">
        <v>74</v>
      </c>
      <c r="E913" s="2">
        <v>53</v>
      </c>
      <c r="F913" s="2">
        <v>21</v>
      </c>
      <c r="G913" s="1" t="s">
        <v>7</v>
      </c>
    </row>
    <row r="914" spans="1:7" hidden="1">
      <c r="A914" t="s">
        <v>78</v>
      </c>
      <c r="B914" s="1" t="s">
        <v>3</v>
      </c>
      <c r="C914" s="2">
        <v>1994</v>
      </c>
      <c r="D914" s="2">
        <v>78</v>
      </c>
      <c r="E914" s="2">
        <v>54</v>
      </c>
      <c r="F914" s="2">
        <v>24</v>
      </c>
      <c r="G914" s="1" t="s">
        <v>7</v>
      </c>
    </row>
    <row r="915" spans="1:7" hidden="1">
      <c r="A915" t="s">
        <v>78</v>
      </c>
      <c r="B915" s="1" t="s">
        <v>3</v>
      </c>
      <c r="C915" s="2">
        <v>1995</v>
      </c>
      <c r="D915" s="2">
        <v>62</v>
      </c>
      <c r="E915" s="2">
        <v>44</v>
      </c>
      <c r="F915" s="2">
        <v>18</v>
      </c>
      <c r="G915" s="1" t="s">
        <v>7</v>
      </c>
    </row>
    <row r="916" spans="1:7" hidden="1">
      <c r="A916" t="s">
        <v>78</v>
      </c>
      <c r="B916" s="1" t="s">
        <v>3</v>
      </c>
      <c r="C916" s="2">
        <v>1996</v>
      </c>
      <c r="D916" s="2">
        <v>74</v>
      </c>
      <c r="E916" s="2">
        <v>48</v>
      </c>
      <c r="F916" s="2">
        <v>26</v>
      </c>
      <c r="G916" s="1" t="s">
        <v>7</v>
      </c>
    </row>
    <row r="917" spans="1:7" hidden="1">
      <c r="A917" t="s">
        <v>78</v>
      </c>
      <c r="B917" s="1" t="s">
        <v>3</v>
      </c>
      <c r="C917" s="2">
        <v>1997</v>
      </c>
      <c r="D917" s="2">
        <v>74</v>
      </c>
      <c r="E917" s="2">
        <v>55</v>
      </c>
      <c r="F917" s="2">
        <v>19</v>
      </c>
      <c r="G917" s="1" t="s">
        <v>7</v>
      </c>
    </row>
    <row r="918" spans="1:7" hidden="1">
      <c r="A918" t="s">
        <v>78</v>
      </c>
      <c r="B918" s="1" t="s">
        <v>3</v>
      </c>
      <c r="C918" s="2">
        <v>1998</v>
      </c>
      <c r="D918" s="2">
        <v>67</v>
      </c>
      <c r="E918" s="2">
        <v>46</v>
      </c>
      <c r="F918" s="2">
        <v>21</v>
      </c>
      <c r="G918" s="1" t="s">
        <v>7</v>
      </c>
    </row>
    <row r="919" spans="1:7" hidden="1">
      <c r="A919" t="s">
        <v>78</v>
      </c>
      <c r="B919" s="1" t="s">
        <v>3</v>
      </c>
      <c r="C919" s="2">
        <v>1999</v>
      </c>
      <c r="D919" s="2">
        <v>57</v>
      </c>
      <c r="E919" s="2">
        <v>37</v>
      </c>
      <c r="F919" s="2">
        <v>20</v>
      </c>
      <c r="G919" s="1" t="s">
        <v>7</v>
      </c>
    </row>
    <row r="920" spans="1:7" hidden="1">
      <c r="A920" t="s">
        <v>78</v>
      </c>
      <c r="B920" s="1" t="s">
        <v>3</v>
      </c>
      <c r="C920" s="2">
        <v>2000</v>
      </c>
      <c r="D920" s="2">
        <v>77</v>
      </c>
      <c r="E920" s="2">
        <v>52</v>
      </c>
      <c r="F920" s="2">
        <v>25</v>
      </c>
      <c r="G920" s="1" t="s">
        <v>7</v>
      </c>
    </row>
    <row r="921" spans="1:7" hidden="1">
      <c r="A921" t="s">
        <v>78</v>
      </c>
      <c r="B921" s="1" t="s">
        <v>3</v>
      </c>
      <c r="C921" s="2">
        <v>2001</v>
      </c>
      <c r="D921" s="2">
        <v>77</v>
      </c>
      <c r="E921" s="2">
        <v>53</v>
      </c>
      <c r="F921" s="2">
        <v>24</v>
      </c>
      <c r="G921" s="1" t="s">
        <v>7</v>
      </c>
    </row>
    <row r="922" spans="1:7" hidden="1">
      <c r="A922" t="s">
        <v>78</v>
      </c>
      <c r="B922" s="1" t="s">
        <v>3</v>
      </c>
      <c r="C922" s="2">
        <v>2002</v>
      </c>
      <c r="D922" s="2">
        <v>52</v>
      </c>
      <c r="E922" s="2">
        <v>35</v>
      </c>
      <c r="F922" s="2">
        <v>17</v>
      </c>
      <c r="G922" s="1" t="s">
        <v>7</v>
      </c>
    </row>
    <row r="923" spans="1:7" hidden="1">
      <c r="A923" t="s">
        <v>78</v>
      </c>
      <c r="B923" s="1" t="s">
        <v>3</v>
      </c>
      <c r="C923" s="2">
        <v>2003</v>
      </c>
      <c r="D923" s="2">
        <v>57</v>
      </c>
      <c r="E923" s="2">
        <v>42</v>
      </c>
      <c r="F923" s="2">
        <v>15</v>
      </c>
      <c r="G923" s="1" t="s">
        <v>7</v>
      </c>
    </row>
    <row r="924" spans="1:7" hidden="1">
      <c r="A924" t="s">
        <v>78</v>
      </c>
      <c r="B924" s="1" t="s">
        <v>3</v>
      </c>
      <c r="C924" s="2">
        <v>2004</v>
      </c>
      <c r="D924" s="2">
        <v>84</v>
      </c>
      <c r="E924" s="2">
        <v>54</v>
      </c>
      <c r="F924" s="2">
        <v>30</v>
      </c>
      <c r="G924" s="1" t="s">
        <v>7</v>
      </c>
    </row>
    <row r="925" spans="1:7" hidden="1">
      <c r="A925" t="s">
        <v>78</v>
      </c>
      <c r="B925" s="1" t="s">
        <v>3</v>
      </c>
      <c r="C925" s="2">
        <v>2005</v>
      </c>
      <c r="D925" s="2">
        <v>70</v>
      </c>
      <c r="E925" s="2">
        <v>48</v>
      </c>
      <c r="F925" s="2">
        <v>22</v>
      </c>
      <c r="G925" s="1" t="s">
        <v>7</v>
      </c>
    </row>
    <row r="926" spans="1:7" hidden="1">
      <c r="A926" t="s">
        <v>78</v>
      </c>
      <c r="B926" s="1" t="s">
        <v>3</v>
      </c>
      <c r="C926" s="2">
        <v>2006</v>
      </c>
      <c r="D926" s="2">
        <v>70</v>
      </c>
      <c r="E926" s="2">
        <v>56</v>
      </c>
      <c r="F926" s="2">
        <v>14</v>
      </c>
      <c r="G926" s="1" t="s">
        <v>7</v>
      </c>
    </row>
    <row r="927" spans="1:7" hidden="1">
      <c r="A927" t="s">
        <v>78</v>
      </c>
      <c r="B927" s="1" t="s">
        <v>3</v>
      </c>
      <c r="C927" s="2">
        <v>2007</v>
      </c>
      <c r="D927" s="2">
        <v>91</v>
      </c>
      <c r="E927" s="2">
        <v>63</v>
      </c>
      <c r="F927" s="2">
        <v>28</v>
      </c>
      <c r="G927" s="1" t="s">
        <v>7</v>
      </c>
    </row>
    <row r="928" spans="1:7" hidden="1">
      <c r="A928" t="s">
        <v>78</v>
      </c>
      <c r="B928" s="1" t="s">
        <v>3</v>
      </c>
      <c r="C928" s="2">
        <v>2008</v>
      </c>
      <c r="D928" s="2">
        <v>86</v>
      </c>
      <c r="E928" s="2">
        <v>68</v>
      </c>
      <c r="F928" s="2">
        <v>18</v>
      </c>
      <c r="G928" s="1" t="s">
        <v>7</v>
      </c>
    </row>
    <row r="929" spans="1:7" hidden="1">
      <c r="A929" t="s">
        <v>78</v>
      </c>
      <c r="B929" s="1" t="s">
        <v>3</v>
      </c>
      <c r="C929" s="2">
        <v>2009</v>
      </c>
      <c r="D929" s="2">
        <v>82</v>
      </c>
      <c r="E929" s="2">
        <v>64</v>
      </c>
      <c r="F929" s="2">
        <v>18</v>
      </c>
      <c r="G929" s="1" t="s">
        <v>7</v>
      </c>
    </row>
    <row r="930" spans="1:7">
      <c r="A930" t="s">
        <v>78</v>
      </c>
      <c r="B930" s="1" t="s">
        <v>3</v>
      </c>
      <c r="C930" s="2">
        <v>2010</v>
      </c>
      <c r="D930" s="2">
        <v>112</v>
      </c>
      <c r="E930" s="2">
        <v>90</v>
      </c>
      <c r="F930" s="2">
        <v>22</v>
      </c>
      <c r="G930" s="1" t="s">
        <v>7</v>
      </c>
    </row>
    <row r="931" spans="1:7" hidden="1">
      <c r="A931" t="s">
        <v>78</v>
      </c>
      <c r="B931" s="1" t="s">
        <v>3</v>
      </c>
      <c r="C931" s="2">
        <v>2011</v>
      </c>
      <c r="D931" s="2">
        <v>115</v>
      </c>
      <c r="E931" s="2">
        <v>92</v>
      </c>
      <c r="F931" s="2">
        <v>23</v>
      </c>
      <c r="G931" s="1" t="s">
        <v>7</v>
      </c>
    </row>
    <row r="932" spans="1:7" hidden="1">
      <c r="A932" t="s">
        <v>78</v>
      </c>
      <c r="B932" s="1" t="s">
        <v>3</v>
      </c>
      <c r="C932" s="2">
        <v>2012</v>
      </c>
      <c r="D932" s="2">
        <v>145</v>
      </c>
      <c r="E932" s="2">
        <v>108</v>
      </c>
      <c r="F932" s="2">
        <v>37</v>
      </c>
      <c r="G932" s="1" t="s">
        <v>7</v>
      </c>
    </row>
    <row r="933" spans="1:7" hidden="1">
      <c r="A933" t="s">
        <v>78</v>
      </c>
      <c r="B933" s="1" t="s">
        <v>3</v>
      </c>
      <c r="C933" s="2">
        <v>2013</v>
      </c>
      <c r="D933" s="2">
        <v>125</v>
      </c>
      <c r="E933" s="2">
        <v>94</v>
      </c>
      <c r="F933" s="2">
        <v>31</v>
      </c>
      <c r="G933" s="1" t="s">
        <v>7</v>
      </c>
    </row>
    <row r="934" spans="1:7" hidden="1">
      <c r="A934" t="s">
        <v>78</v>
      </c>
      <c r="B934" s="1" t="s">
        <v>3</v>
      </c>
      <c r="C934" s="2">
        <v>2014</v>
      </c>
      <c r="D934" s="2">
        <v>100</v>
      </c>
      <c r="E934" s="2">
        <v>75</v>
      </c>
      <c r="F934" s="2">
        <v>25</v>
      </c>
      <c r="G934" s="1" t="s">
        <v>7</v>
      </c>
    </row>
    <row r="935" spans="1:7" hidden="1">
      <c r="A935" t="s">
        <v>78</v>
      </c>
      <c r="B935" s="1" t="s">
        <v>3</v>
      </c>
      <c r="C935" s="2">
        <v>2015</v>
      </c>
      <c r="D935" s="2">
        <v>146</v>
      </c>
      <c r="E935" s="2">
        <v>113</v>
      </c>
      <c r="F935" s="2">
        <v>33</v>
      </c>
      <c r="G935" s="1" t="s">
        <v>7</v>
      </c>
    </row>
    <row r="936" spans="1:7" hidden="1">
      <c r="A936" t="s">
        <v>78</v>
      </c>
      <c r="B936" s="1" t="s">
        <v>3</v>
      </c>
      <c r="C936" s="2">
        <v>2016</v>
      </c>
      <c r="D936" s="2">
        <v>169</v>
      </c>
      <c r="E936" s="2">
        <v>138</v>
      </c>
      <c r="F936" s="2">
        <v>31</v>
      </c>
      <c r="G936" s="1" t="s">
        <v>7</v>
      </c>
    </row>
    <row r="937" spans="1:7" hidden="1">
      <c r="A937" t="s">
        <v>78</v>
      </c>
      <c r="B937" s="1" t="s">
        <v>3</v>
      </c>
      <c r="C937" s="2">
        <v>2017</v>
      </c>
      <c r="D937" s="2">
        <v>202</v>
      </c>
      <c r="E937" s="2">
        <v>174</v>
      </c>
      <c r="F937" s="2">
        <v>28</v>
      </c>
      <c r="G937" s="1" t="s">
        <v>7</v>
      </c>
    </row>
    <row r="938" spans="1:7" hidden="1">
      <c r="A938" t="s">
        <v>78</v>
      </c>
      <c r="B938" s="1" t="s">
        <v>3</v>
      </c>
      <c r="C938" s="2">
        <v>2018</v>
      </c>
      <c r="D938" s="2">
        <v>209</v>
      </c>
      <c r="E938" s="2">
        <v>173</v>
      </c>
      <c r="F938" s="2">
        <v>36</v>
      </c>
      <c r="G938" s="1" t="s">
        <v>7</v>
      </c>
    </row>
    <row r="939" spans="1:7">
      <c r="A939" t="s">
        <v>78</v>
      </c>
      <c r="B939" s="1" t="s">
        <v>3</v>
      </c>
      <c r="C939" s="2">
        <v>2019</v>
      </c>
      <c r="D939" s="2">
        <v>159</v>
      </c>
      <c r="E939" s="2">
        <v>127</v>
      </c>
      <c r="F939" s="2">
        <v>32</v>
      </c>
      <c r="G939" s="1" t="s">
        <v>7</v>
      </c>
    </row>
    <row r="940" spans="1:7" hidden="1">
      <c r="A940" t="s">
        <v>78</v>
      </c>
      <c r="B940" s="1" t="s">
        <v>3</v>
      </c>
      <c r="C940" s="2">
        <v>2020</v>
      </c>
      <c r="D940" s="2">
        <v>215</v>
      </c>
      <c r="E940" s="2">
        <v>170</v>
      </c>
      <c r="F940" s="2">
        <v>45</v>
      </c>
      <c r="G940" s="1" t="s">
        <v>7</v>
      </c>
    </row>
    <row r="941" spans="1:7">
      <c r="A941" t="s">
        <v>78</v>
      </c>
      <c r="B941" s="1" t="s">
        <v>3</v>
      </c>
      <c r="C941" s="2">
        <v>2021</v>
      </c>
      <c r="D941" s="2">
        <v>244</v>
      </c>
      <c r="E941" s="2">
        <v>185</v>
      </c>
      <c r="F941" s="2">
        <v>59</v>
      </c>
      <c r="G941" s="1" t="s">
        <v>7</v>
      </c>
    </row>
    <row r="942" spans="1:7" hidden="1">
      <c r="A942" t="s">
        <v>78</v>
      </c>
      <c r="B942" s="1" t="s">
        <v>3</v>
      </c>
      <c r="C942" s="2">
        <v>2022</v>
      </c>
      <c r="D942" s="2">
        <v>223</v>
      </c>
      <c r="E942" s="2">
        <v>159</v>
      </c>
      <c r="F942" s="2">
        <v>64</v>
      </c>
      <c r="G942" s="1" t="s">
        <v>7</v>
      </c>
    </row>
    <row r="943" spans="1:7" hidden="1">
      <c r="A943" t="s">
        <v>78</v>
      </c>
      <c r="B943" s="1" t="s">
        <v>3</v>
      </c>
      <c r="C943" s="2">
        <v>2023</v>
      </c>
      <c r="D943" s="2">
        <v>211</v>
      </c>
      <c r="E943" s="2">
        <v>158</v>
      </c>
      <c r="F943" s="2">
        <v>53</v>
      </c>
      <c r="G943" s="1" t="s">
        <v>7</v>
      </c>
    </row>
    <row r="944" spans="1:7" hidden="1">
      <c r="A944" t="s">
        <v>78</v>
      </c>
      <c r="B944" s="1" t="s">
        <v>3</v>
      </c>
      <c r="C944" s="2">
        <v>2024</v>
      </c>
      <c r="D944" s="2">
        <v>205</v>
      </c>
      <c r="E944" s="2">
        <v>150</v>
      </c>
      <c r="F944" s="2">
        <v>55</v>
      </c>
      <c r="G944" s="1" t="s">
        <v>7</v>
      </c>
    </row>
    <row r="945" spans="1:7" hidden="1">
      <c r="A945" t="s">
        <v>78</v>
      </c>
      <c r="B945" s="1" t="s">
        <v>35</v>
      </c>
      <c r="C945" s="2">
        <v>1990</v>
      </c>
      <c r="D945" s="2">
        <v>66</v>
      </c>
      <c r="E945" s="2">
        <v>52</v>
      </c>
      <c r="F945" s="2">
        <v>14</v>
      </c>
      <c r="G945" s="1" t="s">
        <v>7</v>
      </c>
    </row>
    <row r="946" spans="1:7" hidden="1">
      <c r="A946" t="s">
        <v>78</v>
      </c>
      <c r="B946" s="1" t="s">
        <v>36</v>
      </c>
      <c r="C946" s="2">
        <v>1991</v>
      </c>
      <c r="D946" s="2">
        <v>77</v>
      </c>
      <c r="E946" s="2">
        <v>54</v>
      </c>
      <c r="F946" s="2">
        <v>23</v>
      </c>
      <c r="G946" s="1" t="s">
        <v>7</v>
      </c>
    </row>
    <row r="947" spans="1:7" hidden="1">
      <c r="A947" t="s">
        <v>78</v>
      </c>
      <c r="B947" s="1" t="s">
        <v>37</v>
      </c>
      <c r="C947" s="2">
        <v>1992</v>
      </c>
      <c r="D947" s="2">
        <v>73</v>
      </c>
      <c r="E947" s="2">
        <v>57</v>
      </c>
      <c r="F947" s="2">
        <v>16</v>
      </c>
      <c r="G947" s="1" t="s">
        <v>7</v>
      </c>
    </row>
    <row r="948" spans="1:7" hidden="1">
      <c r="A948" t="s">
        <v>78</v>
      </c>
      <c r="B948" s="1" t="s">
        <v>37</v>
      </c>
      <c r="C948" s="2">
        <v>1993</v>
      </c>
      <c r="D948" s="2">
        <v>1</v>
      </c>
      <c r="E948" s="2">
        <v>1</v>
      </c>
      <c r="F948" s="1" t="s">
        <v>7</v>
      </c>
      <c r="G948" s="1" t="s">
        <v>7</v>
      </c>
    </row>
    <row r="949" spans="1:7" hidden="1">
      <c r="A949" t="s">
        <v>78</v>
      </c>
      <c r="B949" s="1" t="s">
        <v>38</v>
      </c>
      <c r="C949" s="2">
        <v>1993</v>
      </c>
      <c r="D949" s="2">
        <v>71</v>
      </c>
      <c r="E949" s="2">
        <v>50</v>
      </c>
      <c r="F949" s="2">
        <v>21</v>
      </c>
      <c r="G949" s="1" t="s">
        <v>7</v>
      </c>
    </row>
    <row r="950" spans="1:7" hidden="1">
      <c r="A950" t="s">
        <v>78</v>
      </c>
      <c r="B950" s="1" t="s">
        <v>39</v>
      </c>
      <c r="C950" s="2">
        <v>1994</v>
      </c>
      <c r="D950" s="2">
        <v>78</v>
      </c>
      <c r="E950" s="2">
        <v>54</v>
      </c>
      <c r="F950" s="2">
        <v>24</v>
      </c>
      <c r="G950" s="1" t="s">
        <v>7</v>
      </c>
    </row>
    <row r="951" spans="1:7" hidden="1">
      <c r="A951" t="s">
        <v>78</v>
      </c>
      <c r="B951" s="1" t="s">
        <v>40</v>
      </c>
      <c r="C951" s="2">
        <v>1995</v>
      </c>
      <c r="D951" s="2">
        <v>62</v>
      </c>
      <c r="E951" s="2">
        <v>44</v>
      </c>
      <c r="F951" s="2">
        <v>18</v>
      </c>
      <c r="G951" s="1" t="s">
        <v>7</v>
      </c>
    </row>
    <row r="952" spans="1:7" hidden="1">
      <c r="A952" t="s">
        <v>78</v>
      </c>
      <c r="B952" s="1" t="s">
        <v>40</v>
      </c>
      <c r="C952" s="2">
        <v>1996</v>
      </c>
      <c r="D952" s="2">
        <v>1</v>
      </c>
      <c r="E952" s="1" t="s">
        <v>7</v>
      </c>
      <c r="F952" s="2">
        <v>1</v>
      </c>
      <c r="G952" s="1" t="s">
        <v>7</v>
      </c>
    </row>
    <row r="953" spans="1:7" hidden="1">
      <c r="A953" t="s">
        <v>78</v>
      </c>
      <c r="B953" s="1" t="s">
        <v>40</v>
      </c>
      <c r="C953" s="2">
        <v>1999</v>
      </c>
      <c r="D953" s="2">
        <v>1</v>
      </c>
      <c r="E953" s="1" t="s">
        <v>7</v>
      </c>
      <c r="F953" s="2">
        <v>1</v>
      </c>
      <c r="G953" s="1" t="s">
        <v>7</v>
      </c>
    </row>
    <row r="954" spans="1:7" hidden="1">
      <c r="A954" t="s">
        <v>78</v>
      </c>
      <c r="B954" s="1" t="s">
        <v>41</v>
      </c>
      <c r="C954" s="2">
        <v>1996</v>
      </c>
      <c r="D954" s="2">
        <v>73</v>
      </c>
      <c r="E954" s="2">
        <v>48</v>
      </c>
      <c r="F954" s="2">
        <v>25</v>
      </c>
      <c r="G954" s="1" t="s">
        <v>7</v>
      </c>
    </row>
    <row r="955" spans="1:7" hidden="1">
      <c r="A955" t="s">
        <v>78</v>
      </c>
      <c r="B955" s="1" t="s">
        <v>42</v>
      </c>
      <c r="C955" s="2">
        <v>1997</v>
      </c>
      <c r="D955" s="2">
        <v>73</v>
      </c>
      <c r="E955" s="2">
        <v>54</v>
      </c>
      <c r="F955" s="2">
        <v>19</v>
      </c>
      <c r="G955" s="1" t="s">
        <v>7</v>
      </c>
    </row>
    <row r="956" spans="1:7" hidden="1">
      <c r="A956" t="s">
        <v>78</v>
      </c>
      <c r="B956" s="1" t="s">
        <v>42</v>
      </c>
      <c r="C956" s="2">
        <v>2002</v>
      </c>
      <c r="D956" s="2">
        <v>1</v>
      </c>
      <c r="E956" s="2">
        <v>1</v>
      </c>
      <c r="F956" s="1" t="s">
        <v>7</v>
      </c>
      <c r="G956" s="1" t="s">
        <v>7</v>
      </c>
    </row>
    <row r="957" spans="1:7" hidden="1">
      <c r="A957" t="s">
        <v>78</v>
      </c>
      <c r="B957" s="1" t="s">
        <v>43</v>
      </c>
      <c r="C957" s="2">
        <v>1998</v>
      </c>
      <c r="D957" s="2">
        <v>67</v>
      </c>
      <c r="E957" s="2">
        <v>46</v>
      </c>
      <c r="F957" s="2">
        <v>21</v>
      </c>
      <c r="G957" s="1" t="s">
        <v>7</v>
      </c>
    </row>
    <row r="958" spans="1:7" hidden="1">
      <c r="A958" t="s">
        <v>78</v>
      </c>
      <c r="B958" s="1" t="s">
        <v>44</v>
      </c>
      <c r="C958" s="2">
        <v>1999</v>
      </c>
      <c r="D958" s="2">
        <v>56</v>
      </c>
      <c r="E958" s="2">
        <v>37</v>
      </c>
      <c r="F958" s="2">
        <v>19</v>
      </c>
      <c r="G958" s="1" t="s">
        <v>7</v>
      </c>
    </row>
    <row r="959" spans="1:7" hidden="1">
      <c r="A959" t="s">
        <v>78</v>
      </c>
      <c r="B959" s="1" t="s">
        <v>44</v>
      </c>
      <c r="C959" s="2">
        <v>2000</v>
      </c>
      <c r="D959" s="2">
        <v>2</v>
      </c>
      <c r="E959" s="2">
        <v>2</v>
      </c>
      <c r="F959" s="1" t="s">
        <v>7</v>
      </c>
      <c r="G959" s="1" t="s">
        <v>7</v>
      </c>
    </row>
    <row r="960" spans="1:7" hidden="1">
      <c r="A960" t="s">
        <v>78</v>
      </c>
      <c r="B960" s="1" t="s">
        <v>45</v>
      </c>
      <c r="C960" s="2">
        <v>2000</v>
      </c>
      <c r="D960" s="2">
        <v>75</v>
      </c>
      <c r="E960" s="2">
        <v>50</v>
      </c>
      <c r="F960" s="2">
        <v>25</v>
      </c>
      <c r="G960" s="1" t="s">
        <v>7</v>
      </c>
    </row>
    <row r="961" spans="1:7" hidden="1">
      <c r="A961" t="s">
        <v>78</v>
      </c>
      <c r="B961" s="1" t="s">
        <v>46</v>
      </c>
      <c r="C961" s="2">
        <v>2001</v>
      </c>
      <c r="D961" s="2">
        <v>77</v>
      </c>
      <c r="E961" s="2">
        <v>53</v>
      </c>
      <c r="F961" s="2">
        <v>24</v>
      </c>
      <c r="G961" s="1" t="s">
        <v>7</v>
      </c>
    </row>
    <row r="962" spans="1:7" hidden="1">
      <c r="A962" t="s">
        <v>78</v>
      </c>
      <c r="B962" s="1" t="s">
        <v>46</v>
      </c>
      <c r="C962" s="2">
        <v>2002</v>
      </c>
      <c r="D962" s="2">
        <v>1</v>
      </c>
      <c r="E962" s="2">
        <v>1</v>
      </c>
      <c r="F962" s="1" t="s">
        <v>7</v>
      </c>
      <c r="G962" s="1" t="s">
        <v>7</v>
      </c>
    </row>
    <row r="963" spans="1:7" hidden="1">
      <c r="A963" t="s">
        <v>78</v>
      </c>
      <c r="B963" s="1" t="s">
        <v>47</v>
      </c>
      <c r="C963" s="2">
        <v>2002</v>
      </c>
      <c r="D963" s="2">
        <v>50</v>
      </c>
      <c r="E963" s="2">
        <v>33</v>
      </c>
      <c r="F963" s="2">
        <v>17</v>
      </c>
      <c r="G963" s="1" t="s">
        <v>7</v>
      </c>
    </row>
    <row r="964" spans="1:7" hidden="1">
      <c r="A964" t="s">
        <v>78</v>
      </c>
      <c r="B964" s="1" t="s">
        <v>48</v>
      </c>
      <c r="C964" s="2">
        <v>2003</v>
      </c>
      <c r="D964" s="2">
        <v>57</v>
      </c>
      <c r="E964" s="2">
        <v>42</v>
      </c>
      <c r="F964" s="2">
        <v>15</v>
      </c>
      <c r="G964" s="1" t="s">
        <v>7</v>
      </c>
    </row>
    <row r="965" spans="1:7" hidden="1">
      <c r="A965" t="s">
        <v>78</v>
      </c>
      <c r="B965" s="1" t="s">
        <v>49</v>
      </c>
      <c r="C965" s="2">
        <v>2004</v>
      </c>
      <c r="D965" s="2">
        <v>84</v>
      </c>
      <c r="E965" s="2">
        <v>54</v>
      </c>
      <c r="F965" s="2">
        <v>30</v>
      </c>
      <c r="G965" s="1" t="s">
        <v>7</v>
      </c>
    </row>
    <row r="966" spans="1:7" hidden="1">
      <c r="A966" t="s">
        <v>78</v>
      </c>
      <c r="B966" s="1" t="s">
        <v>49</v>
      </c>
      <c r="C966" s="2">
        <v>2005</v>
      </c>
      <c r="D966" s="2">
        <v>1</v>
      </c>
      <c r="E966" s="2">
        <v>1</v>
      </c>
      <c r="F966" s="1" t="s">
        <v>7</v>
      </c>
      <c r="G966" s="1" t="s">
        <v>7</v>
      </c>
    </row>
    <row r="967" spans="1:7" hidden="1">
      <c r="A967" t="s">
        <v>78</v>
      </c>
      <c r="B967" s="1" t="s">
        <v>50</v>
      </c>
      <c r="C967" s="2">
        <v>2005</v>
      </c>
      <c r="D967" s="2">
        <v>69</v>
      </c>
      <c r="E967" s="2">
        <v>47</v>
      </c>
      <c r="F967" s="2">
        <v>22</v>
      </c>
      <c r="G967" s="1" t="s">
        <v>7</v>
      </c>
    </row>
    <row r="968" spans="1:7" hidden="1">
      <c r="A968" t="s">
        <v>78</v>
      </c>
      <c r="B968" s="1" t="s">
        <v>51</v>
      </c>
      <c r="C968" s="2">
        <v>2006</v>
      </c>
      <c r="D968" s="2">
        <v>70</v>
      </c>
      <c r="E968" s="2">
        <v>56</v>
      </c>
      <c r="F968" s="2">
        <v>14</v>
      </c>
      <c r="G968" s="1" t="s">
        <v>7</v>
      </c>
    </row>
    <row r="969" spans="1:7" hidden="1">
      <c r="A969" t="s">
        <v>78</v>
      </c>
      <c r="B969" s="1" t="s">
        <v>52</v>
      </c>
      <c r="C969" s="2">
        <v>2007</v>
      </c>
      <c r="D969" s="2">
        <v>91</v>
      </c>
      <c r="E969" s="2">
        <v>63</v>
      </c>
      <c r="F969" s="2">
        <v>28</v>
      </c>
      <c r="G969" s="1" t="s">
        <v>7</v>
      </c>
    </row>
    <row r="970" spans="1:7" hidden="1">
      <c r="A970" t="s">
        <v>78</v>
      </c>
      <c r="B970" s="1" t="s">
        <v>53</v>
      </c>
      <c r="C970" s="2">
        <v>2008</v>
      </c>
      <c r="D970" s="2">
        <v>86</v>
      </c>
      <c r="E970" s="2">
        <v>68</v>
      </c>
      <c r="F970" s="2">
        <v>18</v>
      </c>
      <c r="G970" s="1" t="s">
        <v>7</v>
      </c>
    </row>
    <row r="971" spans="1:7" hidden="1">
      <c r="A971" t="s">
        <v>78</v>
      </c>
      <c r="B971" s="1" t="s">
        <v>54</v>
      </c>
      <c r="C971" s="2">
        <v>2009</v>
      </c>
      <c r="D971" s="2">
        <v>82</v>
      </c>
      <c r="E971" s="2">
        <v>64</v>
      </c>
      <c r="F971" s="2">
        <v>18</v>
      </c>
      <c r="G971" s="1" t="s">
        <v>7</v>
      </c>
    </row>
    <row r="972" spans="1:7" hidden="1">
      <c r="A972" t="s">
        <v>78</v>
      </c>
      <c r="B972" s="1" t="s">
        <v>55</v>
      </c>
      <c r="C972" s="2">
        <v>2010</v>
      </c>
      <c r="D972" s="2">
        <v>112</v>
      </c>
      <c r="E972" s="2">
        <v>90</v>
      </c>
      <c r="F972" s="2">
        <v>22</v>
      </c>
      <c r="G972" s="1" t="s">
        <v>7</v>
      </c>
    </row>
    <row r="973" spans="1:7" hidden="1">
      <c r="A973" t="s">
        <v>78</v>
      </c>
      <c r="B973" s="1" t="s">
        <v>55</v>
      </c>
      <c r="C973" s="2">
        <v>2011</v>
      </c>
      <c r="D973" s="2">
        <v>2</v>
      </c>
      <c r="E973" s="2">
        <v>2</v>
      </c>
      <c r="F973" s="1" t="s">
        <v>7</v>
      </c>
      <c r="G973" s="1" t="s">
        <v>7</v>
      </c>
    </row>
    <row r="974" spans="1:7" hidden="1">
      <c r="A974" t="s">
        <v>78</v>
      </c>
      <c r="B974" s="1" t="s">
        <v>55</v>
      </c>
      <c r="C974" s="2">
        <v>2013</v>
      </c>
      <c r="D974" s="2">
        <v>1</v>
      </c>
      <c r="E974" s="2">
        <v>1</v>
      </c>
      <c r="F974" s="1" t="s">
        <v>7</v>
      </c>
      <c r="G974" s="1" t="s">
        <v>7</v>
      </c>
    </row>
    <row r="975" spans="1:7" hidden="1">
      <c r="A975" t="s">
        <v>78</v>
      </c>
      <c r="B975" s="1" t="s">
        <v>56</v>
      </c>
      <c r="C975" s="2">
        <v>2011</v>
      </c>
      <c r="D975" s="2">
        <v>113</v>
      </c>
      <c r="E975" s="2">
        <v>90</v>
      </c>
      <c r="F975" s="2">
        <v>23</v>
      </c>
      <c r="G975" s="1" t="s">
        <v>7</v>
      </c>
    </row>
    <row r="976" spans="1:7" hidden="1">
      <c r="A976" t="s">
        <v>78</v>
      </c>
      <c r="B976" s="1" t="s">
        <v>56</v>
      </c>
      <c r="C976" s="2">
        <v>2012</v>
      </c>
      <c r="D976" s="2">
        <v>1</v>
      </c>
      <c r="E976" s="2">
        <v>1</v>
      </c>
      <c r="F976" s="1" t="s">
        <v>7</v>
      </c>
      <c r="G976" s="1" t="s">
        <v>7</v>
      </c>
    </row>
    <row r="977" spans="1:7" hidden="1">
      <c r="A977" t="s">
        <v>78</v>
      </c>
      <c r="B977" s="1" t="s">
        <v>57</v>
      </c>
      <c r="C977" s="2">
        <v>2012</v>
      </c>
      <c r="D977" s="2">
        <v>144</v>
      </c>
      <c r="E977" s="2">
        <v>107</v>
      </c>
      <c r="F977" s="2">
        <v>37</v>
      </c>
      <c r="G977" s="1" t="s">
        <v>7</v>
      </c>
    </row>
    <row r="978" spans="1:7" hidden="1">
      <c r="A978" t="s">
        <v>78</v>
      </c>
      <c r="B978" s="1" t="s">
        <v>57</v>
      </c>
      <c r="C978" s="2">
        <v>2013</v>
      </c>
      <c r="D978" s="2">
        <v>2</v>
      </c>
      <c r="E978" s="2">
        <v>1</v>
      </c>
      <c r="F978" s="2">
        <v>1</v>
      </c>
      <c r="G978" s="1" t="s">
        <v>7</v>
      </c>
    </row>
    <row r="979" spans="1:7" hidden="1">
      <c r="A979" t="s">
        <v>78</v>
      </c>
      <c r="B979" s="1" t="s">
        <v>57</v>
      </c>
      <c r="C979" s="2">
        <v>2014</v>
      </c>
      <c r="D979" s="2">
        <v>1</v>
      </c>
      <c r="E979" s="2">
        <v>1</v>
      </c>
      <c r="F979" s="1" t="s">
        <v>7</v>
      </c>
      <c r="G979" s="1" t="s">
        <v>7</v>
      </c>
    </row>
    <row r="980" spans="1:7" hidden="1">
      <c r="A980" t="s">
        <v>78</v>
      </c>
      <c r="B980" s="1" t="s">
        <v>58</v>
      </c>
      <c r="C980" s="2">
        <v>2013</v>
      </c>
      <c r="D980" s="2">
        <v>122</v>
      </c>
      <c r="E980" s="2">
        <v>92</v>
      </c>
      <c r="F980" s="2">
        <v>30</v>
      </c>
      <c r="G980" s="1" t="s">
        <v>7</v>
      </c>
    </row>
    <row r="981" spans="1:7" hidden="1">
      <c r="A981" t="s">
        <v>78</v>
      </c>
      <c r="B981" s="1" t="s">
        <v>58</v>
      </c>
      <c r="C981" s="2">
        <v>2014</v>
      </c>
      <c r="D981" s="2">
        <v>1</v>
      </c>
      <c r="E981" s="2">
        <v>1</v>
      </c>
      <c r="F981" s="1" t="s">
        <v>7</v>
      </c>
      <c r="G981" s="1" t="s">
        <v>7</v>
      </c>
    </row>
    <row r="982" spans="1:7" hidden="1">
      <c r="A982" t="s">
        <v>78</v>
      </c>
      <c r="B982" s="1" t="s">
        <v>58</v>
      </c>
      <c r="C982" s="2">
        <v>2015</v>
      </c>
      <c r="D982" s="2">
        <v>1</v>
      </c>
      <c r="E982" s="2">
        <v>1</v>
      </c>
      <c r="F982" s="1" t="s">
        <v>7</v>
      </c>
      <c r="G982" s="1" t="s">
        <v>7</v>
      </c>
    </row>
    <row r="983" spans="1:7" hidden="1">
      <c r="A983" t="s">
        <v>78</v>
      </c>
      <c r="B983" s="1" t="s">
        <v>59</v>
      </c>
      <c r="C983" s="2">
        <v>2014</v>
      </c>
      <c r="D983" s="2">
        <v>98</v>
      </c>
      <c r="E983" s="2">
        <v>73</v>
      </c>
      <c r="F983" s="2">
        <v>25</v>
      </c>
      <c r="G983" s="1" t="s">
        <v>7</v>
      </c>
    </row>
    <row r="984" spans="1:7" hidden="1">
      <c r="A984" t="s">
        <v>78</v>
      </c>
      <c r="B984" s="1" t="s">
        <v>60</v>
      </c>
      <c r="C984" s="2">
        <v>2015</v>
      </c>
      <c r="D984" s="2">
        <v>145</v>
      </c>
      <c r="E984" s="2">
        <v>112</v>
      </c>
      <c r="F984" s="2">
        <v>33</v>
      </c>
      <c r="G984" s="1" t="s">
        <v>7</v>
      </c>
    </row>
    <row r="985" spans="1:7" hidden="1">
      <c r="A985" t="s">
        <v>78</v>
      </c>
      <c r="B985" s="1" t="s">
        <v>61</v>
      </c>
      <c r="C985" s="2">
        <v>2016</v>
      </c>
      <c r="D985" s="2">
        <v>169</v>
      </c>
      <c r="E985" s="2">
        <v>138</v>
      </c>
      <c r="F985" s="2">
        <v>31</v>
      </c>
      <c r="G985" s="1" t="s">
        <v>7</v>
      </c>
    </row>
    <row r="986" spans="1:7" hidden="1">
      <c r="A986" t="s">
        <v>78</v>
      </c>
      <c r="B986" s="1" t="s">
        <v>61</v>
      </c>
      <c r="C986" s="2">
        <v>2017</v>
      </c>
      <c r="D986" s="2">
        <v>2</v>
      </c>
      <c r="E986" s="2">
        <v>2</v>
      </c>
      <c r="F986" s="1" t="s">
        <v>7</v>
      </c>
      <c r="G986" s="1" t="s">
        <v>7</v>
      </c>
    </row>
    <row r="987" spans="1:7" hidden="1">
      <c r="A987" t="s">
        <v>78</v>
      </c>
      <c r="B987" s="1" t="s">
        <v>62</v>
      </c>
      <c r="C987" s="2">
        <v>2017</v>
      </c>
      <c r="D987" s="2">
        <v>200</v>
      </c>
      <c r="E987" s="2">
        <v>172</v>
      </c>
      <c r="F987" s="2">
        <v>28</v>
      </c>
      <c r="G987" s="1" t="s">
        <v>7</v>
      </c>
    </row>
    <row r="988" spans="1:7" hidden="1">
      <c r="A988" t="s">
        <v>78</v>
      </c>
      <c r="B988" s="1" t="s">
        <v>62</v>
      </c>
      <c r="C988" s="2">
        <v>2018</v>
      </c>
      <c r="D988" s="2">
        <v>2</v>
      </c>
      <c r="E988" s="2">
        <v>2</v>
      </c>
      <c r="F988" s="1" t="s">
        <v>7</v>
      </c>
      <c r="G988" s="1" t="s">
        <v>7</v>
      </c>
    </row>
    <row r="989" spans="1:7" hidden="1">
      <c r="A989" t="s">
        <v>78</v>
      </c>
      <c r="B989" s="1" t="s">
        <v>63</v>
      </c>
      <c r="C989" s="2">
        <v>2018</v>
      </c>
      <c r="D989" s="2">
        <v>206</v>
      </c>
      <c r="E989" s="2">
        <v>170</v>
      </c>
      <c r="F989" s="2">
        <v>36</v>
      </c>
      <c r="G989" s="1" t="s">
        <v>7</v>
      </c>
    </row>
    <row r="990" spans="1:7" hidden="1">
      <c r="A990" t="s">
        <v>78</v>
      </c>
      <c r="B990" s="1" t="s">
        <v>63</v>
      </c>
      <c r="C990" s="2">
        <v>2019</v>
      </c>
      <c r="D990" s="2">
        <v>5</v>
      </c>
      <c r="E990" s="2">
        <v>4</v>
      </c>
      <c r="F990" s="2">
        <v>1</v>
      </c>
      <c r="G990" s="1" t="s">
        <v>7</v>
      </c>
    </row>
    <row r="991" spans="1:7" hidden="1">
      <c r="A991" t="s">
        <v>78</v>
      </c>
      <c r="B991" s="1" t="s">
        <v>63</v>
      </c>
      <c r="C991" s="2">
        <v>2020</v>
      </c>
      <c r="D991" s="2">
        <v>2</v>
      </c>
      <c r="E991" s="2">
        <v>2</v>
      </c>
      <c r="F991" s="1" t="s">
        <v>7</v>
      </c>
      <c r="G991" s="1" t="s">
        <v>7</v>
      </c>
    </row>
    <row r="992" spans="1:7" hidden="1">
      <c r="A992" t="s">
        <v>78</v>
      </c>
      <c r="B992" s="1" t="s">
        <v>64</v>
      </c>
      <c r="C992" s="2">
        <v>2019</v>
      </c>
      <c r="D992" s="2">
        <v>154</v>
      </c>
      <c r="E992" s="2">
        <v>123</v>
      </c>
      <c r="F992" s="2">
        <v>31</v>
      </c>
      <c r="G992" s="1" t="s">
        <v>7</v>
      </c>
    </row>
    <row r="993" spans="1:7" hidden="1">
      <c r="A993" t="s">
        <v>78</v>
      </c>
      <c r="B993" s="1" t="s">
        <v>64</v>
      </c>
      <c r="C993" s="2">
        <v>2020</v>
      </c>
      <c r="D993" s="2">
        <v>2</v>
      </c>
      <c r="E993" s="2">
        <v>2</v>
      </c>
      <c r="F993" s="1" t="s">
        <v>7</v>
      </c>
      <c r="G993" s="1" t="s">
        <v>7</v>
      </c>
    </row>
    <row r="994" spans="1:7" hidden="1">
      <c r="A994" t="s">
        <v>78</v>
      </c>
      <c r="B994" s="1" t="s">
        <v>64</v>
      </c>
      <c r="C994" s="2">
        <v>2021</v>
      </c>
      <c r="D994" s="2">
        <v>1</v>
      </c>
      <c r="E994" s="2">
        <v>1</v>
      </c>
      <c r="F994" s="1" t="s">
        <v>7</v>
      </c>
      <c r="G994" s="1" t="s">
        <v>7</v>
      </c>
    </row>
    <row r="995" spans="1:7" hidden="1">
      <c r="A995" t="s">
        <v>78</v>
      </c>
      <c r="B995" s="1" t="s">
        <v>65</v>
      </c>
      <c r="C995" s="2">
        <v>2020</v>
      </c>
      <c r="D995" s="2">
        <v>211</v>
      </c>
      <c r="E995" s="2">
        <v>166</v>
      </c>
      <c r="F995" s="2">
        <v>45</v>
      </c>
      <c r="G995" s="1" t="s">
        <v>7</v>
      </c>
    </row>
    <row r="996" spans="1:7" hidden="1">
      <c r="A996" t="s">
        <v>78</v>
      </c>
      <c r="B996" s="1" t="s">
        <v>65</v>
      </c>
      <c r="C996" s="2">
        <v>2021</v>
      </c>
      <c r="D996" s="2">
        <v>1</v>
      </c>
      <c r="E996" s="2">
        <v>1</v>
      </c>
      <c r="F996" s="1" t="s">
        <v>7</v>
      </c>
      <c r="G996" s="1" t="s">
        <v>7</v>
      </c>
    </row>
    <row r="997" spans="1:7" hidden="1">
      <c r="A997" t="s">
        <v>78</v>
      </c>
      <c r="B997" s="1" t="s">
        <v>66</v>
      </c>
      <c r="C997" s="2">
        <v>2021</v>
      </c>
      <c r="D997" s="2">
        <v>240</v>
      </c>
      <c r="E997" s="2">
        <v>181</v>
      </c>
      <c r="F997" s="2">
        <v>59</v>
      </c>
      <c r="G997" s="1" t="s">
        <v>7</v>
      </c>
    </row>
    <row r="998" spans="1:7" hidden="1">
      <c r="A998" t="s">
        <v>78</v>
      </c>
      <c r="B998" s="1" t="s">
        <v>66</v>
      </c>
      <c r="C998" s="2">
        <v>2022</v>
      </c>
      <c r="D998" s="2">
        <v>4</v>
      </c>
      <c r="E998" s="2">
        <v>4</v>
      </c>
      <c r="F998" s="1" t="s">
        <v>7</v>
      </c>
      <c r="G998" s="1" t="s">
        <v>7</v>
      </c>
    </row>
    <row r="999" spans="1:7" hidden="1">
      <c r="A999" t="s">
        <v>78</v>
      </c>
      <c r="B999" s="1" t="s">
        <v>67</v>
      </c>
      <c r="C999" s="2">
        <v>2022</v>
      </c>
      <c r="D999" s="2">
        <v>216</v>
      </c>
      <c r="E999" s="2">
        <v>154</v>
      </c>
      <c r="F999" s="2">
        <v>62</v>
      </c>
      <c r="G999" s="1" t="s">
        <v>7</v>
      </c>
    </row>
    <row r="1000" spans="1:7" hidden="1">
      <c r="A1000" t="s">
        <v>78</v>
      </c>
      <c r="B1000" s="1" t="s">
        <v>67</v>
      </c>
      <c r="C1000" s="2">
        <v>2023</v>
      </c>
      <c r="D1000" s="2">
        <v>1</v>
      </c>
      <c r="E1000" s="2">
        <v>1</v>
      </c>
      <c r="F1000" s="1" t="s">
        <v>7</v>
      </c>
      <c r="G1000" s="1" t="s">
        <v>7</v>
      </c>
    </row>
    <row r="1001" spans="1:7" hidden="1">
      <c r="A1001" t="s">
        <v>78</v>
      </c>
      <c r="B1001" s="1" t="s">
        <v>67</v>
      </c>
      <c r="C1001" s="2">
        <v>2024</v>
      </c>
      <c r="D1001" s="2">
        <v>1</v>
      </c>
      <c r="E1001" s="2">
        <v>1</v>
      </c>
      <c r="F1001" s="1" t="s">
        <v>7</v>
      </c>
      <c r="G1001" s="1" t="s">
        <v>7</v>
      </c>
    </row>
    <row r="1002" spans="1:7" hidden="1">
      <c r="A1002" t="s">
        <v>78</v>
      </c>
      <c r="B1002" s="1" t="s">
        <v>68</v>
      </c>
      <c r="C1002" s="2">
        <v>2023</v>
      </c>
      <c r="D1002" s="2">
        <v>208</v>
      </c>
      <c r="E1002" s="2">
        <v>155</v>
      </c>
      <c r="F1002" s="2">
        <v>53</v>
      </c>
      <c r="G1002" s="1" t="s">
        <v>7</v>
      </c>
    </row>
    <row r="1003" spans="1:7" hidden="1">
      <c r="A1003" t="s">
        <v>78</v>
      </c>
      <c r="B1003" s="1" t="s">
        <v>68</v>
      </c>
      <c r="C1003" s="2">
        <v>2024</v>
      </c>
      <c r="D1003" s="2">
        <v>5</v>
      </c>
      <c r="E1003" s="2">
        <v>3</v>
      </c>
      <c r="F1003" s="2">
        <v>2</v>
      </c>
      <c r="G1003" s="1" t="s">
        <v>7</v>
      </c>
    </row>
    <row r="1004" spans="1:7" hidden="1">
      <c r="A1004" t="s">
        <v>78</v>
      </c>
      <c r="B1004" s="1" t="s">
        <v>69</v>
      </c>
      <c r="C1004" s="2">
        <v>2024</v>
      </c>
      <c r="D1004" s="2">
        <v>199</v>
      </c>
      <c r="E1004" s="2">
        <v>146</v>
      </c>
      <c r="F1004" s="2">
        <v>53</v>
      </c>
      <c r="G1004" s="1" t="s">
        <v>7</v>
      </c>
    </row>
    <row r="1005" spans="1:7" hidden="1">
      <c r="A1005" t="s">
        <v>78</v>
      </c>
      <c r="B1005" s="1" t="s">
        <v>6</v>
      </c>
      <c r="C1005" s="2">
        <v>1990</v>
      </c>
      <c r="D1005" s="2">
        <v>3</v>
      </c>
      <c r="E1005" s="2">
        <v>3</v>
      </c>
      <c r="F1005" s="1" t="s">
        <v>7</v>
      </c>
      <c r="G1005" s="1" t="s">
        <v>7</v>
      </c>
    </row>
    <row r="1006" spans="1:7" hidden="1">
      <c r="A1006" t="s">
        <v>78</v>
      </c>
      <c r="B1006" s="1" t="s">
        <v>6</v>
      </c>
      <c r="C1006" s="2">
        <v>1991</v>
      </c>
      <c r="D1006" s="2">
        <v>4</v>
      </c>
      <c r="E1006" s="2">
        <v>3</v>
      </c>
      <c r="F1006" s="2">
        <v>1</v>
      </c>
      <c r="G1006" s="1" t="s">
        <v>7</v>
      </c>
    </row>
    <row r="1007" spans="1:7" hidden="1">
      <c r="A1007" t="s">
        <v>78</v>
      </c>
      <c r="B1007" s="1" t="s">
        <v>6</v>
      </c>
      <c r="C1007" s="2">
        <v>1992</v>
      </c>
      <c r="D1007" s="2">
        <v>9</v>
      </c>
      <c r="E1007" s="2">
        <v>8</v>
      </c>
      <c r="F1007" s="2">
        <v>1</v>
      </c>
      <c r="G1007" s="1" t="s">
        <v>7</v>
      </c>
    </row>
    <row r="1008" spans="1:7" hidden="1">
      <c r="A1008" t="s">
        <v>78</v>
      </c>
      <c r="B1008" s="1" t="s">
        <v>6</v>
      </c>
      <c r="C1008" s="2">
        <v>1993</v>
      </c>
      <c r="D1008" s="2">
        <v>2</v>
      </c>
      <c r="E1008" s="2">
        <v>2</v>
      </c>
      <c r="F1008" s="1" t="s">
        <v>7</v>
      </c>
      <c r="G1008" s="1" t="s">
        <v>7</v>
      </c>
    </row>
    <row r="1009" spans="1:7" hidden="1">
      <c r="A1009" t="s">
        <v>78</v>
      </c>
      <c r="B1009" s="1" t="s">
        <v>6</v>
      </c>
      <c r="C1009" s="2">
        <v>1997</v>
      </c>
      <c r="D1009" s="2">
        <v>1</v>
      </c>
      <c r="E1009" s="2">
        <v>1</v>
      </c>
      <c r="F1009" s="1" t="s">
        <v>7</v>
      </c>
      <c r="G1009" s="1" t="s">
        <v>7</v>
      </c>
    </row>
    <row r="1010" spans="1:7" hidden="1">
      <c r="A1010" t="s">
        <v>78</v>
      </c>
      <c r="B1010" s="1" t="s">
        <v>6</v>
      </c>
      <c r="C1010" s="2">
        <v>2018</v>
      </c>
      <c r="D1010" s="2">
        <v>1</v>
      </c>
      <c r="E1010" s="2">
        <v>1</v>
      </c>
      <c r="F1010" s="1" t="s">
        <v>7</v>
      </c>
      <c r="G1010" s="1" t="s">
        <v>7</v>
      </c>
    </row>
    <row r="1011" spans="1:7" hidden="1">
      <c r="A1011" t="s">
        <v>78</v>
      </c>
      <c r="B1011" s="1" t="s">
        <v>6</v>
      </c>
      <c r="C1011" s="2">
        <v>2021</v>
      </c>
      <c r="D1011" s="2">
        <v>2</v>
      </c>
      <c r="E1011" s="2">
        <v>2</v>
      </c>
      <c r="F1011" s="1" t="s">
        <v>7</v>
      </c>
      <c r="G1011" s="1" t="s">
        <v>7</v>
      </c>
    </row>
    <row r="1012" spans="1:7" hidden="1">
      <c r="A1012" t="s">
        <v>78</v>
      </c>
      <c r="B1012" s="1" t="s">
        <v>6</v>
      </c>
      <c r="C1012" s="2">
        <v>2022</v>
      </c>
      <c r="D1012" s="2">
        <v>3</v>
      </c>
      <c r="E1012" s="2">
        <v>1</v>
      </c>
      <c r="F1012" s="2">
        <v>2</v>
      </c>
      <c r="G1012" s="1" t="s">
        <v>7</v>
      </c>
    </row>
    <row r="1013" spans="1:7" hidden="1">
      <c r="A1013" t="s">
        <v>78</v>
      </c>
      <c r="B1013" s="1" t="s">
        <v>6</v>
      </c>
      <c r="C1013" s="2">
        <v>2023</v>
      </c>
      <c r="D1013" s="2">
        <v>2</v>
      </c>
      <c r="E1013" s="2">
        <v>2</v>
      </c>
      <c r="F1013" s="1" t="s">
        <v>7</v>
      </c>
      <c r="G1013" s="1" t="s">
        <v>7</v>
      </c>
    </row>
    <row r="1014" spans="1:7" hidden="1">
      <c r="A1014" t="s">
        <v>79</v>
      </c>
      <c r="B1014" s="1" t="s">
        <v>3</v>
      </c>
      <c r="C1014" s="2">
        <v>1990</v>
      </c>
      <c r="D1014" s="2">
        <v>60</v>
      </c>
      <c r="E1014" s="2">
        <v>44</v>
      </c>
      <c r="F1014" s="2">
        <v>16</v>
      </c>
      <c r="G1014" s="1" t="s">
        <v>7</v>
      </c>
    </row>
    <row r="1015" spans="1:7" hidden="1">
      <c r="A1015" t="s">
        <v>79</v>
      </c>
      <c r="B1015" s="1" t="s">
        <v>3</v>
      </c>
      <c r="C1015" s="2">
        <v>1991</v>
      </c>
      <c r="D1015" s="2">
        <v>81</v>
      </c>
      <c r="E1015" s="2">
        <v>50</v>
      </c>
      <c r="F1015" s="2">
        <v>31</v>
      </c>
      <c r="G1015" s="1" t="s">
        <v>7</v>
      </c>
    </row>
    <row r="1016" spans="1:7" hidden="1">
      <c r="A1016" t="s">
        <v>79</v>
      </c>
      <c r="B1016" s="1" t="s">
        <v>3</v>
      </c>
      <c r="C1016" s="2">
        <v>1992</v>
      </c>
      <c r="D1016" s="2">
        <v>76</v>
      </c>
      <c r="E1016" s="2">
        <v>57</v>
      </c>
      <c r="F1016" s="2">
        <v>19</v>
      </c>
      <c r="G1016" s="1" t="s">
        <v>7</v>
      </c>
    </row>
    <row r="1017" spans="1:7" hidden="1">
      <c r="A1017" t="s">
        <v>79</v>
      </c>
      <c r="B1017" s="1" t="s">
        <v>3</v>
      </c>
      <c r="C1017" s="2">
        <v>1993</v>
      </c>
      <c r="D1017" s="2">
        <v>76</v>
      </c>
      <c r="E1017" s="2">
        <v>55</v>
      </c>
      <c r="F1017" s="2">
        <v>21</v>
      </c>
      <c r="G1017" s="1" t="s">
        <v>7</v>
      </c>
    </row>
    <row r="1018" spans="1:7" hidden="1">
      <c r="A1018" t="s">
        <v>79</v>
      </c>
      <c r="B1018" s="1" t="s">
        <v>3</v>
      </c>
      <c r="C1018" s="2">
        <v>1994</v>
      </c>
      <c r="D1018" s="2">
        <v>74</v>
      </c>
      <c r="E1018" s="2">
        <v>47</v>
      </c>
      <c r="F1018" s="2">
        <v>27</v>
      </c>
      <c r="G1018" s="1" t="s">
        <v>7</v>
      </c>
    </row>
    <row r="1019" spans="1:7" hidden="1">
      <c r="A1019" t="s">
        <v>79</v>
      </c>
      <c r="B1019" s="1" t="s">
        <v>3</v>
      </c>
      <c r="C1019" s="2">
        <v>1995</v>
      </c>
      <c r="D1019" s="2">
        <v>80</v>
      </c>
      <c r="E1019" s="2">
        <v>53</v>
      </c>
      <c r="F1019" s="2">
        <v>27</v>
      </c>
      <c r="G1019" s="1" t="s">
        <v>7</v>
      </c>
    </row>
    <row r="1020" spans="1:7" hidden="1">
      <c r="A1020" t="s">
        <v>79</v>
      </c>
      <c r="B1020" s="1" t="s">
        <v>3</v>
      </c>
      <c r="C1020" s="2">
        <v>1996</v>
      </c>
      <c r="D1020" s="2">
        <v>72</v>
      </c>
      <c r="E1020" s="2">
        <v>55</v>
      </c>
      <c r="F1020" s="2">
        <v>17</v>
      </c>
      <c r="G1020" s="1" t="s">
        <v>7</v>
      </c>
    </row>
    <row r="1021" spans="1:7" hidden="1">
      <c r="A1021" t="s">
        <v>79</v>
      </c>
      <c r="B1021" s="1" t="s">
        <v>3</v>
      </c>
      <c r="C1021" s="2">
        <v>1997</v>
      </c>
      <c r="D1021" s="2">
        <v>62</v>
      </c>
      <c r="E1021" s="2">
        <v>41</v>
      </c>
      <c r="F1021" s="2">
        <v>21</v>
      </c>
      <c r="G1021" s="1" t="s">
        <v>7</v>
      </c>
    </row>
    <row r="1022" spans="1:7" hidden="1">
      <c r="A1022" t="s">
        <v>79</v>
      </c>
      <c r="B1022" s="1" t="s">
        <v>3</v>
      </c>
      <c r="C1022" s="2">
        <v>1998</v>
      </c>
      <c r="D1022" s="2">
        <v>94</v>
      </c>
      <c r="E1022" s="2">
        <v>64</v>
      </c>
      <c r="F1022" s="2">
        <v>30</v>
      </c>
      <c r="G1022" s="1" t="s">
        <v>7</v>
      </c>
    </row>
    <row r="1023" spans="1:7" hidden="1">
      <c r="A1023" t="s">
        <v>79</v>
      </c>
      <c r="B1023" s="1" t="s">
        <v>3</v>
      </c>
      <c r="C1023" s="2">
        <v>1999</v>
      </c>
      <c r="D1023" s="2">
        <v>79</v>
      </c>
      <c r="E1023" s="2">
        <v>54</v>
      </c>
      <c r="F1023" s="2">
        <v>25</v>
      </c>
      <c r="G1023" s="1" t="s">
        <v>7</v>
      </c>
    </row>
    <row r="1024" spans="1:7" hidden="1">
      <c r="A1024" t="s">
        <v>79</v>
      </c>
      <c r="B1024" s="1" t="s">
        <v>3</v>
      </c>
      <c r="C1024" s="2">
        <v>2000</v>
      </c>
      <c r="D1024" s="2">
        <v>68</v>
      </c>
      <c r="E1024" s="2">
        <v>50</v>
      </c>
      <c r="F1024" s="2">
        <v>18</v>
      </c>
      <c r="G1024" s="1" t="s">
        <v>7</v>
      </c>
    </row>
    <row r="1025" spans="1:7" hidden="1">
      <c r="A1025" t="s">
        <v>79</v>
      </c>
      <c r="B1025" s="1" t="s">
        <v>3</v>
      </c>
      <c r="C1025" s="2">
        <v>2001</v>
      </c>
      <c r="D1025" s="2">
        <v>71</v>
      </c>
      <c r="E1025" s="2">
        <v>44</v>
      </c>
      <c r="F1025" s="2">
        <v>27</v>
      </c>
      <c r="G1025" s="1" t="s">
        <v>7</v>
      </c>
    </row>
    <row r="1026" spans="1:7" hidden="1">
      <c r="A1026" t="s">
        <v>79</v>
      </c>
      <c r="B1026" s="1" t="s">
        <v>3</v>
      </c>
      <c r="C1026" s="2">
        <v>2002</v>
      </c>
      <c r="D1026" s="2">
        <v>85</v>
      </c>
      <c r="E1026" s="2">
        <v>58</v>
      </c>
      <c r="F1026" s="2">
        <v>27</v>
      </c>
      <c r="G1026" s="1" t="s">
        <v>7</v>
      </c>
    </row>
    <row r="1027" spans="1:7" hidden="1">
      <c r="A1027" t="s">
        <v>79</v>
      </c>
      <c r="B1027" s="1" t="s">
        <v>3</v>
      </c>
      <c r="C1027" s="2">
        <v>2003</v>
      </c>
      <c r="D1027" s="2">
        <v>76</v>
      </c>
      <c r="E1027" s="2">
        <v>47</v>
      </c>
      <c r="F1027" s="2">
        <v>29</v>
      </c>
      <c r="G1027" s="1" t="s">
        <v>7</v>
      </c>
    </row>
    <row r="1028" spans="1:7" hidden="1">
      <c r="A1028" t="s">
        <v>79</v>
      </c>
      <c r="B1028" s="1" t="s">
        <v>3</v>
      </c>
      <c r="C1028" s="2">
        <v>2004</v>
      </c>
      <c r="D1028" s="2">
        <v>86</v>
      </c>
      <c r="E1028" s="2">
        <v>60</v>
      </c>
      <c r="F1028" s="2">
        <v>26</v>
      </c>
      <c r="G1028" s="1" t="s">
        <v>7</v>
      </c>
    </row>
    <row r="1029" spans="1:7" hidden="1">
      <c r="A1029" t="s">
        <v>79</v>
      </c>
      <c r="B1029" s="1" t="s">
        <v>3</v>
      </c>
      <c r="C1029" s="2">
        <v>2005</v>
      </c>
      <c r="D1029" s="2">
        <v>102</v>
      </c>
      <c r="E1029" s="2">
        <v>76</v>
      </c>
      <c r="F1029" s="2">
        <v>26</v>
      </c>
      <c r="G1029" s="1" t="s">
        <v>7</v>
      </c>
    </row>
    <row r="1030" spans="1:7" hidden="1">
      <c r="A1030" t="s">
        <v>79</v>
      </c>
      <c r="B1030" s="1" t="s">
        <v>3</v>
      </c>
      <c r="C1030" s="2">
        <v>2006</v>
      </c>
      <c r="D1030" s="2">
        <v>94</v>
      </c>
      <c r="E1030" s="2">
        <v>68</v>
      </c>
      <c r="F1030" s="2">
        <v>26</v>
      </c>
      <c r="G1030" s="1" t="s">
        <v>7</v>
      </c>
    </row>
    <row r="1031" spans="1:7" hidden="1">
      <c r="A1031" t="s">
        <v>79</v>
      </c>
      <c r="B1031" s="1" t="s">
        <v>3</v>
      </c>
      <c r="C1031" s="2">
        <v>2007</v>
      </c>
      <c r="D1031" s="2">
        <v>112</v>
      </c>
      <c r="E1031" s="2">
        <v>85</v>
      </c>
      <c r="F1031" s="2">
        <v>27</v>
      </c>
      <c r="G1031" s="1" t="s">
        <v>7</v>
      </c>
    </row>
    <row r="1032" spans="1:7" hidden="1">
      <c r="A1032" t="s">
        <v>79</v>
      </c>
      <c r="B1032" s="1" t="s">
        <v>3</v>
      </c>
      <c r="C1032" s="2">
        <v>2008</v>
      </c>
      <c r="D1032" s="2">
        <v>101</v>
      </c>
      <c r="E1032" s="2">
        <v>64</v>
      </c>
      <c r="F1032" s="2">
        <v>37</v>
      </c>
      <c r="G1032" s="1" t="s">
        <v>7</v>
      </c>
    </row>
    <row r="1033" spans="1:7" hidden="1">
      <c r="A1033" t="s">
        <v>79</v>
      </c>
      <c r="B1033" s="1" t="s">
        <v>3</v>
      </c>
      <c r="C1033" s="2">
        <v>2009</v>
      </c>
      <c r="D1033" s="2">
        <v>121</v>
      </c>
      <c r="E1033" s="2">
        <v>88</v>
      </c>
      <c r="F1033" s="2">
        <v>33</v>
      </c>
      <c r="G1033" s="1" t="s">
        <v>7</v>
      </c>
    </row>
    <row r="1034" spans="1:7">
      <c r="A1034" t="s">
        <v>79</v>
      </c>
      <c r="B1034" s="1" t="s">
        <v>3</v>
      </c>
      <c r="C1034" s="2">
        <v>2010</v>
      </c>
      <c r="D1034" s="2">
        <v>113</v>
      </c>
      <c r="E1034" s="2">
        <v>82</v>
      </c>
      <c r="F1034" s="2">
        <v>31</v>
      </c>
      <c r="G1034" s="1" t="s">
        <v>7</v>
      </c>
    </row>
    <row r="1035" spans="1:7" hidden="1">
      <c r="A1035" t="s">
        <v>79</v>
      </c>
      <c r="B1035" s="1" t="s">
        <v>3</v>
      </c>
      <c r="C1035" s="2">
        <v>2011</v>
      </c>
      <c r="D1035" s="2">
        <v>116</v>
      </c>
      <c r="E1035" s="2">
        <v>88</v>
      </c>
      <c r="F1035" s="2">
        <v>28</v>
      </c>
      <c r="G1035" s="1" t="s">
        <v>7</v>
      </c>
    </row>
    <row r="1036" spans="1:7" hidden="1">
      <c r="A1036" t="s">
        <v>79</v>
      </c>
      <c r="B1036" s="1" t="s">
        <v>3</v>
      </c>
      <c r="C1036" s="2">
        <v>2012</v>
      </c>
      <c r="D1036" s="2">
        <v>143</v>
      </c>
      <c r="E1036" s="2">
        <v>99</v>
      </c>
      <c r="F1036" s="2">
        <v>44</v>
      </c>
      <c r="G1036" s="1" t="s">
        <v>7</v>
      </c>
    </row>
    <row r="1037" spans="1:7" hidden="1">
      <c r="A1037" t="s">
        <v>79</v>
      </c>
      <c r="B1037" s="1" t="s">
        <v>3</v>
      </c>
      <c r="C1037" s="2">
        <v>2013</v>
      </c>
      <c r="D1037" s="2">
        <v>139</v>
      </c>
      <c r="E1037" s="2">
        <v>108</v>
      </c>
      <c r="F1037" s="2">
        <v>31</v>
      </c>
      <c r="G1037" s="1" t="s">
        <v>7</v>
      </c>
    </row>
    <row r="1038" spans="1:7" hidden="1">
      <c r="A1038" t="s">
        <v>79</v>
      </c>
      <c r="B1038" s="1" t="s">
        <v>3</v>
      </c>
      <c r="C1038" s="2">
        <v>2014</v>
      </c>
      <c r="D1038" s="2">
        <v>133</v>
      </c>
      <c r="E1038" s="2">
        <v>89</v>
      </c>
      <c r="F1038" s="2">
        <v>44</v>
      </c>
      <c r="G1038" s="1" t="s">
        <v>7</v>
      </c>
    </row>
    <row r="1039" spans="1:7" hidden="1">
      <c r="A1039" t="s">
        <v>79</v>
      </c>
      <c r="B1039" s="1" t="s">
        <v>3</v>
      </c>
      <c r="C1039" s="2">
        <v>2015</v>
      </c>
      <c r="D1039" s="2">
        <v>167</v>
      </c>
      <c r="E1039" s="2">
        <v>121</v>
      </c>
      <c r="F1039" s="2">
        <v>46</v>
      </c>
      <c r="G1039" s="1" t="s">
        <v>7</v>
      </c>
    </row>
    <row r="1040" spans="1:7" hidden="1">
      <c r="A1040" t="s">
        <v>79</v>
      </c>
      <c r="B1040" s="1" t="s">
        <v>3</v>
      </c>
      <c r="C1040" s="2">
        <v>2016</v>
      </c>
      <c r="D1040" s="2">
        <v>210</v>
      </c>
      <c r="E1040" s="2">
        <v>163</v>
      </c>
      <c r="F1040" s="2">
        <v>47</v>
      </c>
      <c r="G1040" s="1" t="s">
        <v>7</v>
      </c>
    </row>
    <row r="1041" spans="1:7" hidden="1">
      <c r="A1041" t="s">
        <v>79</v>
      </c>
      <c r="B1041" s="1" t="s">
        <v>3</v>
      </c>
      <c r="C1041" s="2">
        <v>2017</v>
      </c>
      <c r="D1041" s="2">
        <v>219</v>
      </c>
      <c r="E1041" s="2">
        <v>169</v>
      </c>
      <c r="F1041" s="2">
        <v>50</v>
      </c>
      <c r="G1041" s="1" t="s">
        <v>7</v>
      </c>
    </row>
    <row r="1042" spans="1:7" hidden="1">
      <c r="A1042" t="s">
        <v>79</v>
      </c>
      <c r="B1042" s="1" t="s">
        <v>3</v>
      </c>
      <c r="C1042" s="2">
        <v>2018</v>
      </c>
      <c r="D1042" s="2">
        <v>201</v>
      </c>
      <c r="E1042" s="2">
        <v>144</v>
      </c>
      <c r="F1042" s="2">
        <v>57</v>
      </c>
      <c r="G1042" s="1" t="s">
        <v>7</v>
      </c>
    </row>
    <row r="1043" spans="1:7">
      <c r="A1043" t="s">
        <v>79</v>
      </c>
      <c r="B1043" s="1" t="s">
        <v>3</v>
      </c>
      <c r="C1043" s="2">
        <v>2019</v>
      </c>
      <c r="D1043" s="2">
        <v>200</v>
      </c>
      <c r="E1043" s="2">
        <v>156</v>
      </c>
      <c r="F1043" s="2">
        <v>44</v>
      </c>
      <c r="G1043" s="1" t="s">
        <v>7</v>
      </c>
    </row>
    <row r="1044" spans="1:7" hidden="1">
      <c r="A1044" t="s">
        <v>79</v>
      </c>
      <c r="B1044" s="1" t="s">
        <v>3</v>
      </c>
      <c r="C1044" s="2">
        <v>2020</v>
      </c>
      <c r="D1044" s="2">
        <v>252</v>
      </c>
      <c r="E1044" s="2">
        <v>172</v>
      </c>
      <c r="F1044" s="2">
        <v>80</v>
      </c>
      <c r="G1044" s="1" t="s">
        <v>7</v>
      </c>
    </row>
    <row r="1045" spans="1:7">
      <c r="A1045" t="s">
        <v>79</v>
      </c>
      <c r="B1045" s="1" t="s">
        <v>3</v>
      </c>
      <c r="C1045" s="2">
        <v>2021</v>
      </c>
      <c r="D1045" s="2">
        <v>265</v>
      </c>
      <c r="E1045" s="2">
        <v>199</v>
      </c>
      <c r="F1045" s="2">
        <v>66</v>
      </c>
      <c r="G1045" s="1" t="s">
        <v>7</v>
      </c>
    </row>
    <row r="1046" spans="1:7" hidden="1">
      <c r="A1046" t="s">
        <v>79</v>
      </c>
      <c r="B1046" s="1" t="s">
        <v>3</v>
      </c>
      <c r="C1046" s="2">
        <v>2022</v>
      </c>
      <c r="D1046" s="2">
        <v>244</v>
      </c>
      <c r="E1046" s="2">
        <v>181</v>
      </c>
      <c r="F1046" s="2">
        <v>63</v>
      </c>
      <c r="G1046" s="1" t="s">
        <v>7</v>
      </c>
    </row>
    <row r="1047" spans="1:7" hidden="1">
      <c r="A1047" t="s">
        <v>79</v>
      </c>
      <c r="B1047" s="1" t="s">
        <v>3</v>
      </c>
      <c r="C1047" s="2">
        <v>2023</v>
      </c>
      <c r="D1047" s="2">
        <v>225</v>
      </c>
      <c r="E1047" s="2">
        <v>167</v>
      </c>
      <c r="F1047" s="2">
        <v>58</v>
      </c>
      <c r="G1047" s="1" t="s">
        <v>7</v>
      </c>
    </row>
    <row r="1048" spans="1:7" hidden="1">
      <c r="A1048" t="s">
        <v>79</v>
      </c>
      <c r="B1048" s="1" t="s">
        <v>3</v>
      </c>
      <c r="C1048" s="2">
        <v>2024</v>
      </c>
      <c r="D1048" s="2">
        <v>246</v>
      </c>
      <c r="E1048" s="2">
        <v>185</v>
      </c>
      <c r="F1048" s="2">
        <v>61</v>
      </c>
      <c r="G1048" s="1" t="s">
        <v>7</v>
      </c>
    </row>
    <row r="1049" spans="1:7" hidden="1">
      <c r="A1049" t="s">
        <v>79</v>
      </c>
      <c r="B1049" s="1" t="s">
        <v>8</v>
      </c>
      <c r="C1049" s="2">
        <v>1998</v>
      </c>
      <c r="D1049" s="2">
        <v>1</v>
      </c>
      <c r="E1049" s="2">
        <v>1</v>
      </c>
      <c r="F1049" s="1" t="s">
        <v>7</v>
      </c>
      <c r="G1049" s="1" t="s">
        <v>7</v>
      </c>
    </row>
    <row r="1050" spans="1:7" hidden="1">
      <c r="A1050" t="s">
        <v>79</v>
      </c>
      <c r="B1050" s="1" t="s">
        <v>12</v>
      </c>
      <c r="C1050" s="2">
        <v>1994</v>
      </c>
      <c r="D1050" s="2">
        <v>1</v>
      </c>
      <c r="E1050" s="1" t="s">
        <v>7</v>
      </c>
      <c r="F1050" s="2">
        <v>1</v>
      </c>
      <c r="G1050" s="1" t="s">
        <v>7</v>
      </c>
    </row>
    <row r="1051" spans="1:7" hidden="1">
      <c r="A1051" t="s">
        <v>79</v>
      </c>
      <c r="B1051" s="1" t="s">
        <v>19</v>
      </c>
      <c r="C1051" s="2">
        <v>1999</v>
      </c>
      <c r="D1051" s="2">
        <v>1</v>
      </c>
      <c r="E1051" s="2">
        <v>1</v>
      </c>
      <c r="F1051" s="1" t="s">
        <v>7</v>
      </c>
      <c r="G1051" s="1" t="s">
        <v>7</v>
      </c>
    </row>
    <row r="1052" spans="1:7" hidden="1">
      <c r="A1052" t="s">
        <v>79</v>
      </c>
      <c r="B1052" s="1" t="s">
        <v>29</v>
      </c>
      <c r="C1052" s="2">
        <v>1994</v>
      </c>
      <c r="D1052" s="2">
        <v>1</v>
      </c>
      <c r="E1052" s="1" t="s">
        <v>7</v>
      </c>
      <c r="F1052" s="2">
        <v>1</v>
      </c>
      <c r="G1052" s="1" t="s">
        <v>7</v>
      </c>
    </row>
    <row r="1053" spans="1:7" hidden="1">
      <c r="A1053" t="s">
        <v>79</v>
      </c>
      <c r="B1053" s="1" t="s">
        <v>35</v>
      </c>
      <c r="C1053" s="2">
        <v>1990</v>
      </c>
      <c r="D1053" s="2">
        <v>57</v>
      </c>
      <c r="E1053" s="2">
        <v>41</v>
      </c>
      <c r="F1053" s="2">
        <v>16</v>
      </c>
      <c r="G1053" s="1" t="s">
        <v>7</v>
      </c>
    </row>
    <row r="1054" spans="1:7" hidden="1">
      <c r="A1054" t="s">
        <v>79</v>
      </c>
      <c r="B1054" s="1" t="s">
        <v>36</v>
      </c>
      <c r="C1054" s="2">
        <v>1991</v>
      </c>
      <c r="D1054" s="2">
        <v>80</v>
      </c>
      <c r="E1054" s="2">
        <v>49</v>
      </c>
      <c r="F1054" s="2">
        <v>31</v>
      </c>
      <c r="G1054" s="1" t="s">
        <v>7</v>
      </c>
    </row>
    <row r="1055" spans="1:7" hidden="1">
      <c r="A1055" t="s">
        <v>79</v>
      </c>
      <c r="B1055" s="1" t="s">
        <v>37</v>
      </c>
      <c r="C1055" s="2">
        <v>1992</v>
      </c>
      <c r="D1055" s="2">
        <v>69</v>
      </c>
      <c r="E1055" s="2">
        <v>50</v>
      </c>
      <c r="F1055" s="2">
        <v>19</v>
      </c>
      <c r="G1055" s="1" t="s">
        <v>7</v>
      </c>
    </row>
    <row r="1056" spans="1:7" hidden="1">
      <c r="A1056" t="s">
        <v>79</v>
      </c>
      <c r="B1056" s="1" t="s">
        <v>37</v>
      </c>
      <c r="C1056" s="2">
        <v>1993</v>
      </c>
      <c r="D1056" s="2">
        <v>1</v>
      </c>
      <c r="E1056" s="2">
        <v>1</v>
      </c>
      <c r="F1056" s="1" t="s">
        <v>7</v>
      </c>
      <c r="G1056" s="1" t="s">
        <v>7</v>
      </c>
    </row>
    <row r="1057" spans="1:7" hidden="1">
      <c r="A1057" t="s">
        <v>79</v>
      </c>
      <c r="B1057" s="1" t="s">
        <v>38</v>
      </c>
      <c r="C1057" s="2">
        <v>1993</v>
      </c>
      <c r="D1057" s="2">
        <v>72</v>
      </c>
      <c r="E1057" s="2">
        <v>51</v>
      </c>
      <c r="F1057" s="2">
        <v>21</v>
      </c>
      <c r="G1057" s="1" t="s">
        <v>7</v>
      </c>
    </row>
    <row r="1058" spans="1:7" hidden="1">
      <c r="A1058" t="s">
        <v>79</v>
      </c>
      <c r="B1058" s="1" t="s">
        <v>38</v>
      </c>
      <c r="C1058" s="2">
        <v>1994</v>
      </c>
      <c r="D1058" s="2">
        <v>1</v>
      </c>
      <c r="E1058" s="2">
        <v>1</v>
      </c>
      <c r="F1058" s="1" t="s">
        <v>7</v>
      </c>
      <c r="G1058" s="1" t="s">
        <v>7</v>
      </c>
    </row>
    <row r="1059" spans="1:7" hidden="1">
      <c r="A1059" t="s">
        <v>79</v>
      </c>
      <c r="B1059" s="1" t="s">
        <v>39</v>
      </c>
      <c r="C1059" s="2">
        <v>1994</v>
      </c>
      <c r="D1059" s="2">
        <v>71</v>
      </c>
      <c r="E1059" s="2">
        <v>46</v>
      </c>
      <c r="F1059" s="2">
        <v>25</v>
      </c>
      <c r="G1059" s="1" t="s">
        <v>7</v>
      </c>
    </row>
    <row r="1060" spans="1:7" hidden="1">
      <c r="A1060" t="s">
        <v>79</v>
      </c>
      <c r="B1060" s="1" t="s">
        <v>39</v>
      </c>
      <c r="C1060" s="2">
        <v>1995</v>
      </c>
      <c r="D1060" s="2">
        <v>1</v>
      </c>
      <c r="E1060" s="2">
        <v>1</v>
      </c>
      <c r="F1060" s="1" t="s">
        <v>7</v>
      </c>
      <c r="G1060" s="1" t="s">
        <v>7</v>
      </c>
    </row>
    <row r="1061" spans="1:7" hidden="1">
      <c r="A1061" t="s">
        <v>79</v>
      </c>
      <c r="B1061" s="1" t="s">
        <v>40</v>
      </c>
      <c r="C1061" s="2">
        <v>1995</v>
      </c>
      <c r="D1061" s="2">
        <v>79</v>
      </c>
      <c r="E1061" s="2">
        <v>52</v>
      </c>
      <c r="F1061" s="2">
        <v>27</v>
      </c>
      <c r="G1061" s="1" t="s">
        <v>7</v>
      </c>
    </row>
    <row r="1062" spans="1:7" hidden="1">
      <c r="A1062" t="s">
        <v>79</v>
      </c>
      <c r="B1062" s="1" t="s">
        <v>40</v>
      </c>
      <c r="C1062" s="2">
        <v>1996</v>
      </c>
      <c r="D1062" s="2">
        <v>1</v>
      </c>
      <c r="E1062" s="2">
        <v>1</v>
      </c>
      <c r="F1062" s="1" t="s">
        <v>7</v>
      </c>
      <c r="G1062" s="1" t="s">
        <v>7</v>
      </c>
    </row>
    <row r="1063" spans="1:7" hidden="1">
      <c r="A1063" t="s">
        <v>79</v>
      </c>
      <c r="B1063" s="1" t="s">
        <v>41</v>
      </c>
      <c r="C1063" s="2">
        <v>1996</v>
      </c>
      <c r="D1063" s="2">
        <v>71</v>
      </c>
      <c r="E1063" s="2">
        <v>54</v>
      </c>
      <c r="F1063" s="2">
        <v>17</v>
      </c>
      <c r="G1063" s="1" t="s">
        <v>7</v>
      </c>
    </row>
    <row r="1064" spans="1:7" hidden="1">
      <c r="A1064" t="s">
        <v>79</v>
      </c>
      <c r="B1064" s="1" t="s">
        <v>41</v>
      </c>
      <c r="C1064" s="2">
        <v>1997</v>
      </c>
      <c r="D1064" s="2">
        <v>1</v>
      </c>
      <c r="E1064" s="2">
        <v>1</v>
      </c>
      <c r="F1064" s="1" t="s">
        <v>7</v>
      </c>
      <c r="G1064" s="1" t="s">
        <v>7</v>
      </c>
    </row>
    <row r="1065" spans="1:7" hidden="1">
      <c r="A1065" t="s">
        <v>79</v>
      </c>
      <c r="B1065" s="1" t="s">
        <v>42</v>
      </c>
      <c r="C1065" s="2">
        <v>1997</v>
      </c>
      <c r="D1065" s="2">
        <v>61</v>
      </c>
      <c r="E1065" s="2">
        <v>40</v>
      </c>
      <c r="F1065" s="2">
        <v>21</v>
      </c>
      <c r="G1065" s="1" t="s">
        <v>7</v>
      </c>
    </row>
    <row r="1066" spans="1:7" hidden="1">
      <c r="A1066" t="s">
        <v>79</v>
      </c>
      <c r="B1066" s="1" t="s">
        <v>43</v>
      </c>
      <c r="C1066" s="2">
        <v>1998</v>
      </c>
      <c r="D1066" s="2">
        <v>93</v>
      </c>
      <c r="E1066" s="2">
        <v>63</v>
      </c>
      <c r="F1066" s="2">
        <v>30</v>
      </c>
      <c r="G1066" s="1" t="s">
        <v>7</v>
      </c>
    </row>
    <row r="1067" spans="1:7" hidden="1">
      <c r="A1067" t="s">
        <v>79</v>
      </c>
      <c r="B1067" s="1" t="s">
        <v>44</v>
      </c>
      <c r="C1067" s="2">
        <v>1999</v>
      </c>
      <c r="D1067" s="2">
        <v>78</v>
      </c>
      <c r="E1067" s="2">
        <v>53</v>
      </c>
      <c r="F1067" s="2">
        <v>25</v>
      </c>
      <c r="G1067" s="1" t="s">
        <v>7</v>
      </c>
    </row>
    <row r="1068" spans="1:7" hidden="1">
      <c r="A1068" t="s">
        <v>79</v>
      </c>
      <c r="B1068" s="1" t="s">
        <v>45</v>
      </c>
      <c r="C1068" s="2">
        <v>2000</v>
      </c>
      <c r="D1068" s="2">
        <v>68</v>
      </c>
      <c r="E1068" s="2">
        <v>50</v>
      </c>
      <c r="F1068" s="2">
        <v>18</v>
      </c>
      <c r="G1068" s="1" t="s">
        <v>7</v>
      </c>
    </row>
    <row r="1069" spans="1:7" hidden="1">
      <c r="A1069" t="s">
        <v>79</v>
      </c>
      <c r="B1069" s="1" t="s">
        <v>45</v>
      </c>
      <c r="C1069" s="2">
        <v>2001</v>
      </c>
      <c r="D1069" s="2">
        <v>1</v>
      </c>
      <c r="E1069" s="2">
        <v>1</v>
      </c>
      <c r="F1069" s="1" t="s">
        <v>7</v>
      </c>
      <c r="G1069" s="1" t="s">
        <v>7</v>
      </c>
    </row>
    <row r="1070" spans="1:7" hidden="1">
      <c r="A1070" t="s">
        <v>79</v>
      </c>
      <c r="B1070" s="1" t="s">
        <v>46</v>
      </c>
      <c r="C1070" s="2">
        <v>2001</v>
      </c>
      <c r="D1070" s="2">
        <v>70</v>
      </c>
      <c r="E1070" s="2">
        <v>43</v>
      </c>
      <c r="F1070" s="2">
        <v>27</v>
      </c>
      <c r="G1070" s="1" t="s">
        <v>7</v>
      </c>
    </row>
    <row r="1071" spans="1:7" hidden="1">
      <c r="A1071" t="s">
        <v>79</v>
      </c>
      <c r="B1071" s="1" t="s">
        <v>47</v>
      </c>
      <c r="C1071" s="2">
        <v>2002</v>
      </c>
      <c r="D1071" s="2">
        <v>85</v>
      </c>
      <c r="E1071" s="2">
        <v>58</v>
      </c>
      <c r="F1071" s="2">
        <v>27</v>
      </c>
      <c r="G1071" s="1" t="s">
        <v>7</v>
      </c>
    </row>
    <row r="1072" spans="1:7" hidden="1">
      <c r="A1072" t="s">
        <v>79</v>
      </c>
      <c r="B1072" s="1" t="s">
        <v>48</v>
      </c>
      <c r="C1072" s="2">
        <v>2003</v>
      </c>
      <c r="D1072" s="2">
        <v>76</v>
      </c>
      <c r="E1072" s="2">
        <v>47</v>
      </c>
      <c r="F1072" s="2">
        <v>29</v>
      </c>
      <c r="G1072" s="1" t="s">
        <v>7</v>
      </c>
    </row>
    <row r="1073" spans="1:7" hidden="1">
      <c r="A1073" t="s">
        <v>79</v>
      </c>
      <c r="B1073" s="1" t="s">
        <v>48</v>
      </c>
      <c r="C1073" s="2">
        <v>2004</v>
      </c>
      <c r="D1073" s="2">
        <v>1</v>
      </c>
      <c r="E1073" s="1" t="s">
        <v>7</v>
      </c>
      <c r="F1073" s="2">
        <v>1</v>
      </c>
      <c r="G1073" s="1" t="s">
        <v>7</v>
      </c>
    </row>
    <row r="1074" spans="1:7" hidden="1">
      <c r="A1074" t="s">
        <v>79</v>
      </c>
      <c r="B1074" s="1" t="s">
        <v>49</v>
      </c>
      <c r="C1074" s="2">
        <v>2004</v>
      </c>
      <c r="D1074" s="2">
        <v>85</v>
      </c>
      <c r="E1074" s="2">
        <v>60</v>
      </c>
      <c r="F1074" s="2">
        <v>25</v>
      </c>
      <c r="G1074" s="1" t="s">
        <v>7</v>
      </c>
    </row>
    <row r="1075" spans="1:7" hidden="1">
      <c r="A1075" t="s">
        <v>79</v>
      </c>
      <c r="B1075" s="1" t="s">
        <v>50</v>
      </c>
      <c r="C1075" s="2">
        <v>2005</v>
      </c>
      <c r="D1075" s="2">
        <v>102</v>
      </c>
      <c r="E1075" s="2">
        <v>76</v>
      </c>
      <c r="F1075" s="2">
        <v>26</v>
      </c>
      <c r="G1075" s="1" t="s">
        <v>7</v>
      </c>
    </row>
    <row r="1076" spans="1:7" hidden="1">
      <c r="A1076" t="s">
        <v>79</v>
      </c>
      <c r="B1076" s="1" t="s">
        <v>50</v>
      </c>
      <c r="C1076" s="2">
        <v>2006</v>
      </c>
      <c r="D1076" s="2">
        <v>1</v>
      </c>
      <c r="E1076" s="1" t="s">
        <v>7</v>
      </c>
      <c r="F1076" s="2">
        <v>1</v>
      </c>
      <c r="G1076" s="1" t="s">
        <v>7</v>
      </c>
    </row>
    <row r="1077" spans="1:7" hidden="1">
      <c r="A1077" t="s">
        <v>79</v>
      </c>
      <c r="B1077" s="1" t="s">
        <v>51</v>
      </c>
      <c r="C1077" s="2">
        <v>2006</v>
      </c>
      <c r="D1077" s="2">
        <v>93</v>
      </c>
      <c r="E1077" s="2">
        <v>68</v>
      </c>
      <c r="F1077" s="2">
        <v>25</v>
      </c>
      <c r="G1077" s="1" t="s">
        <v>7</v>
      </c>
    </row>
    <row r="1078" spans="1:7" hidden="1">
      <c r="A1078" t="s">
        <v>79</v>
      </c>
      <c r="B1078" s="1" t="s">
        <v>52</v>
      </c>
      <c r="C1078" s="2">
        <v>2007</v>
      </c>
      <c r="D1078" s="2">
        <v>112</v>
      </c>
      <c r="E1078" s="2">
        <v>85</v>
      </c>
      <c r="F1078" s="2">
        <v>27</v>
      </c>
      <c r="G1078" s="1" t="s">
        <v>7</v>
      </c>
    </row>
    <row r="1079" spans="1:7" hidden="1">
      <c r="A1079" t="s">
        <v>79</v>
      </c>
      <c r="B1079" s="1" t="s">
        <v>52</v>
      </c>
      <c r="C1079" s="2">
        <v>2008</v>
      </c>
      <c r="D1079" s="2">
        <v>1</v>
      </c>
      <c r="E1079" s="1" t="s">
        <v>7</v>
      </c>
      <c r="F1079" s="2">
        <v>1</v>
      </c>
      <c r="G1079" s="1" t="s">
        <v>7</v>
      </c>
    </row>
    <row r="1080" spans="1:7" hidden="1">
      <c r="A1080" t="s">
        <v>79</v>
      </c>
      <c r="B1080" s="1" t="s">
        <v>53</v>
      </c>
      <c r="C1080" s="2">
        <v>2008</v>
      </c>
      <c r="D1080" s="2">
        <v>100</v>
      </c>
      <c r="E1080" s="2">
        <v>64</v>
      </c>
      <c r="F1080" s="2">
        <v>36</v>
      </c>
      <c r="G1080" s="1" t="s">
        <v>7</v>
      </c>
    </row>
    <row r="1081" spans="1:7" hidden="1">
      <c r="A1081" t="s">
        <v>79</v>
      </c>
      <c r="B1081" s="1" t="s">
        <v>54</v>
      </c>
      <c r="C1081" s="2">
        <v>2009</v>
      </c>
      <c r="D1081" s="2">
        <v>121</v>
      </c>
      <c r="E1081" s="2">
        <v>88</v>
      </c>
      <c r="F1081" s="2">
        <v>33</v>
      </c>
      <c r="G1081" s="1" t="s">
        <v>7</v>
      </c>
    </row>
    <row r="1082" spans="1:7" hidden="1">
      <c r="A1082" t="s">
        <v>79</v>
      </c>
      <c r="B1082" s="1" t="s">
        <v>55</v>
      </c>
      <c r="C1082" s="2">
        <v>2010</v>
      </c>
      <c r="D1082" s="2">
        <v>113</v>
      </c>
      <c r="E1082" s="2">
        <v>82</v>
      </c>
      <c r="F1082" s="2">
        <v>31</v>
      </c>
      <c r="G1082" s="1" t="s">
        <v>7</v>
      </c>
    </row>
    <row r="1083" spans="1:7" hidden="1">
      <c r="A1083" t="s">
        <v>79</v>
      </c>
      <c r="B1083" s="1" t="s">
        <v>55</v>
      </c>
      <c r="C1083" s="2">
        <v>2011</v>
      </c>
      <c r="D1083" s="2">
        <v>3</v>
      </c>
      <c r="E1083" s="2">
        <v>3</v>
      </c>
      <c r="F1083" s="1" t="s">
        <v>7</v>
      </c>
      <c r="G1083" s="1" t="s">
        <v>7</v>
      </c>
    </row>
    <row r="1084" spans="1:7" hidden="1">
      <c r="A1084" t="s">
        <v>79</v>
      </c>
      <c r="B1084" s="1" t="s">
        <v>56</v>
      </c>
      <c r="C1084" s="2">
        <v>2011</v>
      </c>
      <c r="D1084" s="2">
        <v>113</v>
      </c>
      <c r="E1084" s="2">
        <v>85</v>
      </c>
      <c r="F1084" s="2">
        <v>28</v>
      </c>
      <c r="G1084" s="1" t="s">
        <v>7</v>
      </c>
    </row>
    <row r="1085" spans="1:7" hidden="1">
      <c r="A1085" t="s">
        <v>79</v>
      </c>
      <c r="B1085" s="1" t="s">
        <v>57</v>
      </c>
      <c r="C1085" s="2">
        <v>2012</v>
      </c>
      <c r="D1085" s="2">
        <v>143</v>
      </c>
      <c r="E1085" s="2">
        <v>99</v>
      </c>
      <c r="F1085" s="2">
        <v>44</v>
      </c>
      <c r="G1085" s="1" t="s">
        <v>7</v>
      </c>
    </row>
    <row r="1086" spans="1:7" hidden="1">
      <c r="A1086" t="s">
        <v>79</v>
      </c>
      <c r="B1086" s="1" t="s">
        <v>58</v>
      </c>
      <c r="C1086" s="2">
        <v>2013</v>
      </c>
      <c r="D1086" s="2">
        <v>139</v>
      </c>
      <c r="E1086" s="2">
        <v>108</v>
      </c>
      <c r="F1086" s="2">
        <v>31</v>
      </c>
      <c r="G1086" s="1" t="s">
        <v>7</v>
      </c>
    </row>
    <row r="1087" spans="1:7" hidden="1">
      <c r="A1087" t="s">
        <v>79</v>
      </c>
      <c r="B1087" s="1" t="s">
        <v>58</v>
      </c>
      <c r="C1087" s="2">
        <v>2014</v>
      </c>
      <c r="D1087" s="2">
        <v>2</v>
      </c>
      <c r="E1087" s="2">
        <v>2</v>
      </c>
      <c r="F1087" s="1" t="s">
        <v>7</v>
      </c>
      <c r="G1087" s="1" t="s">
        <v>7</v>
      </c>
    </row>
    <row r="1088" spans="1:7" hidden="1">
      <c r="A1088" t="s">
        <v>79</v>
      </c>
      <c r="B1088" s="1" t="s">
        <v>58</v>
      </c>
      <c r="C1088" s="2">
        <v>2016</v>
      </c>
      <c r="D1088" s="2">
        <v>1</v>
      </c>
      <c r="E1088" s="2">
        <v>1</v>
      </c>
      <c r="F1088" s="1" t="s">
        <v>7</v>
      </c>
      <c r="G1088" s="1" t="s">
        <v>7</v>
      </c>
    </row>
    <row r="1089" spans="1:7" hidden="1">
      <c r="A1089" t="s">
        <v>79</v>
      </c>
      <c r="B1089" s="1" t="s">
        <v>59</v>
      </c>
      <c r="C1089" s="2">
        <v>2014</v>
      </c>
      <c r="D1089" s="2">
        <v>131</v>
      </c>
      <c r="E1089" s="2">
        <v>87</v>
      </c>
      <c r="F1089" s="2">
        <v>44</v>
      </c>
      <c r="G1089" s="1" t="s">
        <v>7</v>
      </c>
    </row>
    <row r="1090" spans="1:7" hidden="1">
      <c r="A1090" t="s">
        <v>79</v>
      </c>
      <c r="B1090" s="1" t="s">
        <v>59</v>
      </c>
      <c r="C1090" s="2">
        <v>2015</v>
      </c>
      <c r="D1090" s="2">
        <v>1</v>
      </c>
      <c r="E1090" s="1" t="s">
        <v>7</v>
      </c>
      <c r="F1090" s="2">
        <v>1</v>
      </c>
      <c r="G1090" s="1" t="s">
        <v>7</v>
      </c>
    </row>
    <row r="1091" spans="1:7" hidden="1">
      <c r="A1091" t="s">
        <v>79</v>
      </c>
      <c r="B1091" s="1" t="s">
        <v>60</v>
      </c>
      <c r="C1091" s="2">
        <v>2015</v>
      </c>
      <c r="D1091" s="2">
        <v>166</v>
      </c>
      <c r="E1091" s="2">
        <v>121</v>
      </c>
      <c r="F1091" s="2">
        <v>45</v>
      </c>
      <c r="G1091" s="1" t="s">
        <v>7</v>
      </c>
    </row>
    <row r="1092" spans="1:7" hidden="1">
      <c r="A1092" t="s">
        <v>79</v>
      </c>
      <c r="B1092" s="1" t="s">
        <v>60</v>
      </c>
      <c r="C1092" s="2">
        <v>2016</v>
      </c>
      <c r="D1092" s="2">
        <v>1</v>
      </c>
      <c r="E1092" s="1" t="s">
        <v>7</v>
      </c>
      <c r="F1092" s="2">
        <v>1</v>
      </c>
      <c r="G1092" s="1" t="s">
        <v>7</v>
      </c>
    </row>
    <row r="1093" spans="1:7" hidden="1">
      <c r="A1093" t="s">
        <v>79</v>
      </c>
      <c r="B1093" s="1" t="s">
        <v>61</v>
      </c>
      <c r="C1093" s="2">
        <v>2016</v>
      </c>
      <c r="D1093" s="2">
        <v>208</v>
      </c>
      <c r="E1093" s="2">
        <v>162</v>
      </c>
      <c r="F1093" s="2">
        <v>46</v>
      </c>
      <c r="G1093" s="1" t="s">
        <v>7</v>
      </c>
    </row>
    <row r="1094" spans="1:7" hidden="1">
      <c r="A1094" t="s">
        <v>79</v>
      </c>
      <c r="B1094" s="1" t="s">
        <v>61</v>
      </c>
      <c r="C1094" s="2">
        <v>2017</v>
      </c>
      <c r="D1094" s="2">
        <v>2</v>
      </c>
      <c r="E1094" s="2">
        <v>2</v>
      </c>
      <c r="F1094" s="1" t="s">
        <v>7</v>
      </c>
      <c r="G1094" s="1" t="s">
        <v>7</v>
      </c>
    </row>
    <row r="1095" spans="1:7" hidden="1">
      <c r="A1095" t="s">
        <v>79</v>
      </c>
      <c r="B1095" s="1" t="s">
        <v>62</v>
      </c>
      <c r="C1095" s="2">
        <v>2017</v>
      </c>
      <c r="D1095" s="2">
        <v>217</v>
      </c>
      <c r="E1095" s="2">
        <v>167</v>
      </c>
      <c r="F1095" s="2">
        <v>50</v>
      </c>
      <c r="G1095" s="1" t="s">
        <v>7</v>
      </c>
    </row>
    <row r="1096" spans="1:7" hidden="1">
      <c r="A1096" t="s">
        <v>79</v>
      </c>
      <c r="B1096" s="1" t="s">
        <v>62</v>
      </c>
      <c r="C1096" s="2">
        <v>2018</v>
      </c>
      <c r="D1096" s="2">
        <v>1</v>
      </c>
      <c r="E1096" s="2">
        <v>1</v>
      </c>
      <c r="F1096" s="1" t="s">
        <v>7</v>
      </c>
      <c r="G1096" s="1" t="s">
        <v>7</v>
      </c>
    </row>
    <row r="1097" spans="1:7" hidden="1">
      <c r="A1097" t="s">
        <v>79</v>
      </c>
      <c r="B1097" s="1" t="s">
        <v>63</v>
      </c>
      <c r="C1097" s="2">
        <v>2018</v>
      </c>
      <c r="D1097" s="2">
        <v>200</v>
      </c>
      <c r="E1097" s="2">
        <v>143</v>
      </c>
      <c r="F1097" s="2">
        <v>57</v>
      </c>
      <c r="G1097" s="1" t="s">
        <v>7</v>
      </c>
    </row>
    <row r="1098" spans="1:7" hidden="1">
      <c r="A1098" t="s">
        <v>79</v>
      </c>
      <c r="B1098" s="1" t="s">
        <v>63</v>
      </c>
      <c r="C1098" s="2">
        <v>2019</v>
      </c>
      <c r="D1098" s="2">
        <v>4</v>
      </c>
      <c r="E1098" s="2">
        <v>3</v>
      </c>
      <c r="F1098" s="2">
        <v>1</v>
      </c>
      <c r="G1098" s="1" t="s">
        <v>7</v>
      </c>
    </row>
    <row r="1099" spans="1:7" hidden="1">
      <c r="A1099" t="s">
        <v>79</v>
      </c>
      <c r="B1099" s="1" t="s">
        <v>63</v>
      </c>
      <c r="C1099" s="2">
        <v>2020</v>
      </c>
      <c r="D1099" s="2">
        <v>2</v>
      </c>
      <c r="E1099" s="2">
        <v>1</v>
      </c>
      <c r="F1099" s="2">
        <v>1</v>
      </c>
      <c r="G1099" s="1" t="s">
        <v>7</v>
      </c>
    </row>
    <row r="1100" spans="1:7" hidden="1">
      <c r="A1100" t="s">
        <v>79</v>
      </c>
      <c r="B1100" s="1" t="s">
        <v>64</v>
      </c>
      <c r="C1100" s="2">
        <v>2019</v>
      </c>
      <c r="D1100" s="2">
        <v>196</v>
      </c>
      <c r="E1100" s="2">
        <v>153</v>
      </c>
      <c r="F1100" s="2">
        <v>43</v>
      </c>
      <c r="G1100" s="1" t="s">
        <v>7</v>
      </c>
    </row>
    <row r="1101" spans="1:7" hidden="1">
      <c r="A1101" t="s">
        <v>79</v>
      </c>
      <c r="B1101" s="1" t="s">
        <v>64</v>
      </c>
      <c r="C1101" s="2">
        <v>2021</v>
      </c>
      <c r="D1101" s="2">
        <v>2</v>
      </c>
      <c r="E1101" s="2">
        <v>1</v>
      </c>
      <c r="F1101" s="2">
        <v>1</v>
      </c>
      <c r="G1101" s="1" t="s">
        <v>7</v>
      </c>
    </row>
    <row r="1102" spans="1:7" hidden="1">
      <c r="A1102" t="s">
        <v>79</v>
      </c>
      <c r="B1102" s="1" t="s">
        <v>65</v>
      </c>
      <c r="C1102" s="2">
        <v>2020</v>
      </c>
      <c r="D1102" s="2">
        <v>250</v>
      </c>
      <c r="E1102" s="2">
        <v>171</v>
      </c>
      <c r="F1102" s="2">
        <v>79</v>
      </c>
      <c r="G1102" s="1" t="s">
        <v>7</v>
      </c>
    </row>
    <row r="1103" spans="1:7" hidden="1">
      <c r="A1103" t="s">
        <v>79</v>
      </c>
      <c r="B1103" s="1" t="s">
        <v>65</v>
      </c>
      <c r="C1103" s="2">
        <v>2021</v>
      </c>
      <c r="D1103" s="2">
        <v>1</v>
      </c>
      <c r="E1103" s="2">
        <v>1</v>
      </c>
      <c r="F1103" s="1" t="s">
        <v>7</v>
      </c>
      <c r="G1103" s="1" t="s">
        <v>7</v>
      </c>
    </row>
    <row r="1104" spans="1:7" hidden="1">
      <c r="A1104" t="s">
        <v>79</v>
      </c>
      <c r="B1104" s="1" t="s">
        <v>65</v>
      </c>
      <c r="C1104" s="2">
        <v>2022</v>
      </c>
      <c r="D1104" s="2">
        <v>1</v>
      </c>
      <c r="E1104" s="2">
        <v>1</v>
      </c>
      <c r="F1104" s="1" t="s">
        <v>7</v>
      </c>
      <c r="G1104" s="1" t="s">
        <v>7</v>
      </c>
    </row>
    <row r="1105" spans="1:7" hidden="1">
      <c r="A1105" t="s">
        <v>79</v>
      </c>
      <c r="B1105" s="1" t="s">
        <v>66</v>
      </c>
      <c r="C1105" s="2">
        <v>2021</v>
      </c>
      <c r="D1105" s="2">
        <v>261</v>
      </c>
      <c r="E1105" s="2">
        <v>196</v>
      </c>
      <c r="F1105" s="2">
        <v>65</v>
      </c>
      <c r="G1105" s="1" t="s">
        <v>7</v>
      </c>
    </row>
    <row r="1106" spans="1:7" hidden="1">
      <c r="A1106" t="s">
        <v>79</v>
      </c>
      <c r="B1106" s="1" t="s">
        <v>66</v>
      </c>
      <c r="C1106" s="2">
        <v>2022</v>
      </c>
      <c r="D1106" s="2">
        <v>3</v>
      </c>
      <c r="E1106" s="2">
        <v>3</v>
      </c>
      <c r="F1106" s="1" t="s">
        <v>7</v>
      </c>
      <c r="G1106" s="1" t="s">
        <v>7</v>
      </c>
    </row>
    <row r="1107" spans="1:7" hidden="1">
      <c r="A1107" t="s">
        <v>79</v>
      </c>
      <c r="B1107" s="1" t="s">
        <v>67</v>
      </c>
      <c r="C1107" s="2">
        <v>2022</v>
      </c>
      <c r="D1107" s="2">
        <v>237</v>
      </c>
      <c r="E1107" s="2">
        <v>174</v>
      </c>
      <c r="F1107" s="2">
        <v>63</v>
      </c>
      <c r="G1107" s="1" t="s">
        <v>7</v>
      </c>
    </row>
    <row r="1108" spans="1:7" hidden="1">
      <c r="A1108" t="s">
        <v>79</v>
      </c>
      <c r="B1108" s="1" t="s">
        <v>67</v>
      </c>
      <c r="C1108" s="2">
        <v>2023</v>
      </c>
      <c r="D1108" s="2">
        <v>3</v>
      </c>
      <c r="E1108" s="2">
        <v>2</v>
      </c>
      <c r="F1108" s="2">
        <v>1</v>
      </c>
      <c r="G1108" s="1" t="s">
        <v>7</v>
      </c>
    </row>
    <row r="1109" spans="1:7" hidden="1">
      <c r="A1109" t="s">
        <v>79</v>
      </c>
      <c r="B1109" s="1" t="s">
        <v>67</v>
      </c>
      <c r="C1109" s="2">
        <v>2024</v>
      </c>
      <c r="D1109" s="2">
        <v>1</v>
      </c>
      <c r="E1109" s="1" t="s">
        <v>7</v>
      </c>
      <c r="F1109" s="2">
        <v>1</v>
      </c>
      <c r="G1109" s="1" t="s">
        <v>7</v>
      </c>
    </row>
    <row r="1110" spans="1:7" hidden="1">
      <c r="A1110" t="s">
        <v>79</v>
      </c>
      <c r="B1110" s="1" t="s">
        <v>68</v>
      </c>
      <c r="C1110" s="2">
        <v>2023</v>
      </c>
      <c r="D1110" s="2">
        <v>221</v>
      </c>
      <c r="E1110" s="2">
        <v>164</v>
      </c>
      <c r="F1110" s="2">
        <v>57</v>
      </c>
      <c r="G1110" s="1" t="s">
        <v>7</v>
      </c>
    </row>
    <row r="1111" spans="1:7" hidden="1">
      <c r="A1111" t="s">
        <v>79</v>
      </c>
      <c r="B1111" s="1" t="s">
        <v>68</v>
      </c>
      <c r="C1111" s="2">
        <v>2024</v>
      </c>
      <c r="D1111" s="2">
        <v>2</v>
      </c>
      <c r="E1111" s="2">
        <v>2</v>
      </c>
      <c r="F1111" s="1" t="s">
        <v>7</v>
      </c>
      <c r="G1111" s="1" t="s">
        <v>7</v>
      </c>
    </row>
    <row r="1112" spans="1:7" hidden="1">
      <c r="A1112" t="s">
        <v>79</v>
      </c>
      <c r="B1112" s="1" t="s">
        <v>69</v>
      </c>
      <c r="C1112" s="2">
        <v>2024</v>
      </c>
      <c r="D1112" s="2">
        <v>241</v>
      </c>
      <c r="E1112" s="2">
        <v>181</v>
      </c>
      <c r="F1112" s="2">
        <v>60</v>
      </c>
      <c r="G1112" s="1" t="s">
        <v>7</v>
      </c>
    </row>
    <row r="1113" spans="1:7" hidden="1">
      <c r="A1113" t="s">
        <v>79</v>
      </c>
      <c r="B1113" s="1" t="s">
        <v>6</v>
      </c>
      <c r="C1113" s="2">
        <v>1990</v>
      </c>
      <c r="D1113" s="2">
        <v>3</v>
      </c>
      <c r="E1113" s="2">
        <v>3</v>
      </c>
      <c r="F1113" s="1" t="s">
        <v>7</v>
      </c>
      <c r="G1113" s="1" t="s">
        <v>7</v>
      </c>
    </row>
    <row r="1114" spans="1:7" hidden="1">
      <c r="A1114" t="s">
        <v>79</v>
      </c>
      <c r="B1114" s="1" t="s">
        <v>6</v>
      </c>
      <c r="C1114" s="2">
        <v>1991</v>
      </c>
      <c r="D1114" s="2">
        <v>1</v>
      </c>
      <c r="E1114" s="2">
        <v>1</v>
      </c>
      <c r="F1114" s="1" t="s">
        <v>7</v>
      </c>
      <c r="G1114" s="1" t="s">
        <v>7</v>
      </c>
    </row>
    <row r="1115" spans="1:7" hidden="1">
      <c r="A1115" t="s">
        <v>79</v>
      </c>
      <c r="B1115" s="1" t="s">
        <v>6</v>
      </c>
      <c r="C1115" s="2">
        <v>1992</v>
      </c>
      <c r="D1115" s="2">
        <v>7</v>
      </c>
      <c r="E1115" s="2">
        <v>7</v>
      </c>
      <c r="F1115" s="1" t="s">
        <v>7</v>
      </c>
      <c r="G1115" s="1" t="s">
        <v>7</v>
      </c>
    </row>
    <row r="1116" spans="1:7" hidden="1">
      <c r="A1116" t="s">
        <v>79</v>
      </c>
      <c r="B1116" s="1" t="s">
        <v>6</v>
      </c>
      <c r="C1116" s="2">
        <v>1993</v>
      </c>
      <c r="D1116" s="2">
        <v>3</v>
      </c>
      <c r="E1116" s="2">
        <v>3</v>
      </c>
      <c r="F1116" s="1" t="s">
        <v>7</v>
      </c>
      <c r="G1116" s="1" t="s">
        <v>7</v>
      </c>
    </row>
    <row r="1117" spans="1:7" hidden="1">
      <c r="A1117" t="s">
        <v>79</v>
      </c>
      <c r="B1117" s="1" t="s">
        <v>6</v>
      </c>
      <c r="C1117" s="2">
        <v>2021</v>
      </c>
      <c r="D1117" s="2">
        <v>1</v>
      </c>
      <c r="E1117" s="2">
        <v>1</v>
      </c>
      <c r="F1117" s="1" t="s">
        <v>7</v>
      </c>
      <c r="G1117" s="1" t="s">
        <v>7</v>
      </c>
    </row>
    <row r="1118" spans="1:7" hidden="1">
      <c r="A1118" t="s">
        <v>79</v>
      </c>
      <c r="B1118" s="1" t="s">
        <v>6</v>
      </c>
      <c r="C1118" s="2">
        <v>2022</v>
      </c>
      <c r="D1118" s="2">
        <v>3</v>
      </c>
      <c r="E1118" s="2">
        <v>3</v>
      </c>
      <c r="F1118" s="1" t="s">
        <v>7</v>
      </c>
      <c r="G1118" s="1" t="s">
        <v>7</v>
      </c>
    </row>
    <row r="1119" spans="1:7" hidden="1">
      <c r="A1119" t="s">
        <v>79</v>
      </c>
      <c r="B1119" s="1" t="s">
        <v>6</v>
      </c>
      <c r="C1119" s="2">
        <v>2023</v>
      </c>
      <c r="D1119" s="2">
        <v>1</v>
      </c>
      <c r="E1119" s="2">
        <v>1</v>
      </c>
      <c r="F1119" s="1" t="s">
        <v>7</v>
      </c>
      <c r="G1119" s="1" t="s">
        <v>7</v>
      </c>
    </row>
    <row r="1120" spans="1:7" hidden="1">
      <c r="A1120" t="s">
        <v>79</v>
      </c>
      <c r="B1120" s="1" t="s">
        <v>6</v>
      </c>
      <c r="C1120" s="2">
        <v>2024</v>
      </c>
      <c r="D1120" s="2">
        <v>2</v>
      </c>
      <c r="E1120" s="2">
        <v>2</v>
      </c>
      <c r="F1120" s="1" t="s">
        <v>7</v>
      </c>
      <c r="G1120" s="1" t="s">
        <v>7</v>
      </c>
    </row>
    <row r="1121" spans="1:7" hidden="1">
      <c r="A1121" t="s">
        <v>80</v>
      </c>
      <c r="B1121" s="1" t="s">
        <v>3</v>
      </c>
      <c r="C1121" s="2">
        <v>1990</v>
      </c>
      <c r="D1121" s="2">
        <v>87</v>
      </c>
      <c r="E1121" s="2">
        <v>65</v>
      </c>
      <c r="F1121" s="2">
        <v>22</v>
      </c>
      <c r="G1121" s="1" t="s">
        <v>7</v>
      </c>
    </row>
    <row r="1122" spans="1:7" hidden="1">
      <c r="A1122" t="s">
        <v>80</v>
      </c>
      <c r="B1122" s="1" t="s">
        <v>3</v>
      </c>
      <c r="C1122" s="2">
        <v>1991</v>
      </c>
      <c r="D1122" s="2">
        <v>84</v>
      </c>
      <c r="E1122" s="2">
        <v>54</v>
      </c>
      <c r="F1122" s="2">
        <v>30</v>
      </c>
      <c r="G1122" s="1" t="s">
        <v>7</v>
      </c>
    </row>
    <row r="1123" spans="1:7" hidden="1">
      <c r="A1123" t="s">
        <v>80</v>
      </c>
      <c r="B1123" s="1" t="s">
        <v>3</v>
      </c>
      <c r="C1123" s="2">
        <v>1992</v>
      </c>
      <c r="D1123" s="2">
        <v>88</v>
      </c>
      <c r="E1123" s="2">
        <v>56</v>
      </c>
      <c r="F1123" s="2">
        <v>32</v>
      </c>
      <c r="G1123" s="1" t="s">
        <v>7</v>
      </c>
    </row>
    <row r="1124" spans="1:7" hidden="1">
      <c r="A1124" t="s">
        <v>80</v>
      </c>
      <c r="B1124" s="1" t="s">
        <v>3</v>
      </c>
      <c r="C1124" s="2">
        <v>1993</v>
      </c>
      <c r="D1124" s="2">
        <v>95</v>
      </c>
      <c r="E1124" s="2">
        <v>59</v>
      </c>
      <c r="F1124" s="2">
        <v>36</v>
      </c>
      <c r="G1124" s="1" t="s">
        <v>7</v>
      </c>
    </row>
    <row r="1125" spans="1:7" hidden="1">
      <c r="A1125" t="s">
        <v>80</v>
      </c>
      <c r="B1125" s="1" t="s">
        <v>3</v>
      </c>
      <c r="C1125" s="2">
        <v>1994</v>
      </c>
      <c r="D1125" s="2">
        <v>81</v>
      </c>
      <c r="E1125" s="2">
        <v>54</v>
      </c>
      <c r="F1125" s="2">
        <v>27</v>
      </c>
      <c r="G1125" s="1" t="s">
        <v>7</v>
      </c>
    </row>
    <row r="1126" spans="1:7" hidden="1">
      <c r="A1126" t="s">
        <v>80</v>
      </c>
      <c r="B1126" s="1" t="s">
        <v>3</v>
      </c>
      <c r="C1126" s="2">
        <v>1995</v>
      </c>
      <c r="D1126" s="2">
        <v>91</v>
      </c>
      <c r="E1126" s="2">
        <v>59</v>
      </c>
      <c r="F1126" s="2">
        <v>32</v>
      </c>
      <c r="G1126" s="1" t="s">
        <v>7</v>
      </c>
    </row>
    <row r="1127" spans="1:7" hidden="1">
      <c r="A1127" t="s">
        <v>80</v>
      </c>
      <c r="B1127" s="1" t="s">
        <v>3</v>
      </c>
      <c r="C1127" s="2">
        <v>1996</v>
      </c>
      <c r="D1127" s="2">
        <v>76</v>
      </c>
      <c r="E1127" s="2">
        <v>51</v>
      </c>
      <c r="F1127" s="2">
        <v>25</v>
      </c>
      <c r="G1127" s="1" t="s">
        <v>7</v>
      </c>
    </row>
    <row r="1128" spans="1:7" hidden="1">
      <c r="A1128" t="s">
        <v>80</v>
      </c>
      <c r="B1128" s="1" t="s">
        <v>3</v>
      </c>
      <c r="C1128" s="2">
        <v>1997</v>
      </c>
      <c r="D1128" s="2">
        <v>90</v>
      </c>
      <c r="E1128" s="2">
        <v>57</v>
      </c>
      <c r="F1128" s="2">
        <v>33</v>
      </c>
      <c r="G1128" s="1" t="s">
        <v>7</v>
      </c>
    </row>
    <row r="1129" spans="1:7" hidden="1">
      <c r="A1129" t="s">
        <v>80</v>
      </c>
      <c r="B1129" s="1" t="s">
        <v>3</v>
      </c>
      <c r="C1129" s="2">
        <v>1998</v>
      </c>
      <c r="D1129" s="2">
        <v>103</v>
      </c>
      <c r="E1129" s="2">
        <v>64</v>
      </c>
      <c r="F1129" s="2">
        <v>39</v>
      </c>
      <c r="G1129" s="1" t="s">
        <v>7</v>
      </c>
    </row>
    <row r="1130" spans="1:7" hidden="1">
      <c r="A1130" t="s">
        <v>80</v>
      </c>
      <c r="B1130" s="1" t="s">
        <v>3</v>
      </c>
      <c r="C1130" s="2">
        <v>1999</v>
      </c>
      <c r="D1130" s="2">
        <v>87</v>
      </c>
      <c r="E1130" s="2">
        <v>60</v>
      </c>
      <c r="F1130" s="2">
        <v>27</v>
      </c>
      <c r="G1130" s="1" t="s">
        <v>7</v>
      </c>
    </row>
    <row r="1131" spans="1:7" hidden="1">
      <c r="A1131" t="s">
        <v>80</v>
      </c>
      <c r="B1131" s="1" t="s">
        <v>3</v>
      </c>
      <c r="C1131" s="2">
        <v>2000</v>
      </c>
      <c r="D1131" s="2">
        <v>88</v>
      </c>
      <c r="E1131" s="2">
        <v>58</v>
      </c>
      <c r="F1131" s="2">
        <v>30</v>
      </c>
      <c r="G1131" s="1" t="s">
        <v>7</v>
      </c>
    </row>
    <row r="1132" spans="1:7" hidden="1">
      <c r="A1132" t="s">
        <v>80</v>
      </c>
      <c r="B1132" s="1" t="s">
        <v>3</v>
      </c>
      <c r="C1132" s="2">
        <v>2001</v>
      </c>
      <c r="D1132" s="2">
        <v>104</v>
      </c>
      <c r="E1132" s="2">
        <v>63</v>
      </c>
      <c r="F1132" s="2">
        <v>41</v>
      </c>
      <c r="G1132" s="1" t="s">
        <v>7</v>
      </c>
    </row>
    <row r="1133" spans="1:7" hidden="1">
      <c r="A1133" t="s">
        <v>80</v>
      </c>
      <c r="B1133" s="1" t="s">
        <v>3</v>
      </c>
      <c r="C1133" s="2">
        <v>2002</v>
      </c>
      <c r="D1133" s="2">
        <v>118</v>
      </c>
      <c r="E1133" s="2">
        <v>77</v>
      </c>
      <c r="F1133" s="2">
        <v>41</v>
      </c>
      <c r="G1133" s="1" t="s">
        <v>7</v>
      </c>
    </row>
    <row r="1134" spans="1:7" hidden="1">
      <c r="A1134" t="s">
        <v>80</v>
      </c>
      <c r="B1134" s="1" t="s">
        <v>3</v>
      </c>
      <c r="C1134" s="2">
        <v>2003</v>
      </c>
      <c r="D1134" s="2">
        <v>99</v>
      </c>
      <c r="E1134" s="2">
        <v>65</v>
      </c>
      <c r="F1134" s="2">
        <v>34</v>
      </c>
      <c r="G1134" s="1" t="s">
        <v>7</v>
      </c>
    </row>
    <row r="1135" spans="1:7" hidden="1">
      <c r="A1135" t="s">
        <v>80</v>
      </c>
      <c r="B1135" s="1" t="s">
        <v>3</v>
      </c>
      <c r="C1135" s="2">
        <v>2004</v>
      </c>
      <c r="D1135" s="2">
        <v>118</v>
      </c>
      <c r="E1135" s="2">
        <v>75</v>
      </c>
      <c r="F1135" s="2">
        <v>43</v>
      </c>
      <c r="G1135" s="1" t="s">
        <v>7</v>
      </c>
    </row>
    <row r="1136" spans="1:7" hidden="1">
      <c r="A1136" t="s">
        <v>80</v>
      </c>
      <c r="B1136" s="1" t="s">
        <v>3</v>
      </c>
      <c r="C1136" s="2">
        <v>2005</v>
      </c>
      <c r="D1136" s="2">
        <v>102</v>
      </c>
      <c r="E1136" s="2">
        <v>71</v>
      </c>
      <c r="F1136" s="2">
        <v>31</v>
      </c>
      <c r="G1136" s="1" t="s">
        <v>7</v>
      </c>
    </row>
    <row r="1137" spans="1:7" hidden="1">
      <c r="A1137" t="s">
        <v>80</v>
      </c>
      <c r="B1137" s="1" t="s">
        <v>3</v>
      </c>
      <c r="C1137" s="2">
        <v>2006</v>
      </c>
      <c r="D1137" s="2">
        <v>109</v>
      </c>
      <c r="E1137" s="2">
        <v>77</v>
      </c>
      <c r="F1137" s="2">
        <v>32</v>
      </c>
      <c r="G1137" s="1" t="s">
        <v>7</v>
      </c>
    </row>
    <row r="1138" spans="1:7" hidden="1">
      <c r="A1138" t="s">
        <v>80</v>
      </c>
      <c r="B1138" s="1" t="s">
        <v>3</v>
      </c>
      <c r="C1138" s="2">
        <v>2007</v>
      </c>
      <c r="D1138" s="2">
        <v>135</v>
      </c>
      <c r="E1138" s="2">
        <v>98</v>
      </c>
      <c r="F1138" s="2">
        <v>37</v>
      </c>
      <c r="G1138" s="1" t="s">
        <v>7</v>
      </c>
    </row>
    <row r="1139" spans="1:7" hidden="1">
      <c r="A1139" t="s">
        <v>80</v>
      </c>
      <c r="B1139" s="1" t="s">
        <v>3</v>
      </c>
      <c r="C1139" s="2">
        <v>2008</v>
      </c>
      <c r="D1139" s="2">
        <v>128</v>
      </c>
      <c r="E1139" s="2">
        <v>81</v>
      </c>
      <c r="F1139" s="2">
        <v>47</v>
      </c>
      <c r="G1139" s="1" t="s">
        <v>7</v>
      </c>
    </row>
    <row r="1140" spans="1:7" hidden="1">
      <c r="A1140" t="s">
        <v>80</v>
      </c>
      <c r="B1140" s="1" t="s">
        <v>3</v>
      </c>
      <c r="C1140" s="2">
        <v>2009</v>
      </c>
      <c r="D1140" s="2">
        <v>115</v>
      </c>
      <c r="E1140" s="2">
        <v>74</v>
      </c>
      <c r="F1140" s="2">
        <v>41</v>
      </c>
      <c r="G1140" s="1" t="s">
        <v>7</v>
      </c>
    </row>
    <row r="1141" spans="1:7">
      <c r="A1141" t="s">
        <v>80</v>
      </c>
      <c r="B1141" s="1" t="s">
        <v>3</v>
      </c>
      <c r="C1141" s="2">
        <v>2010</v>
      </c>
      <c r="D1141" s="2">
        <v>135</v>
      </c>
      <c r="E1141" s="2">
        <v>91</v>
      </c>
      <c r="F1141" s="2">
        <v>44</v>
      </c>
      <c r="G1141" s="1" t="s">
        <v>7</v>
      </c>
    </row>
    <row r="1142" spans="1:7" hidden="1">
      <c r="A1142" t="s">
        <v>80</v>
      </c>
      <c r="B1142" s="1" t="s">
        <v>3</v>
      </c>
      <c r="C1142" s="2">
        <v>2011</v>
      </c>
      <c r="D1142" s="2">
        <v>163</v>
      </c>
      <c r="E1142" s="2">
        <v>118</v>
      </c>
      <c r="F1142" s="2">
        <v>45</v>
      </c>
      <c r="G1142" s="1" t="s">
        <v>7</v>
      </c>
    </row>
    <row r="1143" spans="1:7" hidden="1">
      <c r="A1143" t="s">
        <v>80</v>
      </c>
      <c r="B1143" s="1" t="s">
        <v>3</v>
      </c>
      <c r="C1143" s="2">
        <v>2012</v>
      </c>
      <c r="D1143" s="2">
        <v>139</v>
      </c>
      <c r="E1143" s="2">
        <v>87</v>
      </c>
      <c r="F1143" s="2">
        <v>52</v>
      </c>
      <c r="G1143" s="1" t="s">
        <v>7</v>
      </c>
    </row>
    <row r="1144" spans="1:7" hidden="1">
      <c r="A1144" t="s">
        <v>80</v>
      </c>
      <c r="B1144" s="1" t="s">
        <v>3</v>
      </c>
      <c r="C1144" s="2">
        <v>2013</v>
      </c>
      <c r="D1144" s="2">
        <v>147</v>
      </c>
      <c r="E1144" s="2">
        <v>102</v>
      </c>
      <c r="F1144" s="2">
        <v>45</v>
      </c>
      <c r="G1144" s="1" t="s">
        <v>7</v>
      </c>
    </row>
    <row r="1145" spans="1:7" hidden="1">
      <c r="A1145" t="s">
        <v>80</v>
      </c>
      <c r="B1145" s="1" t="s">
        <v>3</v>
      </c>
      <c r="C1145" s="2">
        <v>2014</v>
      </c>
      <c r="D1145" s="2">
        <v>157</v>
      </c>
      <c r="E1145" s="2">
        <v>109</v>
      </c>
      <c r="F1145" s="2">
        <v>48</v>
      </c>
      <c r="G1145" s="1" t="s">
        <v>7</v>
      </c>
    </row>
    <row r="1146" spans="1:7" hidden="1">
      <c r="A1146" t="s">
        <v>80</v>
      </c>
      <c r="B1146" s="1" t="s">
        <v>3</v>
      </c>
      <c r="C1146" s="2">
        <v>2015</v>
      </c>
      <c r="D1146" s="2">
        <v>163</v>
      </c>
      <c r="E1146" s="2">
        <v>126</v>
      </c>
      <c r="F1146" s="2">
        <v>37</v>
      </c>
      <c r="G1146" s="1" t="s">
        <v>7</v>
      </c>
    </row>
    <row r="1147" spans="1:7" hidden="1">
      <c r="A1147" t="s">
        <v>80</v>
      </c>
      <c r="B1147" s="1" t="s">
        <v>3</v>
      </c>
      <c r="C1147" s="2">
        <v>2016</v>
      </c>
      <c r="D1147" s="2">
        <v>188</v>
      </c>
      <c r="E1147" s="2">
        <v>135</v>
      </c>
      <c r="F1147" s="2">
        <v>53</v>
      </c>
      <c r="G1147" s="1" t="s">
        <v>7</v>
      </c>
    </row>
    <row r="1148" spans="1:7" hidden="1">
      <c r="A1148" t="s">
        <v>80</v>
      </c>
      <c r="B1148" s="1" t="s">
        <v>3</v>
      </c>
      <c r="C1148" s="2">
        <v>2017</v>
      </c>
      <c r="D1148" s="2">
        <v>205</v>
      </c>
      <c r="E1148" s="2">
        <v>143</v>
      </c>
      <c r="F1148" s="2">
        <v>62</v>
      </c>
      <c r="G1148" s="1" t="s">
        <v>7</v>
      </c>
    </row>
    <row r="1149" spans="1:7" hidden="1">
      <c r="A1149" t="s">
        <v>80</v>
      </c>
      <c r="B1149" s="1" t="s">
        <v>3</v>
      </c>
      <c r="C1149" s="2">
        <v>2018</v>
      </c>
      <c r="D1149" s="2">
        <v>231</v>
      </c>
      <c r="E1149" s="2">
        <v>167</v>
      </c>
      <c r="F1149" s="2">
        <v>64</v>
      </c>
      <c r="G1149" s="1" t="s">
        <v>7</v>
      </c>
    </row>
    <row r="1150" spans="1:7">
      <c r="A1150" t="s">
        <v>80</v>
      </c>
      <c r="B1150" s="1" t="s">
        <v>3</v>
      </c>
      <c r="C1150" s="2">
        <v>2019</v>
      </c>
      <c r="D1150" s="2">
        <v>226</v>
      </c>
      <c r="E1150" s="2">
        <v>153</v>
      </c>
      <c r="F1150" s="2">
        <v>73</v>
      </c>
      <c r="G1150" s="1" t="s">
        <v>7</v>
      </c>
    </row>
    <row r="1151" spans="1:7" hidden="1">
      <c r="A1151" t="s">
        <v>80</v>
      </c>
      <c r="B1151" s="1" t="s">
        <v>3</v>
      </c>
      <c r="C1151" s="2">
        <v>2020</v>
      </c>
      <c r="D1151" s="2">
        <v>286</v>
      </c>
      <c r="E1151" s="2">
        <v>201</v>
      </c>
      <c r="F1151" s="2">
        <v>85</v>
      </c>
      <c r="G1151" s="1" t="s">
        <v>7</v>
      </c>
    </row>
    <row r="1152" spans="1:7">
      <c r="A1152" t="s">
        <v>80</v>
      </c>
      <c r="B1152" s="1" t="s">
        <v>3</v>
      </c>
      <c r="C1152" s="2">
        <v>2021</v>
      </c>
      <c r="D1152" s="2">
        <v>324</v>
      </c>
      <c r="E1152" s="2">
        <v>210</v>
      </c>
      <c r="F1152" s="2">
        <v>114</v>
      </c>
      <c r="G1152" s="1" t="s">
        <v>7</v>
      </c>
    </row>
    <row r="1153" spans="1:7" hidden="1">
      <c r="A1153" t="s">
        <v>80</v>
      </c>
      <c r="B1153" s="1" t="s">
        <v>3</v>
      </c>
      <c r="C1153" s="2">
        <v>2022</v>
      </c>
      <c r="D1153" s="2">
        <v>268</v>
      </c>
      <c r="E1153" s="2">
        <v>191</v>
      </c>
      <c r="F1153" s="2">
        <v>77</v>
      </c>
      <c r="G1153" s="1" t="s">
        <v>7</v>
      </c>
    </row>
    <row r="1154" spans="1:7" hidden="1">
      <c r="A1154" t="s">
        <v>80</v>
      </c>
      <c r="B1154" s="1" t="s">
        <v>3</v>
      </c>
      <c r="C1154" s="2">
        <v>2023</v>
      </c>
      <c r="D1154" s="2">
        <v>274</v>
      </c>
      <c r="E1154" s="2">
        <v>186</v>
      </c>
      <c r="F1154" s="2">
        <v>88</v>
      </c>
      <c r="G1154" s="1" t="s">
        <v>7</v>
      </c>
    </row>
    <row r="1155" spans="1:7" hidden="1">
      <c r="A1155" t="s">
        <v>80</v>
      </c>
      <c r="B1155" s="1" t="s">
        <v>3</v>
      </c>
      <c r="C1155" s="2">
        <v>2024</v>
      </c>
      <c r="D1155" s="2">
        <v>290</v>
      </c>
      <c r="E1155" s="2">
        <v>197</v>
      </c>
      <c r="F1155" s="2">
        <v>93</v>
      </c>
      <c r="G1155" s="1" t="s">
        <v>7</v>
      </c>
    </row>
    <row r="1156" spans="1:7" hidden="1">
      <c r="A1156" t="s">
        <v>80</v>
      </c>
      <c r="B1156" s="1" t="s">
        <v>10</v>
      </c>
      <c r="C1156" s="2">
        <v>1993</v>
      </c>
      <c r="D1156" s="2">
        <v>1</v>
      </c>
      <c r="E1156" s="2">
        <v>1</v>
      </c>
      <c r="F1156" s="1" t="s">
        <v>7</v>
      </c>
      <c r="G1156" s="1" t="s">
        <v>7</v>
      </c>
    </row>
    <row r="1157" spans="1:7" hidden="1">
      <c r="A1157" t="s">
        <v>80</v>
      </c>
      <c r="B1157" s="1" t="s">
        <v>35</v>
      </c>
      <c r="C1157" s="2">
        <v>1990</v>
      </c>
      <c r="D1157" s="2">
        <v>83</v>
      </c>
      <c r="E1157" s="2">
        <v>61</v>
      </c>
      <c r="F1157" s="2">
        <v>22</v>
      </c>
      <c r="G1157" s="1" t="s">
        <v>7</v>
      </c>
    </row>
    <row r="1158" spans="1:7" hidden="1">
      <c r="A1158" t="s">
        <v>80</v>
      </c>
      <c r="B1158" s="1" t="s">
        <v>36</v>
      </c>
      <c r="C1158" s="2">
        <v>1991</v>
      </c>
      <c r="D1158" s="2">
        <v>81</v>
      </c>
      <c r="E1158" s="2">
        <v>52</v>
      </c>
      <c r="F1158" s="2">
        <v>29</v>
      </c>
      <c r="G1158" s="1" t="s">
        <v>7</v>
      </c>
    </row>
    <row r="1159" spans="1:7" hidden="1">
      <c r="A1159" t="s">
        <v>80</v>
      </c>
      <c r="B1159" s="1" t="s">
        <v>37</v>
      </c>
      <c r="C1159" s="2">
        <v>1992</v>
      </c>
      <c r="D1159" s="2">
        <v>86</v>
      </c>
      <c r="E1159" s="2">
        <v>55</v>
      </c>
      <c r="F1159" s="2">
        <v>31</v>
      </c>
      <c r="G1159" s="1" t="s">
        <v>7</v>
      </c>
    </row>
    <row r="1160" spans="1:7" hidden="1">
      <c r="A1160" t="s">
        <v>80</v>
      </c>
      <c r="B1160" s="1" t="s">
        <v>38</v>
      </c>
      <c r="C1160" s="2">
        <v>1993</v>
      </c>
      <c r="D1160" s="2">
        <v>93</v>
      </c>
      <c r="E1160" s="2">
        <v>57</v>
      </c>
      <c r="F1160" s="2">
        <v>36</v>
      </c>
      <c r="G1160" s="1" t="s">
        <v>7</v>
      </c>
    </row>
    <row r="1161" spans="1:7" hidden="1">
      <c r="A1161" t="s">
        <v>80</v>
      </c>
      <c r="B1161" s="1" t="s">
        <v>38</v>
      </c>
      <c r="C1161" s="2">
        <v>1994</v>
      </c>
      <c r="D1161" s="2">
        <v>1</v>
      </c>
      <c r="E1161" s="2">
        <v>1</v>
      </c>
      <c r="F1161" s="1" t="s">
        <v>7</v>
      </c>
      <c r="G1161" s="1" t="s">
        <v>7</v>
      </c>
    </row>
    <row r="1162" spans="1:7" hidden="1">
      <c r="A1162" t="s">
        <v>80</v>
      </c>
      <c r="B1162" s="1" t="s">
        <v>39</v>
      </c>
      <c r="C1162" s="2">
        <v>1994</v>
      </c>
      <c r="D1162" s="2">
        <v>80</v>
      </c>
      <c r="E1162" s="2">
        <v>53</v>
      </c>
      <c r="F1162" s="2">
        <v>27</v>
      </c>
      <c r="G1162" s="1" t="s">
        <v>7</v>
      </c>
    </row>
    <row r="1163" spans="1:7" hidden="1">
      <c r="A1163" t="s">
        <v>80</v>
      </c>
      <c r="B1163" s="1" t="s">
        <v>40</v>
      </c>
      <c r="C1163" s="2">
        <v>1995</v>
      </c>
      <c r="D1163" s="2">
        <v>91</v>
      </c>
      <c r="E1163" s="2">
        <v>59</v>
      </c>
      <c r="F1163" s="2">
        <v>32</v>
      </c>
      <c r="G1163" s="1" t="s">
        <v>7</v>
      </c>
    </row>
    <row r="1164" spans="1:7" hidden="1">
      <c r="A1164" t="s">
        <v>80</v>
      </c>
      <c r="B1164" s="1" t="s">
        <v>41</v>
      </c>
      <c r="C1164" s="2">
        <v>1996</v>
      </c>
      <c r="D1164" s="2">
        <v>75</v>
      </c>
      <c r="E1164" s="2">
        <v>50</v>
      </c>
      <c r="F1164" s="2">
        <v>25</v>
      </c>
      <c r="G1164" s="1" t="s">
        <v>7</v>
      </c>
    </row>
    <row r="1165" spans="1:7" hidden="1">
      <c r="A1165" t="s">
        <v>80</v>
      </c>
      <c r="B1165" s="1" t="s">
        <v>41</v>
      </c>
      <c r="C1165" s="2">
        <v>1997</v>
      </c>
      <c r="D1165" s="2">
        <v>2</v>
      </c>
      <c r="E1165" s="2">
        <v>2</v>
      </c>
      <c r="F1165" s="1" t="s">
        <v>7</v>
      </c>
      <c r="G1165" s="1" t="s">
        <v>7</v>
      </c>
    </row>
    <row r="1166" spans="1:7" hidden="1">
      <c r="A1166" t="s">
        <v>80</v>
      </c>
      <c r="B1166" s="1" t="s">
        <v>42</v>
      </c>
      <c r="C1166" s="2">
        <v>1997</v>
      </c>
      <c r="D1166" s="2">
        <v>88</v>
      </c>
      <c r="E1166" s="2">
        <v>55</v>
      </c>
      <c r="F1166" s="2">
        <v>33</v>
      </c>
      <c r="G1166" s="1" t="s">
        <v>7</v>
      </c>
    </row>
    <row r="1167" spans="1:7" hidden="1">
      <c r="A1167" t="s">
        <v>80</v>
      </c>
      <c r="B1167" s="1" t="s">
        <v>43</v>
      </c>
      <c r="C1167" s="2">
        <v>1998</v>
      </c>
      <c r="D1167" s="2">
        <v>103</v>
      </c>
      <c r="E1167" s="2">
        <v>64</v>
      </c>
      <c r="F1167" s="2">
        <v>39</v>
      </c>
      <c r="G1167" s="1" t="s">
        <v>7</v>
      </c>
    </row>
    <row r="1168" spans="1:7" hidden="1">
      <c r="A1168" t="s">
        <v>80</v>
      </c>
      <c r="B1168" s="1" t="s">
        <v>43</v>
      </c>
      <c r="C1168" s="2">
        <v>1999</v>
      </c>
      <c r="D1168" s="2">
        <v>1</v>
      </c>
      <c r="E1168" s="1" t="s">
        <v>7</v>
      </c>
      <c r="F1168" s="2">
        <v>1</v>
      </c>
      <c r="G1168" s="1" t="s">
        <v>7</v>
      </c>
    </row>
    <row r="1169" spans="1:7" hidden="1">
      <c r="A1169" t="s">
        <v>80</v>
      </c>
      <c r="B1169" s="1" t="s">
        <v>44</v>
      </c>
      <c r="C1169" s="2">
        <v>1999</v>
      </c>
      <c r="D1169" s="2">
        <v>86</v>
      </c>
      <c r="E1169" s="2">
        <v>60</v>
      </c>
      <c r="F1169" s="2">
        <v>26</v>
      </c>
      <c r="G1169" s="1" t="s">
        <v>7</v>
      </c>
    </row>
    <row r="1170" spans="1:7" hidden="1">
      <c r="A1170" t="s">
        <v>80</v>
      </c>
      <c r="B1170" s="1" t="s">
        <v>45</v>
      </c>
      <c r="C1170" s="2">
        <v>2000</v>
      </c>
      <c r="D1170" s="2">
        <v>88</v>
      </c>
      <c r="E1170" s="2">
        <v>58</v>
      </c>
      <c r="F1170" s="2">
        <v>30</v>
      </c>
      <c r="G1170" s="1" t="s">
        <v>7</v>
      </c>
    </row>
    <row r="1171" spans="1:7" hidden="1">
      <c r="A1171" t="s">
        <v>80</v>
      </c>
      <c r="B1171" s="1" t="s">
        <v>45</v>
      </c>
      <c r="C1171" s="2">
        <v>2001</v>
      </c>
      <c r="D1171" s="2">
        <v>1</v>
      </c>
      <c r="E1171" s="1" t="s">
        <v>7</v>
      </c>
      <c r="F1171" s="2">
        <v>1</v>
      </c>
      <c r="G1171" s="1" t="s">
        <v>7</v>
      </c>
    </row>
    <row r="1172" spans="1:7" hidden="1">
      <c r="A1172" t="s">
        <v>80</v>
      </c>
      <c r="B1172" s="1" t="s">
        <v>46</v>
      </c>
      <c r="C1172" s="2">
        <v>2001</v>
      </c>
      <c r="D1172" s="2">
        <v>103</v>
      </c>
      <c r="E1172" s="2">
        <v>63</v>
      </c>
      <c r="F1172" s="2">
        <v>40</v>
      </c>
      <c r="G1172" s="1" t="s">
        <v>7</v>
      </c>
    </row>
    <row r="1173" spans="1:7" hidden="1">
      <c r="A1173" t="s">
        <v>80</v>
      </c>
      <c r="B1173" s="1" t="s">
        <v>46</v>
      </c>
      <c r="C1173" s="2">
        <v>2009</v>
      </c>
      <c r="D1173" s="2">
        <v>1</v>
      </c>
      <c r="E1173" s="1" t="s">
        <v>7</v>
      </c>
      <c r="F1173" s="2">
        <v>1</v>
      </c>
      <c r="G1173" s="1" t="s">
        <v>7</v>
      </c>
    </row>
    <row r="1174" spans="1:7" hidden="1">
      <c r="A1174" t="s">
        <v>80</v>
      </c>
      <c r="B1174" s="1" t="s">
        <v>46</v>
      </c>
      <c r="C1174" s="2">
        <v>2011</v>
      </c>
      <c r="D1174" s="2">
        <v>1</v>
      </c>
      <c r="E1174" s="2">
        <v>1</v>
      </c>
      <c r="F1174" s="1" t="s">
        <v>7</v>
      </c>
      <c r="G1174" s="1" t="s">
        <v>7</v>
      </c>
    </row>
    <row r="1175" spans="1:7" hidden="1">
      <c r="A1175" t="s">
        <v>80</v>
      </c>
      <c r="B1175" s="1" t="s">
        <v>47</v>
      </c>
      <c r="C1175" s="2">
        <v>2002</v>
      </c>
      <c r="D1175" s="2">
        <v>118</v>
      </c>
      <c r="E1175" s="2">
        <v>77</v>
      </c>
      <c r="F1175" s="2">
        <v>41</v>
      </c>
      <c r="G1175" s="1" t="s">
        <v>7</v>
      </c>
    </row>
    <row r="1176" spans="1:7" hidden="1">
      <c r="A1176" t="s">
        <v>80</v>
      </c>
      <c r="B1176" s="1" t="s">
        <v>48</v>
      </c>
      <c r="C1176" s="2">
        <v>2003</v>
      </c>
      <c r="D1176" s="2">
        <v>99</v>
      </c>
      <c r="E1176" s="2">
        <v>65</v>
      </c>
      <c r="F1176" s="2">
        <v>34</v>
      </c>
      <c r="G1176" s="1" t="s">
        <v>7</v>
      </c>
    </row>
    <row r="1177" spans="1:7" hidden="1">
      <c r="A1177" t="s">
        <v>80</v>
      </c>
      <c r="B1177" s="1" t="s">
        <v>48</v>
      </c>
      <c r="C1177" s="2">
        <v>2004</v>
      </c>
      <c r="D1177" s="2">
        <v>1</v>
      </c>
      <c r="E1177" s="2">
        <v>1</v>
      </c>
      <c r="F1177" s="1" t="s">
        <v>7</v>
      </c>
      <c r="G1177" s="1" t="s">
        <v>7</v>
      </c>
    </row>
    <row r="1178" spans="1:7" hidden="1">
      <c r="A1178" t="s">
        <v>80</v>
      </c>
      <c r="B1178" s="1" t="s">
        <v>49</v>
      </c>
      <c r="C1178" s="2">
        <v>2004</v>
      </c>
      <c r="D1178" s="2">
        <v>117</v>
      </c>
      <c r="E1178" s="2">
        <v>74</v>
      </c>
      <c r="F1178" s="2">
        <v>43</v>
      </c>
      <c r="G1178" s="1" t="s">
        <v>7</v>
      </c>
    </row>
    <row r="1179" spans="1:7" hidden="1">
      <c r="A1179" t="s">
        <v>80</v>
      </c>
      <c r="B1179" s="1" t="s">
        <v>50</v>
      </c>
      <c r="C1179" s="2">
        <v>2005</v>
      </c>
      <c r="D1179" s="2">
        <v>102</v>
      </c>
      <c r="E1179" s="2">
        <v>71</v>
      </c>
      <c r="F1179" s="2">
        <v>31</v>
      </c>
      <c r="G1179" s="1" t="s">
        <v>7</v>
      </c>
    </row>
    <row r="1180" spans="1:7" hidden="1">
      <c r="A1180" t="s">
        <v>80</v>
      </c>
      <c r="B1180" s="1" t="s">
        <v>51</v>
      </c>
      <c r="C1180" s="2">
        <v>2006</v>
      </c>
      <c r="D1180" s="2">
        <v>109</v>
      </c>
      <c r="E1180" s="2">
        <v>77</v>
      </c>
      <c r="F1180" s="2">
        <v>32</v>
      </c>
      <c r="G1180" s="1" t="s">
        <v>7</v>
      </c>
    </row>
    <row r="1181" spans="1:7" hidden="1">
      <c r="A1181" t="s">
        <v>80</v>
      </c>
      <c r="B1181" s="1" t="s">
        <v>51</v>
      </c>
      <c r="C1181" s="2">
        <v>2007</v>
      </c>
      <c r="D1181" s="2">
        <v>2</v>
      </c>
      <c r="E1181" s="2">
        <v>2</v>
      </c>
      <c r="F1181" s="1" t="s">
        <v>7</v>
      </c>
      <c r="G1181" s="1" t="s">
        <v>7</v>
      </c>
    </row>
    <row r="1182" spans="1:7" hidden="1">
      <c r="A1182" t="s">
        <v>80</v>
      </c>
      <c r="B1182" s="1" t="s">
        <v>52</v>
      </c>
      <c r="C1182" s="2">
        <v>2007</v>
      </c>
      <c r="D1182" s="2">
        <v>133</v>
      </c>
      <c r="E1182" s="2">
        <v>96</v>
      </c>
      <c r="F1182" s="2">
        <v>37</v>
      </c>
      <c r="G1182" s="1" t="s">
        <v>7</v>
      </c>
    </row>
    <row r="1183" spans="1:7" hidden="1">
      <c r="A1183" t="s">
        <v>80</v>
      </c>
      <c r="B1183" s="1" t="s">
        <v>52</v>
      </c>
      <c r="C1183" s="2">
        <v>2008</v>
      </c>
      <c r="D1183" s="2">
        <v>2</v>
      </c>
      <c r="E1183" s="2">
        <v>2</v>
      </c>
      <c r="F1183" s="1" t="s">
        <v>7</v>
      </c>
      <c r="G1183" s="1" t="s">
        <v>7</v>
      </c>
    </row>
    <row r="1184" spans="1:7" hidden="1">
      <c r="A1184" t="s">
        <v>80</v>
      </c>
      <c r="B1184" s="1" t="s">
        <v>53</v>
      </c>
      <c r="C1184" s="2">
        <v>2008</v>
      </c>
      <c r="D1184" s="2">
        <v>126</v>
      </c>
      <c r="E1184" s="2">
        <v>79</v>
      </c>
      <c r="F1184" s="2">
        <v>47</v>
      </c>
      <c r="G1184" s="1" t="s">
        <v>7</v>
      </c>
    </row>
    <row r="1185" spans="1:7" hidden="1">
      <c r="A1185" t="s">
        <v>80</v>
      </c>
      <c r="B1185" s="1" t="s">
        <v>53</v>
      </c>
      <c r="C1185" s="2">
        <v>2009</v>
      </c>
      <c r="D1185" s="2">
        <v>1</v>
      </c>
      <c r="E1185" s="2">
        <v>1</v>
      </c>
      <c r="F1185" s="1" t="s">
        <v>7</v>
      </c>
      <c r="G1185" s="1" t="s">
        <v>7</v>
      </c>
    </row>
    <row r="1186" spans="1:7" hidden="1">
      <c r="A1186" t="s">
        <v>80</v>
      </c>
      <c r="B1186" s="1" t="s">
        <v>54</v>
      </c>
      <c r="C1186" s="2">
        <v>2009</v>
      </c>
      <c r="D1186" s="2">
        <v>113</v>
      </c>
      <c r="E1186" s="2">
        <v>73</v>
      </c>
      <c r="F1186" s="2">
        <v>40</v>
      </c>
      <c r="G1186" s="1" t="s">
        <v>7</v>
      </c>
    </row>
    <row r="1187" spans="1:7" hidden="1">
      <c r="A1187" t="s">
        <v>80</v>
      </c>
      <c r="B1187" s="1" t="s">
        <v>55</v>
      </c>
      <c r="C1187" s="2">
        <v>2010</v>
      </c>
      <c r="D1187" s="2">
        <v>135</v>
      </c>
      <c r="E1187" s="2">
        <v>91</v>
      </c>
      <c r="F1187" s="2">
        <v>44</v>
      </c>
      <c r="G1187" s="1" t="s">
        <v>7</v>
      </c>
    </row>
    <row r="1188" spans="1:7" hidden="1">
      <c r="A1188" t="s">
        <v>80</v>
      </c>
      <c r="B1188" s="1" t="s">
        <v>56</v>
      </c>
      <c r="C1188" s="2">
        <v>2011</v>
      </c>
      <c r="D1188" s="2">
        <v>162</v>
      </c>
      <c r="E1188" s="2">
        <v>117</v>
      </c>
      <c r="F1188" s="2">
        <v>45</v>
      </c>
      <c r="G1188" s="1" t="s">
        <v>7</v>
      </c>
    </row>
    <row r="1189" spans="1:7" hidden="1">
      <c r="A1189" t="s">
        <v>80</v>
      </c>
      <c r="B1189" s="1" t="s">
        <v>57</v>
      </c>
      <c r="C1189" s="2">
        <v>2012</v>
      </c>
      <c r="D1189" s="2">
        <v>139</v>
      </c>
      <c r="E1189" s="2">
        <v>87</v>
      </c>
      <c r="F1189" s="2">
        <v>52</v>
      </c>
      <c r="G1189" s="1" t="s">
        <v>7</v>
      </c>
    </row>
    <row r="1190" spans="1:7" hidden="1">
      <c r="A1190" t="s">
        <v>80</v>
      </c>
      <c r="B1190" s="1" t="s">
        <v>57</v>
      </c>
      <c r="C1190" s="2">
        <v>2013</v>
      </c>
      <c r="D1190" s="2">
        <v>1</v>
      </c>
      <c r="E1190" s="2">
        <v>1</v>
      </c>
      <c r="F1190" s="1" t="s">
        <v>7</v>
      </c>
      <c r="G1190" s="1" t="s">
        <v>7</v>
      </c>
    </row>
    <row r="1191" spans="1:7" hidden="1">
      <c r="A1191" t="s">
        <v>80</v>
      </c>
      <c r="B1191" s="1" t="s">
        <v>57</v>
      </c>
      <c r="C1191" s="2">
        <v>2014</v>
      </c>
      <c r="D1191" s="2">
        <v>1</v>
      </c>
      <c r="E1191" s="2">
        <v>1</v>
      </c>
      <c r="F1191" s="1" t="s">
        <v>7</v>
      </c>
      <c r="G1191" s="1" t="s">
        <v>7</v>
      </c>
    </row>
    <row r="1192" spans="1:7" hidden="1">
      <c r="A1192" t="s">
        <v>80</v>
      </c>
      <c r="B1192" s="1" t="s">
        <v>58</v>
      </c>
      <c r="C1192" s="2">
        <v>2013</v>
      </c>
      <c r="D1192" s="2">
        <v>146</v>
      </c>
      <c r="E1192" s="2">
        <v>101</v>
      </c>
      <c r="F1192" s="2">
        <v>45</v>
      </c>
      <c r="G1192" s="1" t="s">
        <v>7</v>
      </c>
    </row>
    <row r="1193" spans="1:7" hidden="1">
      <c r="A1193" t="s">
        <v>80</v>
      </c>
      <c r="B1193" s="1" t="s">
        <v>58</v>
      </c>
      <c r="C1193" s="2">
        <v>2014</v>
      </c>
      <c r="D1193" s="2">
        <v>1</v>
      </c>
      <c r="E1193" s="1" t="s">
        <v>7</v>
      </c>
      <c r="F1193" s="2">
        <v>1</v>
      </c>
      <c r="G1193" s="1" t="s">
        <v>7</v>
      </c>
    </row>
    <row r="1194" spans="1:7" hidden="1">
      <c r="A1194" t="s">
        <v>80</v>
      </c>
      <c r="B1194" s="1" t="s">
        <v>59</v>
      </c>
      <c r="C1194" s="2">
        <v>2014</v>
      </c>
      <c r="D1194" s="2">
        <v>155</v>
      </c>
      <c r="E1194" s="2">
        <v>108</v>
      </c>
      <c r="F1194" s="2">
        <v>47</v>
      </c>
      <c r="G1194" s="1" t="s">
        <v>7</v>
      </c>
    </row>
    <row r="1195" spans="1:7" hidden="1">
      <c r="A1195" t="s">
        <v>80</v>
      </c>
      <c r="B1195" s="1" t="s">
        <v>60</v>
      </c>
      <c r="C1195" s="2">
        <v>2015</v>
      </c>
      <c r="D1195" s="2">
        <v>163</v>
      </c>
      <c r="E1195" s="2">
        <v>126</v>
      </c>
      <c r="F1195" s="2">
        <v>37</v>
      </c>
      <c r="G1195" s="1" t="s">
        <v>7</v>
      </c>
    </row>
    <row r="1196" spans="1:7" hidden="1">
      <c r="A1196" t="s">
        <v>80</v>
      </c>
      <c r="B1196" s="1" t="s">
        <v>61</v>
      </c>
      <c r="C1196" s="2">
        <v>2016</v>
      </c>
      <c r="D1196" s="2">
        <v>188</v>
      </c>
      <c r="E1196" s="2">
        <v>135</v>
      </c>
      <c r="F1196" s="2">
        <v>53</v>
      </c>
      <c r="G1196" s="1" t="s">
        <v>7</v>
      </c>
    </row>
    <row r="1197" spans="1:7" hidden="1">
      <c r="A1197" t="s">
        <v>80</v>
      </c>
      <c r="B1197" s="1" t="s">
        <v>61</v>
      </c>
      <c r="C1197" s="2">
        <v>2017</v>
      </c>
      <c r="D1197" s="2">
        <v>1</v>
      </c>
      <c r="E1197" s="2">
        <v>1</v>
      </c>
      <c r="F1197" s="1" t="s">
        <v>7</v>
      </c>
      <c r="G1197" s="1" t="s">
        <v>7</v>
      </c>
    </row>
    <row r="1198" spans="1:7" hidden="1">
      <c r="A1198" t="s">
        <v>80</v>
      </c>
      <c r="B1198" s="1" t="s">
        <v>62</v>
      </c>
      <c r="C1198" s="2">
        <v>2017</v>
      </c>
      <c r="D1198" s="2">
        <v>204</v>
      </c>
      <c r="E1198" s="2">
        <v>142</v>
      </c>
      <c r="F1198" s="2">
        <v>62</v>
      </c>
      <c r="G1198" s="1" t="s">
        <v>7</v>
      </c>
    </row>
    <row r="1199" spans="1:7" hidden="1">
      <c r="A1199" t="s">
        <v>80</v>
      </c>
      <c r="B1199" s="1" t="s">
        <v>62</v>
      </c>
      <c r="C1199" s="2">
        <v>2018</v>
      </c>
      <c r="D1199" s="2">
        <v>2</v>
      </c>
      <c r="E1199" s="2">
        <v>2</v>
      </c>
      <c r="F1199" s="1" t="s">
        <v>7</v>
      </c>
      <c r="G1199" s="1" t="s">
        <v>7</v>
      </c>
    </row>
    <row r="1200" spans="1:7" hidden="1">
      <c r="A1200" t="s">
        <v>80</v>
      </c>
      <c r="B1200" s="1" t="s">
        <v>63</v>
      </c>
      <c r="C1200" s="2">
        <v>2018</v>
      </c>
      <c r="D1200" s="2">
        <v>229</v>
      </c>
      <c r="E1200" s="2">
        <v>165</v>
      </c>
      <c r="F1200" s="2">
        <v>64</v>
      </c>
      <c r="G1200" s="1" t="s">
        <v>7</v>
      </c>
    </row>
    <row r="1201" spans="1:7" hidden="1">
      <c r="A1201" t="s">
        <v>80</v>
      </c>
      <c r="B1201" s="1" t="s">
        <v>63</v>
      </c>
      <c r="C1201" s="2">
        <v>2019</v>
      </c>
      <c r="D1201" s="2">
        <v>1</v>
      </c>
      <c r="E1201" s="2">
        <v>1</v>
      </c>
      <c r="F1201" s="1" t="s">
        <v>7</v>
      </c>
      <c r="G1201" s="1" t="s">
        <v>7</v>
      </c>
    </row>
    <row r="1202" spans="1:7" hidden="1">
      <c r="A1202" t="s">
        <v>80</v>
      </c>
      <c r="B1202" s="1" t="s">
        <v>64</v>
      </c>
      <c r="C1202" s="2">
        <v>2019</v>
      </c>
      <c r="D1202" s="2">
        <v>225</v>
      </c>
      <c r="E1202" s="2">
        <v>152</v>
      </c>
      <c r="F1202" s="2">
        <v>73</v>
      </c>
      <c r="G1202" s="1" t="s">
        <v>7</v>
      </c>
    </row>
    <row r="1203" spans="1:7" hidden="1">
      <c r="A1203" t="s">
        <v>80</v>
      </c>
      <c r="B1203" s="1" t="s">
        <v>64</v>
      </c>
      <c r="C1203" s="2">
        <v>2020</v>
      </c>
      <c r="D1203" s="2">
        <v>1</v>
      </c>
      <c r="E1203" s="1" t="s">
        <v>7</v>
      </c>
      <c r="F1203" s="2">
        <v>1</v>
      </c>
      <c r="G1203" s="1" t="s">
        <v>7</v>
      </c>
    </row>
    <row r="1204" spans="1:7" hidden="1">
      <c r="A1204" t="s">
        <v>80</v>
      </c>
      <c r="B1204" s="1" t="s">
        <v>65</v>
      </c>
      <c r="C1204" s="2">
        <v>2020</v>
      </c>
      <c r="D1204" s="2">
        <v>285</v>
      </c>
      <c r="E1204" s="2">
        <v>201</v>
      </c>
      <c r="F1204" s="2">
        <v>84</v>
      </c>
      <c r="G1204" s="1" t="s">
        <v>7</v>
      </c>
    </row>
    <row r="1205" spans="1:7" hidden="1">
      <c r="A1205" t="s">
        <v>80</v>
      </c>
      <c r="B1205" s="1" t="s">
        <v>65</v>
      </c>
      <c r="C1205" s="2">
        <v>2021</v>
      </c>
      <c r="D1205" s="2">
        <v>6</v>
      </c>
      <c r="E1205" s="2">
        <v>6</v>
      </c>
      <c r="F1205" s="1" t="s">
        <v>7</v>
      </c>
      <c r="G1205" s="1" t="s">
        <v>7</v>
      </c>
    </row>
    <row r="1206" spans="1:7" hidden="1">
      <c r="A1206" t="s">
        <v>80</v>
      </c>
      <c r="B1206" s="1" t="s">
        <v>66</v>
      </c>
      <c r="C1206" s="2">
        <v>2021</v>
      </c>
      <c r="D1206" s="2">
        <v>317</v>
      </c>
      <c r="E1206" s="2">
        <v>204</v>
      </c>
      <c r="F1206" s="2">
        <v>113</v>
      </c>
      <c r="G1206" s="1" t="s">
        <v>7</v>
      </c>
    </row>
    <row r="1207" spans="1:7" hidden="1">
      <c r="A1207" t="s">
        <v>80</v>
      </c>
      <c r="B1207" s="1" t="s">
        <v>66</v>
      </c>
      <c r="C1207" s="2">
        <v>2022</v>
      </c>
      <c r="D1207" s="2">
        <v>1</v>
      </c>
      <c r="E1207" s="2">
        <v>1</v>
      </c>
      <c r="F1207" s="1" t="s">
        <v>7</v>
      </c>
      <c r="G1207" s="1" t="s">
        <v>7</v>
      </c>
    </row>
    <row r="1208" spans="1:7" hidden="1">
      <c r="A1208" t="s">
        <v>80</v>
      </c>
      <c r="B1208" s="1" t="s">
        <v>67</v>
      </c>
      <c r="C1208" s="2">
        <v>2022</v>
      </c>
      <c r="D1208" s="2">
        <v>267</v>
      </c>
      <c r="E1208" s="2">
        <v>190</v>
      </c>
      <c r="F1208" s="2">
        <v>77</v>
      </c>
      <c r="G1208" s="1" t="s">
        <v>7</v>
      </c>
    </row>
    <row r="1209" spans="1:7" hidden="1">
      <c r="A1209" t="s">
        <v>80</v>
      </c>
      <c r="B1209" s="1" t="s">
        <v>67</v>
      </c>
      <c r="C1209" s="2">
        <v>2024</v>
      </c>
      <c r="D1209" s="2">
        <v>2</v>
      </c>
      <c r="E1209" s="2">
        <v>2</v>
      </c>
      <c r="F1209" s="1" t="s">
        <v>7</v>
      </c>
      <c r="G1209" s="1" t="s">
        <v>7</v>
      </c>
    </row>
    <row r="1210" spans="1:7" hidden="1">
      <c r="A1210" t="s">
        <v>80</v>
      </c>
      <c r="B1210" s="1" t="s">
        <v>68</v>
      </c>
      <c r="C1210" s="2">
        <v>2023</v>
      </c>
      <c r="D1210" s="2">
        <v>273</v>
      </c>
      <c r="E1210" s="2">
        <v>185</v>
      </c>
      <c r="F1210" s="2">
        <v>88</v>
      </c>
      <c r="G1210" s="1" t="s">
        <v>7</v>
      </c>
    </row>
    <row r="1211" spans="1:7" hidden="1">
      <c r="A1211" t="s">
        <v>80</v>
      </c>
      <c r="B1211" s="1" t="s">
        <v>69</v>
      </c>
      <c r="C1211" s="2">
        <v>2024</v>
      </c>
      <c r="D1211" s="2">
        <v>287</v>
      </c>
      <c r="E1211" s="2">
        <v>195</v>
      </c>
      <c r="F1211" s="2">
        <v>92</v>
      </c>
      <c r="G1211" s="1" t="s">
        <v>7</v>
      </c>
    </row>
    <row r="1212" spans="1:7" hidden="1">
      <c r="A1212" t="s">
        <v>80</v>
      </c>
      <c r="B1212" s="1" t="s">
        <v>6</v>
      </c>
      <c r="C1212" s="2">
        <v>1990</v>
      </c>
      <c r="D1212" s="2">
        <v>4</v>
      </c>
      <c r="E1212" s="2">
        <v>4</v>
      </c>
      <c r="F1212" s="1" t="s">
        <v>7</v>
      </c>
      <c r="G1212" s="1" t="s">
        <v>7</v>
      </c>
    </row>
    <row r="1213" spans="1:7" hidden="1">
      <c r="A1213" t="s">
        <v>80</v>
      </c>
      <c r="B1213" s="1" t="s">
        <v>6</v>
      </c>
      <c r="C1213" s="2">
        <v>1991</v>
      </c>
      <c r="D1213" s="2">
        <v>3</v>
      </c>
      <c r="E1213" s="2">
        <v>2</v>
      </c>
      <c r="F1213" s="2">
        <v>1</v>
      </c>
      <c r="G1213" s="1" t="s">
        <v>7</v>
      </c>
    </row>
    <row r="1214" spans="1:7" hidden="1">
      <c r="A1214" t="s">
        <v>80</v>
      </c>
      <c r="B1214" s="1" t="s">
        <v>6</v>
      </c>
      <c r="C1214" s="2">
        <v>1992</v>
      </c>
      <c r="D1214" s="2">
        <v>2</v>
      </c>
      <c r="E1214" s="2">
        <v>1</v>
      </c>
      <c r="F1214" s="2">
        <v>1</v>
      </c>
      <c r="G1214" s="1" t="s">
        <v>7</v>
      </c>
    </row>
    <row r="1215" spans="1:7" hidden="1">
      <c r="A1215" t="s">
        <v>80</v>
      </c>
      <c r="B1215" s="1" t="s">
        <v>6</v>
      </c>
      <c r="C1215" s="2">
        <v>1993</v>
      </c>
      <c r="D1215" s="2">
        <v>1</v>
      </c>
      <c r="E1215" s="2">
        <v>1</v>
      </c>
      <c r="F1215" s="1" t="s">
        <v>7</v>
      </c>
      <c r="G1215" s="1" t="s">
        <v>7</v>
      </c>
    </row>
    <row r="1216" spans="1:7" hidden="1">
      <c r="A1216" t="s">
        <v>80</v>
      </c>
      <c r="B1216" s="1" t="s">
        <v>6</v>
      </c>
      <c r="C1216" s="2">
        <v>1996</v>
      </c>
      <c r="D1216" s="2">
        <v>1</v>
      </c>
      <c r="E1216" s="2">
        <v>1</v>
      </c>
      <c r="F1216" s="1" t="s">
        <v>7</v>
      </c>
      <c r="G1216" s="1" t="s">
        <v>7</v>
      </c>
    </row>
    <row r="1217" spans="1:7" hidden="1">
      <c r="A1217" t="s">
        <v>80</v>
      </c>
      <c r="B1217" s="1" t="s">
        <v>6</v>
      </c>
      <c r="C1217" s="2">
        <v>2021</v>
      </c>
      <c r="D1217" s="2">
        <v>1</v>
      </c>
      <c r="E1217" s="1" t="s">
        <v>7</v>
      </c>
      <c r="F1217" s="2">
        <v>1</v>
      </c>
      <c r="G1217" s="1" t="s">
        <v>7</v>
      </c>
    </row>
    <row r="1218" spans="1:7" hidden="1">
      <c r="A1218" t="s">
        <v>80</v>
      </c>
      <c r="B1218" s="1" t="s">
        <v>6</v>
      </c>
      <c r="C1218" s="2">
        <v>2023</v>
      </c>
      <c r="D1218" s="2">
        <v>1</v>
      </c>
      <c r="E1218" s="2">
        <v>1</v>
      </c>
      <c r="F1218" s="1" t="s">
        <v>7</v>
      </c>
      <c r="G1218" s="1" t="s">
        <v>7</v>
      </c>
    </row>
    <row r="1219" spans="1:7" hidden="1">
      <c r="A1219" t="s">
        <v>80</v>
      </c>
      <c r="B1219" s="1" t="s">
        <v>6</v>
      </c>
      <c r="C1219" s="2">
        <v>2024</v>
      </c>
      <c r="D1219" s="2">
        <v>1</v>
      </c>
      <c r="E1219" s="1" t="s">
        <v>7</v>
      </c>
      <c r="F1219" s="2">
        <v>1</v>
      </c>
      <c r="G1219" s="1" t="s">
        <v>7</v>
      </c>
    </row>
    <row r="1220" spans="1:7" hidden="1">
      <c r="A1220" t="s">
        <v>81</v>
      </c>
      <c r="B1220" s="1" t="s">
        <v>3</v>
      </c>
      <c r="C1220" s="2">
        <v>1990</v>
      </c>
      <c r="D1220" s="2">
        <v>118</v>
      </c>
      <c r="E1220" s="2">
        <v>66</v>
      </c>
      <c r="F1220" s="2">
        <v>52</v>
      </c>
      <c r="G1220" s="1" t="s">
        <v>7</v>
      </c>
    </row>
    <row r="1221" spans="1:7" hidden="1">
      <c r="A1221" t="s">
        <v>81</v>
      </c>
      <c r="B1221" s="1" t="s">
        <v>3</v>
      </c>
      <c r="C1221" s="2">
        <v>1991</v>
      </c>
      <c r="D1221" s="2">
        <v>102</v>
      </c>
      <c r="E1221" s="2">
        <v>64</v>
      </c>
      <c r="F1221" s="2">
        <v>38</v>
      </c>
      <c r="G1221" s="1" t="s">
        <v>7</v>
      </c>
    </row>
    <row r="1222" spans="1:7" hidden="1">
      <c r="A1222" t="s">
        <v>81</v>
      </c>
      <c r="B1222" s="1" t="s">
        <v>3</v>
      </c>
      <c r="C1222" s="2">
        <v>1992</v>
      </c>
      <c r="D1222" s="2">
        <v>104</v>
      </c>
      <c r="E1222" s="2">
        <v>66</v>
      </c>
      <c r="F1222" s="2">
        <v>38</v>
      </c>
      <c r="G1222" s="1" t="s">
        <v>7</v>
      </c>
    </row>
    <row r="1223" spans="1:7" hidden="1">
      <c r="A1223" t="s">
        <v>81</v>
      </c>
      <c r="B1223" s="1" t="s">
        <v>3</v>
      </c>
      <c r="C1223" s="2">
        <v>1993</v>
      </c>
      <c r="D1223" s="2">
        <v>97</v>
      </c>
      <c r="E1223" s="2">
        <v>61</v>
      </c>
      <c r="F1223" s="2">
        <v>36</v>
      </c>
      <c r="G1223" s="1" t="s">
        <v>7</v>
      </c>
    </row>
    <row r="1224" spans="1:7" hidden="1">
      <c r="A1224" t="s">
        <v>81</v>
      </c>
      <c r="B1224" s="1" t="s">
        <v>3</v>
      </c>
      <c r="C1224" s="2">
        <v>1994</v>
      </c>
      <c r="D1224" s="2">
        <v>94</v>
      </c>
      <c r="E1224" s="2">
        <v>68</v>
      </c>
      <c r="F1224" s="2">
        <v>26</v>
      </c>
      <c r="G1224" s="1" t="s">
        <v>7</v>
      </c>
    </row>
    <row r="1225" spans="1:7" hidden="1">
      <c r="A1225" t="s">
        <v>81</v>
      </c>
      <c r="B1225" s="1" t="s">
        <v>3</v>
      </c>
      <c r="C1225" s="2">
        <v>1995</v>
      </c>
      <c r="D1225" s="2">
        <v>100</v>
      </c>
      <c r="E1225" s="2">
        <v>64</v>
      </c>
      <c r="F1225" s="2">
        <v>36</v>
      </c>
      <c r="G1225" s="1" t="s">
        <v>7</v>
      </c>
    </row>
    <row r="1226" spans="1:7" hidden="1">
      <c r="A1226" t="s">
        <v>81</v>
      </c>
      <c r="B1226" s="1" t="s">
        <v>3</v>
      </c>
      <c r="C1226" s="2">
        <v>1996</v>
      </c>
      <c r="D1226" s="2">
        <v>107</v>
      </c>
      <c r="E1226" s="2">
        <v>71</v>
      </c>
      <c r="F1226" s="2">
        <v>36</v>
      </c>
      <c r="G1226" s="1" t="s">
        <v>7</v>
      </c>
    </row>
    <row r="1227" spans="1:7" hidden="1">
      <c r="A1227" t="s">
        <v>81</v>
      </c>
      <c r="B1227" s="1" t="s">
        <v>3</v>
      </c>
      <c r="C1227" s="2">
        <v>1997</v>
      </c>
      <c r="D1227" s="2">
        <v>121</v>
      </c>
      <c r="E1227" s="2">
        <v>66</v>
      </c>
      <c r="F1227" s="2">
        <v>55</v>
      </c>
      <c r="G1227" s="1" t="s">
        <v>7</v>
      </c>
    </row>
    <row r="1228" spans="1:7" hidden="1">
      <c r="A1228" t="s">
        <v>81</v>
      </c>
      <c r="B1228" s="1" t="s">
        <v>3</v>
      </c>
      <c r="C1228" s="2">
        <v>1998</v>
      </c>
      <c r="D1228" s="2">
        <v>121</v>
      </c>
      <c r="E1228" s="2">
        <v>70</v>
      </c>
      <c r="F1228" s="2">
        <v>51</v>
      </c>
      <c r="G1228" s="1" t="s">
        <v>7</v>
      </c>
    </row>
    <row r="1229" spans="1:7" hidden="1">
      <c r="A1229" t="s">
        <v>81</v>
      </c>
      <c r="B1229" s="1" t="s">
        <v>3</v>
      </c>
      <c r="C1229" s="2">
        <v>1999</v>
      </c>
      <c r="D1229" s="2">
        <v>105</v>
      </c>
      <c r="E1229" s="2">
        <v>64</v>
      </c>
      <c r="F1229" s="2">
        <v>41</v>
      </c>
      <c r="G1229" s="1" t="s">
        <v>7</v>
      </c>
    </row>
    <row r="1230" spans="1:7" hidden="1">
      <c r="A1230" t="s">
        <v>81</v>
      </c>
      <c r="B1230" s="1" t="s">
        <v>3</v>
      </c>
      <c r="C1230" s="2">
        <v>2000</v>
      </c>
      <c r="D1230" s="2">
        <v>115</v>
      </c>
      <c r="E1230" s="2">
        <v>74</v>
      </c>
      <c r="F1230" s="2">
        <v>41</v>
      </c>
      <c r="G1230" s="1" t="s">
        <v>7</v>
      </c>
    </row>
    <row r="1231" spans="1:7" hidden="1">
      <c r="A1231" t="s">
        <v>81</v>
      </c>
      <c r="B1231" s="1" t="s">
        <v>3</v>
      </c>
      <c r="C1231" s="2">
        <v>2001</v>
      </c>
      <c r="D1231" s="2">
        <v>110</v>
      </c>
      <c r="E1231" s="2">
        <v>57</v>
      </c>
      <c r="F1231" s="2">
        <v>53</v>
      </c>
      <c r="G1231" s="1" t="s">
        <v>7</v>
      </c>
    </row>
    <row r="1232" spans="1:7" hidden="1">
      <c r="A1232" t="s">
        <v>81</v>
      </c>
      <c r="B1232" s="1" t="s">
        <v>3</v>
      </c>
      <c r="C1232" s="2">
        <v>2002</v>
      </c>
      <c r="D1232" s="2">
        <v>126</v>
      </c>
      <c r="E1232" s="2">
        <v>65</v>
      </c>
      <c r="F1232" s="2">
        <v>61</v>
      </c>
      <c r="G1232" s="1" t="s">
        <v>7</v>
      </c>
    </row>
    <row r="1233" spans="1:7" hidden="1">
      <c r="A1233" t="s">
        <v>81</v>
      </c>
      <c r="B1233" s="1" t="s">
        <v>3</v>
      </c>
      <c r="C1233" s="2">
        <v>2003</v>
      </c>
      <c r="D1233" s="2">
        <v>116</v>
      </c>
      <c r="E1233" s="2">
        <v>67</v>
      </c>
      <c r="F1233" s="2">
        <v>48</v>
      </c>
      <c r="G1233" s="2">
        <v>1</v>
      </c>
    </row>
    <row r="1234" spans="1:7" hidden="1">
      <c r="A1234" t="s">
        <v>81</v>
      </c>
      <c r="B1234" s="1" t="s">
        <v>3</v>
      </c>
      <c r="C1234" s="2">
        <v>2004</v>
      </c>
      <c r="D1234" s="2">
        <v>134</v>
      </c>
      <c r="E1234" s="2">
        <v>79</v>
      </c>
      <c r="F1234" s="2">
        <v>55</v>
      </c>
      <c r="G1234" s="1" t="s">
        <v>7</v>
      </c>
    </row>
    <row r="1235" spans="1:7" hidden="1">
      <c r="A1235" t="s">
        <v>81</v>
      </c>
      <c r="B1235" s="1" t="s">
        <v>3</v>
      </c>
      <c r="C1235" s="2">
        <v>2005</v>
      </c>
      <c r="D1235" s="2">
        <v>134</v>
      </c>
      <c r="E1235" s="2">
        <v>86</v>
      </c>
      <c r="F1235" s="2">
        <v>48</v>
      </c>
      <c r="G1235" s="1" t="s">
        <v>7</v>
      </c>
    </row>
    <row r="1236" spans="1:7" hidden="1">
      <c r="A1236" t="s">
        <v>81</v>
      </c>
      <c r="B1236" s="1" t="s">
        <v>3</v>
      </c>
      <c r="C1236" s="2">
        <v>2006</v>
      </c>
      <c r="D1236" s="2">
        <v>142</v>
      </c>
      <c r="E1236" s="2">
        <v>83</v>
      </c>
      <c r="F1236" s="2">
        <v>59</v>
      </c>
      <c r="G1236" s="1" t="s">
        <v>7</v>
      </c>
    </row>
    <row r="1237" spans="1:7" hidden="1">
      <c r="A1237" t="s">
        <v>81</v>
      </c>
      <c r="B1237" s="1" t="s">
        <v>3</v>
      </c>
      <c r="C1237" s="2">
        <v>2007</v>
      </c>
      <c r="D1237" s="2">
        <v>167</v>
      </c>
      <c r="E1237" s="2">
        <v>112</v>
      </c>
      <c r="F1237" s="2">
        <v>55</v>
      </c>
      <c r="G1237" s="1" t="s">
        <v>7</v>
      </c>
    </row>
    <row r="1238" spans="1:7" hidden="1">
      <c r="A1238" t="s">
        <v>81</v>
      </c>
      <c r="B1238" s="1" t="s">
        <v>3</v>
      </c>
      <c r="C1238" s="2">
        <v>2008</v>
      </c>
      <c r="D1238" s="2">
        <v>162</v>
      </c>
      <c r="E1238" s="2">
        <v>86</v>
      </c>
      <c r="F1238" s="2">
        <v>76</v>
      </c>
      <c r="G1238" s="1" t="s">
        <v>7</v>
      </c>
    </row>
    <row r="1239" spans="1:7" hidden="1">
      <c r="A1239" t="s">
        <v>81</v>
      </c>
      <c r="B1239" s="1" t="s">
        <v>3</v>
      </c>
      <c r="C1239" s="2">
        <v>2009</v>
      </c>
      <c r="D1239" s="2">
        <v>150</v>
      </c>
      <c r="E1239" s="2">
        <v>98</v>
      </c>
      <c r="F1239" s="2">
        <v>52</v>
      </c>
      <c r="G1239" s="1" t="s">
        <v>7</v>
      </c>
    </row>
    <row r="1240" spans="1:7">
      <c r="A1240" t="s">
        <v>81</v>
      </c>
      <c r="B1240" s="1" t="s">
        <v>3</v>
      </c>
      <c r="C1240" s="2">
        <v>2010</v>
      </c>
      <c r="D1240" s="2">
        <v>163</v>
      </c>
      <c r="E1240" s="2">
        <v>119</v>
      </c>
      <c r="F1240" s="2">
        <v>44</v>
      </c>
      <c r="G1240" s="1" t="s">
        <v>7</v>
      </c>
    </row>
    <row r="1241" spans="1:7" hidden="1">
      <c r="A1241" t="s">
        <v>81</v>
      </c>
      <c r="B1241" s="1" t="s">
        <v>3</v>
      </c>
      <c r="C1241" s="2">
        <v>2011</v>
      </c>
      <c r="D1241" s="2">
        <v>162</v>
      </c>
      <c r="E1241" s="2">
        <v>107</v>
      </c>
      <c r="F1241" s="2">
        <v>55</v>
      </c>
      <c r="G1241" s="1" t="s">
        <v>7</v>
      </c>
    </row>
    <row r="1242" spans="1:7" hidden="1">
      <c r="A1242" t="s">
        <v>81</v>
      </c>
      <c r="B1242" s="1" t="s">
        <v>3</v>
      </c>
      <c r="C1242" s="2">
        <v>2012</v>
      </c>
      <c r="D1242" s="2">
        <v>199</v>
      </c>
      <c r="E1242" s="2">
        <v>118</v>
      </c>
      <c r="F1242" s="2">
        <v>81</v>
      </c>
      <c r="G1242" s="1" t="s">
        <v>7</v>
      </c>
    </row>
    <row r="1243" spans="1:7" hidden="1">
      <c r="A1243" t="s">
        <v>81</v>
      </c>
      <c r="B1243" s="1" t="s">
        <v>3</v>
      </c>
      <c r="C1243" s="2">
        <v>2013</v>
      </c>
      <c r="D1243" s="2">
        <v>190</v>
      </c>
      <c r="E1243" s="2">
        <v>114</v>
      </c>
      <c r="F1243" s="2">
        <v>76</v>
      </c>
      <c r="G1243" s="1" t="s">
        <v>7</v>
      </c>
    </row>
    <row r="1244" spans="1:7" hidden="1">
      <c r="A1244" t="s">
        <v>81</v>
      </c>
      <c r="B1244" s="1" t="s">
        <v>3</v>
      </c>
      <c r="C1244" s="2">
        <v>2014</v>
      </c>
      <c r="D1244" s="2">
        <v>205</v>
      </c>
      <c r="E1244" s="2">
        <v>141</v>
      </c>
      <c r="F1244" s="2">
        <v>64</v>
      </c>
      <c r="G1244" s="1" t="s">
        <v>7</v>
      </c>
    </row>
    <row r="1245" spans="1:7" hidden="1">
      <c r="A1245" t="s">
        <v>81</v>
      </c>
      <c r="B1245" s="1" t="s">
        <v>3</v>
      </c>
      <c r="C1245" s="2">
        <v>2015</v>
      </c>
      <c r="D1245" s="2">
        <v>196</v>
      </c>
      <c r="E1245" s="2">
        <v>122</v>
      </c>
      <c r="F1245" s="2">
        <v>74</v>
      </c>
      <c r="G1245" s="1" t="s">
        <v>7</v>
      </c>
    </row>
    <row r="1246" spans="1:7" hidden="1">
      <c r="A1246" t="s">
        <v>81</v>
      </c>
      <c r="B1246" s="1" t="s">
        <v>3</v>
      </c>
      <c r="C1246" s="2">
        <v>2016</v>
      </c>
      <c r="D1246" s="2">
        <v>199</v>
      </c>
      <c r="E1246" s="2">
        <v>122</v>
      </c>
      <c r="F1246" s="2">
        <v>77</v>
      </c>
      <c r="G1246" s="1" t="s">
        <v>7</v>
      </c>
    </row>
    <row r="1247" spans="1:7" hidden="1">
      <c r="A1247" t="s">
        <v>81</v>
      </c>
      <c r="B1247" s="1" t="s">
        <v>3</v>
      </c>
      <c r="C1247" s="2">
        <v>2017</v>
      </c>
      <c r="D1247" s="2">
        <v>245</v>
      </c>
      <c r="E1247" s="2">
        <v>164</v>
      </c>
      <c r="F1247" s="2">
        <v>81</v>
      </c>
      <c r="G1247" s="1" t="s">
        <v>7</v>
      </c>
    </row>
    <row r="1248" spans="1:7" hidden="1">
      <c r="A1248" t="s">
        <v>81</v>
      </c>
      <c r="B1248" s="1" t="s">
        <v>3</v>
      </c>
      <c r="C1248" s="2">
        <v>2018</v>
      </c>
      <c r="D1248" s="2">
        <v>233</v>
      </c>
      <c r="E1248" s="2">
        <v>168</v>
      </c>
      <c r="F1248" s="2">
        <v>65</v>
      </c>
      <c r="G1248" s="1" t="s">
        <v>7</v>
      </c>
    </row>
    <row r="1249" spans="1:7">
      <c r="A1249" t="s">
        <v>81</v>
      </c>
      <c r="B1249" s="1" t="s">
        <v>3</v>
      </c>
      <c r="C1249" s="2">
        <v>2019</v>
      </c>
      <c r="D1249" s="2">
        <v>240</v>
      </c>
      <c r="E1249" s="2">
        <v>160</v>
      </c>
      <c r="F1249" s="2">
        <v>80</v>
      </c>
      <c r="G1249" s="1" t="s">
        <v>7</v>
      </c>
    </row>
    <row r="1250" spans="1:7" hidden="1">
      <c r="A1250" t="s">
        <v>81</v>
      </c>
      <c r="B1250" s="1" t="s">
        <v>3</v>
      </c>
      <c r="C1250" s="2">
        <v>2020</v>
      </c>
      <c r="D1250" s="2">
        <v>339</v>
      </c>
      <c r="E1250" s="2">
        <v>214</v>
      </c>
      <c r="F1250" s="2">
        <v>125</v>
      </c>
      <c r="G1250" s="1" t="s">
        <v>7</v>
      </c>
    </row>
    <row r="1251" spans="1:7">
      <c r="A1251" t="s">
        <v>81</v>
      </c>
      <c r="B1251" s="1" t="s">
        <v>3</v>
      </c>
      <c r="C1251" s="2">
        <v>2021</v>
      </c>
      <c r="D1251" s="2">
        <v>427</v>
      </c>
      <c r="E1251" s="2">
        <v>278</v>
      </c>
      <c r="F1251" s="2">
        <v>149</v>
      </c>
      <c r="G1251" s="1" t="s">
        <v>7</v>
      </c>
    </row>
    <row r="1252" spans="1:7" hidden="1">
      <c r="A1252" t="s">
        <v>81</v>
      </c>
      <c r="B1252" s="1" t="s">
        <v>3</v>
      </c>
      <c r="C1252" s="2">
        <v>2022</v>
      </c>
      <c r="D1252" s="2">
        <v>293</v>
      </c>
      <c r="E1252" s="2">
        <v>204</v>
      </c>
      <c r="F1252" s="2">
        <v>89</v>
      </c>
      <c r="G1252" s="1" t="s">
        <v>7</v>
      </c>
    </row>
    <row r="1253" spans="1:7" hidden="1">
      <c r="A1253" t="s">
        <v>81</v>
      </c>
      <c r="B1253" s="1" t="s">
        <v>3</v>
      </c>
      <c r="C1253" s="2">
        <v>2023</v>
      </c>
      <c r="D1253" s="2">
        <v>281</v>
      </c>
      <c r="E1253" s="2">
        <v>195</v>
      </c>
      <c r="F1253" s="2">
        <v>86</v>
      </c>
      <c r="G1253" s="1" t="s">
        <v>7</v>
      </c>
    </row>
    <row r="1254" spans="1:7" hidden="1">
      <c r="A1254" t="s">
        <v>81</v>
      </c>
      <c r="B1254" s="1" t="s">
        <v>3</v>
      </c>
      <c r="C1254" s="2">
        <v>2024</v>
      </c>
      <c r="D1254" s="2">
        <v>297</v>
      </c>
      <c r="E1254" s="2">
        <v>204</v>
      </c>
      <c r="F1254" s="2">
        <v>93</v>
      </c>
      <c r="G1254" s="1" t="s">
        <v>7</v>
      </c>
    </row>
    <row r="1255" spans="1:7" hidden="1">
      <c r="A1255" t="s">
        <v>81</v>
      </c>
      <c r="B1255" s="1" t="s">
        <v>8</v>
      </c>
      <c r="C1255" s="2">
        <v>1999</v>
      </c>
      <c r="D1255" s="2">
        <v>1</v>
      </c>
      <c r="E1255" s="1" t="s">
        <v>7</v>
      </c>
      <c r="F1255" s="2">
        <v>1</v>
      </c>
      <c r="G1255" s="1" t="s">
        <v>7</v>
      </c>
    </row>
    <row r="1256" spans="1:7" hidden="1">
      <c r="A1256" t="s">
        <v>81</v>
      </c>
      <c r="B1256" s="1" t="s">
        <v>9</v>
      </c>
      <c r="C1256" s="2">
        <v>1993</v>
      </c>
      <c r="D1256" s="2">
        <v>1</v>
      </c>
      <c r="E1256" s="2">
        <v>1</v>
      </c>
      <c r="F1256" s="1" t="s">
        <v>7</v>
      </c>
      <c r="G1256" s="1" t="s">
        <v>7</v>
      </c>
    </row>
    <row r="1257" spans="1:7" hidden="1">
      <c r="A1257" t="s">
        <v>81</v>
      </c>
      <c r="B1257" s="1" t="s">
        <v>24</v>
      </c>
      <c r="C1257" s="2">
        <v>1995</v>
      </c>
      <c r="D1257" s="2">
        <v>1</v>
      </c>
      <c r="E1257" s="2">
        <v>1</v>
      </c>
      <c r="F1257" s="1" t="s">
        <v>7</v>
      </c>
      <c r="G1257" s="1" t="s">
        <v>7</v>
      </c>
    </row>
    <row r="1258" spans="1:7" hidden="1">
      <c r="A1258" t="s">
        <v>81</v>
      </c>
      <c r="B1258" s="1" t="s">
        <v>32</v>
      </c>
      <c r="C1258" s="2">
        <v>2002</v>
      </c>
      <c r="D1258" s="2">
        <v>1</v>
      </c>
      <c r="E1258" s="2">
        <v>1</v>
      </c>
      <c r="F1258" s="1" t="s">
        <v>7</v>
      </c>
      <c r="G1258" s="1" t="s">
        <v>7</v>
      </c>
    </row>
    <row r="1259" spans="1:7" hidden="1">
      <c r="A1259" t="s">
        <v>81</v>
      </c>
      <c r="B1259" s="1" t="s">
        <v>33</v>
      </c>
      <c r="C1259" s="2">
        <v>1995</v>
      </c>
      <c r="D1259" s="2">
        <v>1</v>
      </c>
      <c r="E1259" s="2">
        <v>1</v>
      </c>
      <c r="F1259" s="1" t="s">
        <v>7</v>
      </c>
      <c r="G1259" s="1" t="s">
        <v>7</v>
      </c>
    </row>
    <row r="1260" spans="1:7" hidden="1">
      <c r="A1260" t="s">
        <v>81</v>
      </c>
      <c r="B1260" s="1" t="s">
        <v>35</v>
      </c>
      <c r="C1260" s="2">
        <v>1990</v>
      </c>
      <c r="D1260" s="2">
        <v>115</v>
      </c>
      <c r="E1260" s="2">
        <v>63</v>
      </c>
      <c r="F1260" s="2">
        <v>52</v>
      </c>
      <c r="G1260" s="1" t="s">
        <v>7</v>
      </c>
    </row>
    <row r="1261" spans="1:7" hidden="1">
      <c r="A1261" t="s">
        <v>81</v>
      </c>
      <c r="B1261" s="1" t="s">
        <v>36</v>
      </c>
      <c r="C1261" s="2">
        <v>1991</v>
      </c>
      <c r="D1261" s="2">
        <v>100</v>
      </c>
      <c r="E1261" s="2">
        <v>62</v>
      </c>
      <c r="F1261" s="2">
        <v>38</v>
      </c>
      <c r="G1261" s="1" t="s">
        <v>7</v>
      </c>
    </row>
    <row r="1262" spans="1:7" hidden="1">
      <c r="A1262" t="s">
        <v>81</v>
      </c>
      <c r="B1262" s="1" t="s">
        <v>37</v>
      </c>
      <c r="C1262" s="2">
        <v>1992</v>
      </c>
      <c r="D1262" s="2">
        <v>96</v>
      </c>
      <c r="E1262" s="2">
        <v>58</v>
      </c>
      <c r="F1262" s="2">
        <v>38</v>
      </c>
      <c r="G1262" s="1" t="s">
        <v>7</v>
      </c>
    </row>
    <row r="1263" spans="1:7" hidden="1">
      <c r="A1263" t="s">
        <v>81</v>
      </c>
      <c r="B1263" s="1" t="s">
        <v>37</v>
      </c>
      <c r="C1263" s="2">
        <v>1993</v>
      </c>
      <c r="D1263" s="2">
        <v>2</v>
      </c>
      <c r="E1263" s="2">
        <v>2</v>
      </c>
      <c r="F1263" s="1" t="s">
        <v>7</v>
      </c>
      <c r="G1263" s="1" t="s">
        <v>7</v>
      </c>
    </row>
    <row r="1264" spans="1:7" hidden="1">
      <c r="A1264" t="s">
        <v>81</v>
      </c>
      <c r="B1264" s="1" t="s">
        <v>38</v>
      </c>
      <c r="C1264" s="2">
        <v>1993</v>
      </c>
      <c r="D1264" s="2">
        <v>92</v>
      </c>
      <c r="E1264" s="2">
        <v>56</v>
      </c>
      <c r="F1264" s="2">
        <v>36</v>
      </c>
      <c r="G1264" s="1" t="s">
        <v>7</v>
      </c>
    </row>
    <row r="1265" spans="1:7" hidden="1">
      <c r="A1265" t="s">
        <v>81</v>
      </c>
      <c r="B1265" s="1" t="s">
        <v>38</v>
      </c>
      <c r="C1265" s="2">
        <v>1994</v>
      </c>
      <c r="D1265" s="2">
        <v>1</v>
      </c>
      <c r="E1265" s="2">
        <v>1</v>
      </c>
      <c r="F1265" s="1" t="s">
        <v>7</v>
      </c>
      <c r="G1265" s="1" t="s">
        <v>7</v>
      </c>
    </row>
    <row r="1266" spans="1:7" hidden="1">
      <c r="A1266" t="s">
        <v>81</v>
      </c>
      <c r="B1266" s="1" t="s">
        <v>39</v>
      </c>
      <c r="C1266" s="2">
        <v>1994</v>
      </c>
      <c r="D1266" s="2">
        <v>93</v>
      </c>
      <c r="E1266" s="2">
        <v>67</v>
      </c>
      <c r="F1266" s="2">
        <v>26</v>
      </c>
      <c r="G1266" s="1" t="s">
        <v>7</v>
      </c>
    </row>
    <row r="1267" spans="1:7" hidden="1">
      <c r="A1267" t="s">
        <v>81</v>
      </c>
      <c r="B1267" s="1" t="s">
        <v>39</v>
      </c>
      <c r="C1267" s="2">
        <v>1995</v>
      </c>
      <c r="D1267" s="2">
        <v>2</v>
      </c>
      <c r="E1267" s="2">
        <v>2</v>
      </c>
      <c r="F1267" s="1" t="s">
        <v>7</v>
      </c>
      <c r="G1267" s="1" t="s">
        <v>7</v>
      </c>
    </row>
    <row r="1268" spans="1:7" hidden="1">
      <c r="A1268" t="s">
        <v>81</v>
      </c>
      <c r="B1268" s="1" t="s">
        <v>40</v>
      </c>
      <c r="C1268" s="2">
        <v>1995</v>
      </c>
      <c r="D1268" s="2">
        <v>96</v>
      </c>
      <c r="E1268" s="2">
        <v>60</v>
      </c>
      <c r="F1268" s="2">
        <v>36</v>
      </c>
      <c r="G1268" s="1" t="s">
        <v>7</v>
      </c>
    </row>
    <row r="1269" spans="1:7" hidden="1">
      <c r="A1269" t="s">
        <v>81</v>
      </c>
      <c r="B1269" s="1" t="s">
        <v>41</v>
      </c>
      <c r="C1269" s="2">
        <v>1996</v>
      </c>
      <c r="D1269" s="2">
        <v>107</v>
      </c>
      <c r="E1269" s="2">
        <v>71</v>
      </c>
      <c r="F1269" s="2">
        <v>36</v>
      </c>
      <c r="G1269" s="1" t="s">
        <v>7</v>
      </c>
    </row>
    <row r="1270" spans="1:7" hidden="1">
      <c r="A1270" t="s">
        <v>81</v>
      </c>
      <c r="B1270" s="1" t="s">
        <v>41</v>
      </c>
      <c r="C1270" s="2">
        <v>2004</v>
      </c>
      <c r="D1270" s="2">
        <v>1</v>
      </c>
      <c r="E1270" s="1" t="s">
        <v>7</v>
      </c>
      <c r="F1270" s="2">
        <v>1</v>
      </c>
      <c r="G1270" s="1" t="s">
        <v>7</v>
      </c>
    </row>
    <row r="1271" spans="1:7" hidden="1">
      <c r="A1271" t="s">
        <v>81</v>
      </c>
      <c r="B1271" s="1" t="s">
        <v>42</v>
      </c>
      <c r="C1271" s="2">
        <v>1997</v>
      </c>
      <c r="D1271" s="2">
        <v>121</v>
      </c>
      <c r="E1271" s="2">
        <v>66</v>
      </c>
      <c r="F1271" s="2">
        <v>55</v>
      </c>
      <c r="G1271" s="1" t="s">
        <v>7</v>
      </c>
    </row>
    <row r="1272" spans="1:7" hidden="1">
      <c r="A1272" t="s">
        <v>81</v>
      </c>
      <c r="B1272" s="1" t="s">
        <v>42</v>
      </c>
      <c r="C1272" s="2">
        <v>1998</v>
      </c>
      <c r="D1272" s="2">
        <v>1</v>
      </c>
      <c r="E1272" s="2">
        <v>1</v>
      </c>
      <c r="F1272" s="1" t="s">
        <v>7</v>
      </c>
      <c r="G1272" s="1" t="s">
        <v>7</v>
      </c>
    </row>
    <row r="1273" spans="1:7" hidden="1">
      <c r="A1273" t="s">
        <v>81</v>
      </c>
      <c r="B1273" s="1" t="s">
        <v>43</v>
      </c>
      <c r="C1273" s="2">
        <v>1998</v>
      </c>
      <c r="D1273" s="2">
        <v>120</v>
      </c>
      <c r="E1273" s="2">
        <v>69</v>
      </c>
      <c r="F1273" s="2">
        <v>51</v>
      </c>
      <c r="G1273" s="1" t="s">
        <v>7</v>
      </c>
    </row>
    <row r="1274" spans="1:7" hidden="1">
      <c r="A1274" t="s">
        <v>81</v>
      </c>
      <c r="B1274" s="1" t="s">
        <v>43</v>
      </c>
      <c r="C1274" s="2">
        <v>2012</v>
      </c>
      <c r="D1274" s="2">
        <v>1</v>
      </c>
      <c r="E1274" s="2">
        <v>1</v>
      </c>
      <c r="F1274" s="1" t="s">
        <v>7</v>
      </c>
      <c r="G1274" s="1" t="s">
        <v>7</v>
      </c>
    </row>
    <row r="1275" spans="1:7" hidden="1">
      <c r="A1275" t="s">
        <v>81</v>
      </c>
      <c r="B1275" s="1" t="s">
        <v>44</v>
      </c>
      <c r="C1275" s="2">
        <v>1999</v>
      </c>
      <c r="D1275" s="2">
        <v>104</v>
      </c>
      <c r="E1275" s="2">
        <v>64</v>
      </c>
      <c r="F1275" s="2">
        <v>40</v>
      </c>
      <c r="G1275" s="1" t="s">
        <v>7</v>
      </c>
    </row>
    <row r="1276" spans="1:7" hidden="1">
      <c r="A1276" t="s">
        <v>81</v>
      </c>
      <c r="B1276" s="1" t="s">
        <v>44</v>
      </c>
      <c r="C1276" s="2">
        <v>2013</v>
      </c>
      <c r="D1276" s="2">
        <v>1</v>
      </c>
      <c r="E1276" s="1" t="s">
        <v>7</v>
      </c>
      <c r="F1276" s="2">
        <v>1</v>
      </c>
      <c r="G1276" s="1" t="s">
        <v>7</v>
      </c>
    </row>
    <row r="1277" spans="1:7" hidden="1">
      <c r="A1277" t="s">
        <v>81</v>
      </c>
      <c r="B1277" s="1" t="s">
        <v>45</v>
      </c>
      <c r="C1277" s="2">
        <v>2000</v>
      </c>
      <c r="D1277" s="2">
        <v>115</v>
      </c>
      <c r="E1277" s="2">
        <v>74</v>
      </c>
      <c r="F1277" s="2">
        <v>41</v>
      </c>
      <c r="G1277" s="1" t="s">
        <v>7</v>
      </c>
    </row>
    <row r="1278" spans="1:7" hidden="1">
      <c r="A1278" t="s">
        <v>81</v>
      </c>
      <c r="B1278" s="1" t="s">
        <v>45</v>
      </c>
      <c r="C1278" s="2">
        <v>2001</v>
      </c>
      <c r="D1278" s="2">
        <v>2</v>
      </c>
      <c r="E1278" s="2">
        <v>1</v>
      </c>
      <c r="F1278" s="2">
        <v>1</v>
      </c>
      <c r="G1278" s="1" t="s">
        <v>7</v>
      </c>
    </row>
    <row r="1279" spans="1:7" hidden="1">
      <c r="A1279" t="s">
        <v>81</v>
      </c>
      <c r="B1279" s="1" t="s">
        <v>46</v>
      </c>
      <c r="C1279" s="2">
        <v>2001</v>
      </c>
      <c r="D1279" s="2">
        <v>108</v>
      </c>
      <c r="E1279" s="2">
        <v>56</v>
      </c>
      <c r="F1279" s="2">
        <v>52</v>
      </c>
      <c r="G1279" s="1" t="s">
        <v>7</v>
      </c>
    </row>
    <row r="1280" spans="1:7" hidden="1">
      <c r="A1280" t="s">
        <v>81</v>
      </c>
      <c r="B1280" s="1" t="s">
        <v>47</v>
      </c>
      <c r="C1280" s="2">
        <v>2002</v>
      </c>
      <c r="D1280" s="2">
        <v>125</v>
      </c>
      <c r="E1280" s="2">
        <v>64</v>
      </c>
      <c r="F1280" s="2">
        <v>61</v>
      </c>
      <c r="G1280" s="1" t="s">
        <v>7</v>
      </c>
    </row>
    <row r="1281" spans="1:7" hidden="1">
      <c r="A1281" t="s">
        <v>81</v>
      </c>
      <c r="B1281" s="1" t="s">
        <v>47</v>
      </c>
      <c r="C1281" s="2">
        <v>2003</v>
      </c>
      <c r="D1281" s="2">
        <v>1</v>
      </c>
      <c r="E1281" s="2">
        <v>1</v>
      </c>
      <c r="F1281" s="1" t="s">
        <v>7</v>
      </c>
      <c r="G1281" s="1" t="s">
        <v>7</v>
      </c>
    </row>
    <row r="1282" spans="1:7" hidden="1">
      <c r="A1282" t="s">
        <v>81</v>
      </c>
      <c r="B1282" s="1" t="s">
        <v>48</v>
      </c>
      <c r="C1282" s="2">
        <v>2003</v>
      </c>
      <c r="D1282" s="2">
        <v>115</v>
      </c>
      <c r="E1282" s="2">
        <v>66</v>
      </c>
      <c r="F1282" s="2">
        <v>48</v>
      </c>
      <c r="G1282" s="2">
        <v>1</v>
      </c>
    </row>
    <row r="1283" spans="1:7" hidden="1">
      <c r="A1283" t="s">
        <v>81</v>
      </c>
      <c r="B1283" s="1" t="s">
        <v>48</v>
      </c>
      <c r="C1283" s="2">
        <v>2004</v>
      </c>
      <c r="D1283" s="2">
        <v>1</v>
      </c>
      <c r="E1283" s="1" t="s">
        <v>7</v>
      </c>
      <c r="F1283" s="2">
        <v>1</v>
      </c>
      <c r="G1283" s="1" t="s">
        <v>7</v>
      </c>
    </row>
    <row r="1284" spans="1:7" hidden="1">
      <c r="A1284" t="s">
        <v>81</v>
      </c>
      <c r="B1284" s="1" t="s">
        <v>49</v>
      </c>
      <c r="C1284" s="2">
        <v>2004</v>
      </c>
      <c r="D1284" s="2">
        <v>132</v>
      </c>
      <c r="E1284" s="2">
        <v>79</v>
      </c>
      <c r="F1284" s="2">
        <v>53</v>
      </c>
      <c r="G1284" s="1" t="s">
        <v>7</v>
      </c>
    </row>
    <row r="1285" spans="1:7" hidden="1">
      <c r="A1285" t="s">
        <v>81</v>
      </c>
      <c r="B1285" s="1" t="s">
        <v>49</v>
      </c>
      <c r="C1285" s="2">
        <v>2005</v>
      </c>
      <c r="D1285" s="2">
        <v>2</v>
      </c>
      <c r="E1285" s="2">
        <v>2</v>
      </c>
      <c r="F1285" s="1" t="s">
        <v>7</v>
      </c>
      <c r="G1285" s="1" t="s">
        <v>7</v>
      </c>
    </row>
    <row r="1286" spans="1:7" hidden="1">
      <c r="A1286" t="s">
        <v>81</v>
      </c>
      <c r="B1286" s="1" t="s">
        <v>50</v>
      </c>
      <c r="C1286" s="2">
        <v>2005</v>
      </c>
      <c r="D1286" s="2">
        <v>132</v>
      </c>
      <c r="E1286" s="2">
        <v>84</v>
      </c>
      <c r="F1286" s="2">
        <v>48</v>
      </c>
      <c r="G1286" s="1" t="s">
        <v>7</v>
      </c>
    </row>
    <row r="1287" spans="1:7" hidden="1">
      <c r="A1287" t="s">
        <v>81</v>
      </c>
      <c r="B1287" s="1" t="s">
        <v>51</v>
      </c>
      <c r="C1287" s="2">
        <v>2006</v>
      </c>
      <c r="D1287" s="2">
        <v>142</v>
      </c>
      <c r="E1287" s="2">
        <v>83</v>
      </c>
      <c r="F1287" s="2">
        <v>59</v>
      </c>
      <c r="G1287" s="1" t="s">
        <v>7</v>
      </c>
    </row>
    <row r="1288" spans="1:7" hidden="1">
      <c r="A1288" t="s">
        <v>81</v>
      </c>
      <c r="B1288" s="1" t="s">
        <v>52</v>
      </c>
      <c r="C1288" s="2">
        <v>2007</v>
      </c>
      <c r="D1288" s="2">
        <v>167</v>
      </c>
      <c r="E1288" s="2">
        <v>112</v>
      </c>
      <c r="F1288" s="2">
        <v>55</v>
      </c>
      <c r="G1288" s="1" t="s">
        <v>7</v>
      </c>
    </row>
    <row r="1289" spans="1:7" hidden="1">
      <c r="A1289" t="s">
        <v>81</v>
      </c>
      <c r="B1289" s="1" t="s">
        <v>53</v>
      </c>
      <c r="C1289" s="2">
        <v>2008</v>
      </c>
      <c r="D1289" s="2">
        <v>162</v>
      </c>
      <c r="E1289" s="2">
        <v>86</v>
      </c>
      <c r="F1289" s="2">
        <v>76</v>
      </c>
      <c r="G1289" s="1" t="s">
        <v>7</v>
      </c>
    </row>
    <row r="1290" spans="1:7" hidden="1">
      <c r="A1290" t="s">
        <v>81</v>
      </c>
      <c r="B1290" s="1" t="s">
        <v>54</v>
      </c>
      <c r="C1290" s="2">
        <v>2009</v>
      </c>
      <c r="D1290" s="2">
        <v>150</v>
      </c>
      <c r="E1290" s="2">
        <v>98</v>
      </c>
      <c r="F1290" s="2">
        <v>52</v>
      </c>
      <c r="G1290" s="1" t="s">
        <v>7</v>
      </c>
    </row>
    <row r="1291" spans="1:7" hidden="1">
      <c r="A1291" t="s">
        <v>81</v>
      </c>
      <c r="B1291" s="1" t="s">
        <v>54</v>
      </c>
      <c r="C1291" s="2">
        <v>2010</v>
      </c>
      <c r="D1291" s="2">
        <v>2</v>
      </c>
      <c r="E1291" s="2">
        <v>2</v>
      </c>
      <c r="F1291" s="1" t="s">
        <v>7</v>
      </c>
      <c r="G1291" s="1" t="s">
        <v>7</v>
      </c>
    </row>
    <row r="1292" spans="1:7" hidden="1">
      <c r="A1292" t="s">
        <v>81</v>
      </c>
      <c r="B1292" s="1" t="s">
        <v>55</v>
      </c>
      <c r="C1292" s="2">
        <v>2010</v>
      </c>
      <c r="D1292" s="2">
        <v>161</v>
      </c>
      <c r="E1292" s="2">
        <v>117</v>
      </c>
      <c r="F1292" s="2">
        <v>44</v>
      </c>
      <c r="G1292" s="1" t="s">
        <v>7</v>
      </c>
    </row>
    <row r="1293" spans="1:7" hidden="1">
      <c r="A1293" t="s">
        <v>81</v>
      </c>
      <c r="B1293" s="1" t="s">
        <v>56</v>
      </c>
      <c r="C1293" s="2">
        <v>2011</v>
      </c>
      <c r="D1293" s="2">
        <v>162</v>
      </c>
      <c r="E1293" s="2">
        <v>107</v>
      </c>
      <c r="F1293" s="2">
        <v>55</v>
      </c>
      <c r="G1293" s="1" t="s">
        <v>7</v>
      </c>
    </row>
    <row r="1294" spans="1:7" hidden="1">
      <c r="A1294" t="s">
        <v>81</v>
      </c>
      <c r="B1294" s="1" t="s">
        <v>57</v>
      </c>
      <c r="C1294" s="2">
        <v>2012</v>
      </c>
      <c r="D1294" s="2">
        <v>198</v>
      </c>
      <c r="E1294" s="2">
        <v>117</v>
      </c>
      <c r="F1294" s="2">
        <v>81</v>
      </c>
      <c r="G1294" s="1" t="s">
        <v>7</v>
      </c>
    </row>
    <row r="1295" spans="1:7" hidden="1">
      <c r="A1295" t="s">
        <v>81</v>
      </c>
      <c r="B1295" s="1" t="s">
        <v>58</v>
      </c>
      <c r="C1295" s="2">
        <v>2013</v>
      </c>
      <c r="D1295" s="2">
        <v>189</v>
      </c>
      <c r="E1295" s="2">
        <v>114</v>
      </c>
      <c r="F1295" s="2">
        <v>75</v>
      </c>
      <c r="G1295" s="1" t="s">
        <v>7</v>
      </c>
    </row>
    <row r="1296" spans="1:7" hidden="1">
      <c r="A1296" t="s">
        <v>81</v>
      </c>
      <c r="B1296" s="1" t="s">
        <v>58</v>
      </c>
      <c r="C1296" s="2">
        <v>2014</v>
      </c>
      <c r="D1296" s="2">
        <v>5</v>
      </c>
      <c r="E1296" s="2">
        <v>4</v>
      </c>
      <c r="F1296" s="2">
        <v>1</v>
      </c>
      <c r="G1296" s="1" t="s">
        <v>7</v>
      </c>
    </row>
    <row r="1297" spans="1:7" hidden="1">
      <c r="A1297" t="s">
        <v>81</v>
      </c>
      <c r="B1297" s="1" t="s">
        <v>59</v>
      </c>
      <c r="C1297" s="2">
        <v>2014</v>
      </c>
      <c r="D1297" s="2">
        <v>200</v>
      </c>
      <c r="E1297" s="2">
        <v>137</v>
      </c>
      <c r="F1297" s="2">
        <v>63</v>
      </c>
      <c r="G1297" s="1" t="s">
        <v>7</v>
      </c>
    </row>
    <row r="1298" spans="1:7" hidden="1">
      <c r="A1298" t="s">
        <v>81</v>
      </c>
      <c r="B1298" s="1" t="s">
        <v>60</v>
      </c>
      <c r="C1298" s="2">
        <v>2015</v>
      </c>
      <c r="D1298" s="2">
        <v>196</v>
      </c>
      <c r="E1298" s="2">
        <v>122</v>
      </c>
      <c r="F1298" s="2">
        <v>74</v>
      </c>
      <c r="G1298" s="1" t="s">
        <v>7</v>
      </c>
    </row>
    <row r="1299" spans="1:7" hidden="1">
      <c r="A1299" t="s">
        <v>81</v>
      </c>
      <c r="B1299" s="1" t="s">
        <v>60</v>
      </c>
      <c r="C1299" s="2">
        <v>2016</v>
      </c>
      <c r="D1299" s="2">
        <v>1</v>
      </c>
      <c r="E1299" s="2">
        <v>1</v>
      </c>
      <c r="F1299" s="1" t="s">
        <v>7</v>
      </c>
      <c r="G1299" s="1" t="s">
        <v>7</v>
      </c>
    </row>
    <row r="1300" spans="1:7" hidden="1">
      <c r="A1300" t="s">
        <v>81</v>
      </c>
      <c r="B1300" s="1" t="s">
        <v>61</v>
      </c>
      <c r="C1300" s="2">
        <v>2016</v>
      </c>
      <c r="D1300" s="2">
        <v>198</v>
      </c>
      <c r="E1300" s="2">
        <v>121</v>
      </c>
      <c r="F1300" s="2">
        <v>77</v>
      </c>
      <c r="G1300" s="1" t="s">
        <v>7</v>
      </c>
    </row>
    <row r="1301" spans="1:7" hidden="1">
      <c r="A1301" t="s">
        <v>81</v>
      </c>
      <c r="B1301" s="1" t="s">
        <v>62</v>
      </c>
      <c r="C1301" s="2">
        <v>2017</v>
      </c>
      <c r="D1301" s="2">
        <v>245</v>
      </c>
      <c r="E1301" s="2">
        <v>164</v>
      </c>
      <c r="F1301" s="2">
        <v>81</v>
      </c>
      <c r="G1301" s="1" t="s">
        <v>7</v>
      </c>
    </row>
    <row r="1302" spans="1:7" hidden="1">
      <c r="A1302" t="s">
        <v>81</v>
      </c>
      <c r="B1302" s="1" t="s">
        <v>62</v>
      </c>
      <c r="C1302" s="2">
        <v>2018</v>
      </c>
      <c r="D1302" s="2">
        <v>1</v>
      </c>
      <c r="E1302" s="2">
        <v>1</v>
      </c>
      <c r="F1302" s="1" t="s">
        <v>7</v>
      </c>
      <c r="G1302" s="1" t="s">
        <v>7</v>
      </c>
    </row>
    <row r="1303" spans="1:7" hidden="1">
      <c r="A1303" t="s">
        <v>81</v>
      </c>
      <c r="B1303" s="1" t="s">
        <v>63</v>
      </c>
      <c r="C1303" s="2">
        <v>2018</v>
      </c>
      <c r="D1303" s="2">
        <v>232</v>
      </c>
      <c r="E1303" s="2">
        <v>167</v>
      </c>
      <c r="F1303" s="2">
        <v>65</v>
      </c>
      <c r="G1303" s="1" t="s">
        <v>7</v>
      </c>
    </row>
    <row r="1304" spans="1:7" hidden="1">
      <c r="A1304" t="s">
        <v>81</v>
      </c>
      <c r="B1304" s="1" t="s">
        <v>64</v>
      </c>
      <c r="C1304" s="2">
        <v>2019</v>
      </c>
      <c r="D1304" s="2">
        <v>240</v>
      </c>
      <c r="E1304" s="2">
        <v>160</v>
      </c>
      <c r="F1304" s="2">
        <v>80</v>
      </c>
      <c r="G1304" s="1" t="s">
        <v>7</v>
      </c>
    </row>
    <row r="1305" spans="1:7" hidden="1">
      <c r="A1305" t="s">
        <v>81</v>
      </c>
      <c r="B1305" s="1" t="s">
        <v>64</v>
      </c>
      <c r="C1305" s="2">
        <v>2020</v>
      </c>
      <c r="D1305" s="2">
        <v>1</v>
      </c>
      <c r="E1305" s="2">
        <v>1</v>
      </c>
      <c r="F1305" s="1" t="s">
        <v>7</v>
      </c>
      <c r="G1305" s="1" t="s">
        <v>7</v>
      </c>
    </row>
    <row r="1306" spans="1:7" hidden="1">
      <c r="A1306" t="s">
        <v>81</v>
      </c>
      <c r="B1306" s="1" t="s">
        <v>64</v>
      </c>
      <c r="C1306" s="2">
        <v>2021</v>
      </c>
      <c r="D1306" s="2">
        <v>1</v>
      </c>
      <c r="E1306" s="2">
        <v>1</v>
      </c>
      <c r="F1306" s="1" t="s">
        <v>7</v>
      </c>
      <c r="G1306" s="1" t="s">
        <v>7</v>
      </c>
    </row>
    <row r="1307" spans="1:7" hidden="1">
      <c r="A1307" t="s">
        <v>81</v>
      </c>
      <c r="B1307" s="1" t="s">
        <v>65</v>
      </c>
      <c r="C1307" s="2">
        <v>2020</v>
      </c>
      <c r="D1307" s="2">
        <v>338</v>
      </c>
      <c r="E1307" s="2">
        <v>213</v>
      </c>
      <c r="F1307" s="2">
        <v>125</v>
      </c>
      <c r="G1307" s="1" t="s">
        <v>7</v>
      </c>
    </row>
    <row r="1308" spans="1:7" hidden="1">
      <c r="A1308" t="s">
        <v>81</v>
      </c>
      <c r="B1308" s="1" t="s">
        <v>66</v>
      </c>
      <c r="C1308" s="2">
        <v>2021</v>
      </c>
      <c r="D1308" s="2">
        <v>425</v>
      </c>
      <c r="E1308" s="2">
        <v>276</v>
      </c>
      <c r="F1308" s="2">
        <v>149</v>
      </c>
      <c r="G1308" s="1" t="s">
        <v>7</v>
      </c>
    </row>
    <row r="1309" spans="1:7" hidden="1">
      <c r="A1309" t="s">
        <v>81</v>
      </c>
      <c r="B1309" s="1" t="s">
        <v>67</v>
      </c>
      <c r="C1309" s="2">
        <v>2022</v>
      </c>
      <c r="D1309" s="2">
        <v>293</v>
      </c>
      <c r="E1309" s="2">
        <v>204</v>
      </c>
      <c r="F1309" s="2">
        <v>89</v>
      </c>
      <c r="G1309" s="1" t="s">
        <v>7</v>
      </c>
    </row>
    <row r="1310" spans="1:7" hidden="1">
      <c r="A1310" t="s">
        <v>81</v>
      </c>
      <c r="B1310" s="1" t="s">
        <v>67</v>
      </c>
      <c r="C1310" s="2">
        <v>2023</v>
      </c>
      <c r="D1310" s="2">
        <v>3</v>
      </c>
      <c r="E1310" s="2">
        <v>3</v>
      </c>
      <c r="F1310" s="1" t="s">
        <v>7</v>
      </c>
      <c r="G1310" s="1" t="s">
        <v>7</v>
      </c>
    </row>
    <row r="1311" spans="1:7" hidden="1">
      <c r="A1311" t="s">
        <v>81</v>
      </c>
      <c r="B1311" s="1" t="s">
        <v>68</v>
      </c>
      <c r="C1311" s="2">
        <v>2023</v>
      </c>
      <c r="D1311" s="2">
        <v>277</v>
      </c>
      <c r="E1311" s="2">
        <v>191</v>
      </c>
      <c r="F1311" s="2">
        <v>86</v>
      </c>
      <c r="G1311" s="1" t="s">
        <v>7</v>
      </c>
    </row>
    <row r="1312" spans="1:7" hidden="1">
      <c r="A1312" t="s">
        <v>81</v>
      </c>
      <c r="B1312" s="1" t="s">
        <v>68</v>
      </c>
      <c r="C1312" s="2">
        <v>2024</v>
      </c>
      <c r="D1312" s="2">
        <v>1</v>
      </c>
      <c r="E1312" s="2">
        <v>1</v>
      </c>
      <c r="F1312" s="1" t="s">
        <v>7</v>
      </c>
      <c r="G1312" s="1" t="s">
        <v>7</v>
      </c>
    </row>
    <row r="1313" spans="1:7" hidden="1">
      <c r="A1313" t="s">
        <v>81</v>
      </c>
      <c r="B1313" s="1" t="s">
        <v>69</v>
      </c>
      <c r="C1313" s="2">
        <v>2024</v>
      </c>
      <c r="D1313" s="2">
        <v>296</v>
      </c>
      <c r="E1313" s="2">
        <v>203</v>
      </c>
      <c r="F1313" s="2">
        <v>93</v>
      </c>
      <c r="G1313" s="1" t="s">
        <v>7</v>
      </c>
    </row>
    <row r="1314" spans="1:7" hidden="1">
      <c r="A1314" t="s">
        <v>81</v>
      </c>
      <c r="B1314" s="1" t="s">
        <v>6</v>
      </c>
      <c r="C1314" s="2">
        <v>1990</v>
      </c>
      <c r="D1314" s="2">
        <v>3</v>
      </c>
      <c r="E1314" s="2">
        <v>3</v>
      </c>
      <c r="F1314" s="1" t="s">
        <v>7</v>
      </c>
      <c r="G1314" s="1" t="s">
        <v>7</v>
      </c>
    </row>
    <row r="1315" spans="1:7" hidden="1">
      <c r="A1315" t="s">
        <v>81</v>
      </c>
      <c r="B1315" s="1" t="s">
        <v>6</v>
      </c>
      <c r="C1315" s="2">
        <v>1991</v>
      </c>
      <c r="D1315" s="2">
        <v>2</v>
      </c>
      <c r="E1315" s="2">
        <v>2</v>
      </c>
      <c r="F1315" s="1" t="s">
        <v>7</v>
      </c>
      <c r="G1315" s="1" t="s">
        <v>7</v>
      </c>
    </row>
    <row r="1316" spans="1:7" hidden="1">
      <c r="A1316" t="s">
        <v>81</v>
      </c>
      <c r="B1316" s="1" t="s">
        <v>6</v>
      </c>
      <c r="C1316" s="2">
        <v>1992</v>
      </c>
      <c r="D1316" s="2">
        <v>8</v>
      </c>
      <c r="E1316" s="2">
        <v>8</v>
      </c>
      <c r="F1316" s="1" t="s">
        <v>7</v>
      </c>
      <c r="G1316" s="1" t="s">
        <v>7</v>
      </c>
    </row>
    <row r="1317" spans="1:7" hidden="1">
      <c r="A1317" t="s">
        <v>81</v>
      </c>
      <c r="B1317" s="1" t="s">
        <v>6</v>
      </c>
      <c r="C1317" s="2">
        <v>1993</v>
      </c>
      <c r="D1317" s="2">
        <v>2</v>
      </c>
      <c r="E1317" s="2">
        <v>2</v>
      </c>
      <c r="F1317" s="1" t="s">
        <v>7</v>
      </c>
      <c r="G1317" s="1" t="s">
        <v>7</v>
      </c>
    </row>
    <row r="1318" spans="1:7" hidden="1">
      <c r="A1318" t="s">
        <v>81</v>
      </c>
      <c r="B1318" s="1" t="s">
        <v>6</v>
      </c>
      <c r="C1318" s="2">
        <v>2021</v>
      </c>
      <c r="D1318" s="2">
        <v>1</v>
      </c>
      <c r="E1318" s="2">
        <v>1</v>
      </c>
      <c r="F1318" s="1" t="s">
        <v>7</v>
      </c>
      <c r="G1318" s="1" t="s">
        <v>7</v>
      </c>
    </row>
    <row r="1319" spans="1:7" hidden="1">
      <c r="A1319" t="s">
        <v>81</v>
      </c>
      <c r="B1319" s="1" t="s">
        <v>6</v>
      </c>
      <c r="C1319" s="2">
        <v>2023</v>
      </c>
      <c r="D1319" s="2">
        <v>1</v>
      </c>
      <c r="E1319" s="2">
        <v>1</v>
      </c>
      <c r="F1319" s="1" t="s">
        <v>7</v>
      </c>
      <c r="G1319" s="1" t="s">
        <v>7</v>
      </c>
    </row>
    <row r="1320" spans="1:7" hidden="1">
      <c r="A1320" t="s">
        <v>82</v>
      </c>
      <c r="B1320" s="1" t="s">
        <v>3</v>
      </c>
      <c r="C1320" s="2">
        <v>1990</v>
      </c>
      <c r="D1320" s="2">
        <v>125</v>
      </c>
      <c r="E1320" s="2">
        <v>79</v>
      </c>
      <c r="F1320" s="2">
        <v>46</v>
      </c>
      <c r="G1320" s="1" t="s">
        <v>7</v>
      </c>
    </row>
    <row r="1321" spans="1:7" hidden="1">
      <c r="A1321" t="s">
        <v>82</v>
      </c>
      <c r="B1321" s="1" t="s">
        <v>3</v>
      </c>
      <c r="C1321" s="2">
        <v>1991</v>
      </c>
      <c r="D1321" s="2">
        <v>113</v>
      </c>
      <c r="E1321" s="2">
        <v>77</v>
      </c>
      <c r="F1321" s="2">
        <v>36</v>
      </c>
      <c r="G1321" s="1" t="s">
        <v>7</v>
      </c>
    </row>
    <row r="1322" spans="1:7" hidden="1">
      <c r="A1322" t="s">
        <v>82</v>
      </c>
      <c r="B1322" s="1" t="s">
        <v>3</v>
      </c>
      <c r="C1322" s="2">
        <v>1992</v>
      </c>
      <c r="D1322" s="2">
        <v>112</v>
      </c>
      <c r="E1322" s="2">
        <v>76</v>
      </c>
      <c r="F1322" s="2">
        <v>36</v>
      </c>
      <c r="G1322" s="1" t="s">
        <v>7</v>
      </c>
    </row>
    <row r="1323" spans="1:7" hidden="1">
      <c r="A1323" t="s">
        <v>82</v>
      </c>
      <c r="B1323" s="1" t="s">
        <v>3</v>
      </c>
      <c r="C1323" s="2">
        <v>1993</v>
      </c>
      <c r="D1323" s="2">
        <v>133</v>
      </c>
      <c r="E1323" s="2">
        <v>69</v>
      </c>
      <c r="F1323" s="2">
        <v>64</v>
      </c>
      <c r="G1323" s="1" t="s">
        <v>7</v>
      </c>
    </row>
    <row r="1324" spans="1:7" hidden="1">
      <c r="A1324" t="s">
        <v>82</v>
      </c>
      <c r="B1324" s="1" t="s">
        <v>3</v>
      </c>
      <c r="C1324" s="2">
        <v>1994</v>
      </c>
      <c r="D1324" s="2">
        <v>112</v>
      </c>
      <c r="E1324" s="2">
        <v>67</v>
      </c>
      <c r="F1324" s="2">
        <v>45</v>
      </c>
      <c r="G1324" s="1" t="s">
        <v>7</v>
      </c>
    </row>
    <row r="1325" spans="1:7" hidden="1">
      <c r="A1325" t="s">
        <v>82</v>
      </c>
      <c r="B1325" s="1" t="s">
        <v>3</v>
      </c>
      <c r="C1325" s="2">
        <v>1995</v>
      </c>
      <c r="D1325" s="2">
        <v>124</v>
      </c>
      <c r="E1325" s="2">
        <v>74</v>
      </c>
      <c r="F1325" s="2">
        <v>50</v>
      </c>
      <c r="G1325" s="1" t="s">
        <v>7</v>
      </c>
    </row>
    <row r="1326" spans="1:7" hidden="1">
      <c r="A1326" t="s">
        <v>82</v>
      </c>
      <c r="B1326" s="1" t="s">
        <v>3</v>
      </c>
      <c r="C1326" s="2">
        <v>1996</v>
      </c>
      <c r="D1326" s="2">
        <v>114</v>
      </c>
      <c r="E1326" s="2">
        <v>63</v>
      </c>
      <c r="F1326" s="2">
        <v>51</v>
      </c>
      <c r="G1326" s="1" t="s">
        <v>7</v>
      </c>
    </row>
    <row r="1327" spans="1:7" hidden="1">
      <c r="A1327" t="s">
        <v>82</v>
      </c>
      <c r="B1327" s="1" t="s">
        <v>3</v>
      </c>
      <c r="C1327" s="2">
        <v>1997</v>
      </c>
      <c r="D1327" s="2">
        <v>115</v>
      </c>
      <c r="E1327" s="2">
        <v>72</v>
      </c>
      <c r="F1327" s="2">
        <v>43</v>
      </c>
      <c r="G1327" s="1" t="s">
        <v>7</v>
      </c>
    </row>
    <row r="1328" spans="1:7" hidden="1">
      <c r="A1328" t="s">
        <v>82</v>
      </c>
      <c r="B1328" s="1" t="s">
        <v>3</v>
      </c>
      <c r="C1328" s="2">
        <v>1998</v>
      </c>
      <c r="D1328" s="2">
        <v>129</v>
      </c>
      <c r="E1328" s="2">
        <v>65</v>
      </c>
      <c r="F1328" s="2">
        <v>64</v>
      </c>
      <c r="G1328" s="1" t="s">
        <v>7</v>
      </c>
    </row>
    <row r="1329" spans="1:7" hidden="1">
      <c r="A1329" t="s">
        <v>82</v>
      </c>
      <c r="B1329" s="1" t="s">
        <v>3</v>
      </c>
      <c r="C1329" s="2">
        <v>1999</v>
      </c>
      <c r="D1329" s="2">
        <v>143</v>
      </c>
      <c r="E1329" s="2">
        <v>88</v>
      </c>
      <c r="F1329" s="2">
        <v>55</v>
      </c>
      <c r="G1329" s="1" t="s">
        <v>7</v>
      </c>
    </row>
    <row r="1330" spans="1:7" hidden="1">
      <c r="A1330" t="s">
        <v>82</v>
      </c>
      <c r="B1330" s="1" t="s">
        <v>3</v>
      </c>
      <c r="C1330" s="2">
        <v>2000</v>
      </c>
      <c r="D1330" s="2">
        <v>127</v>
      </c>
      <c r="E1330" s="2">
        <v>80</v>
      </c>
      <c r="F1330" s="2">
        <v>47</v>
      </c>
      <c r="G1330" s="1" t="s">
        <v>7</v>
      </c>
    </row>
    <row r="1331" spans="1:7" hidden="1">
      <c r="A1331" t="s">
        <v>82</v>
      </c>
      <c r="B1331" s="1" t="s">
        <v>3</v>
      </c>
      <c r="C1331" s="2">
        <v>2001</v>
      </c>
      <c r="D1331" s="2">
        <v>129</v>
      </c>
      <c r="E1331" s="2">
        <v>73</v>
      </c>
      <c r="F1331" s="2">
        <v>56</v>
      </c>
      <c r="G1331" s="1" t="s">
        <v>7</v>
      </c>
    </row>
    <row r="1332" spans="1:7" hidden="1">
      <c r="A1332" t="s">
        <v>82</v>
      </c>
      <c r="B1332" s="1" t="s">
        <v>3</v>
      </c>
      <c r="C1332" s="2">
        <v>2002</v>
      </c>
      <c r="D1332" s="2">
        <v>138</v>
      </c>
      <c r="E1332" s="2">
        <v>78</v>
      </c>
      <c r="F1332" s="2">
        <v>60</v>
      </c>
      <c r="G1332" s="1" t="s">
        <v>7</v>
      </c>
    </row>
    <row r="1333" spans="1:7" hidden="1">
      <c r="A1333" t="s">
        <v>82</v>
      </c>
      <c r="B1333" s="1" t="s">
        <v>3</v>
      </c>
      <c r="C1333" s="2">
        <v>2003</v>
      </c>
      <c r="D1333" s="2">
        <v>131</v>
      </c>
      <c r="E1333" s="2">
        <v>69</v>
      </c>
      <c r="F1333" s="2">
        <v>62</v>
      </c>
      <c r="G1333" s="1" t="s">
        <v>7</v>
      </c>
    </row>
    <row r="1334" spans="1:7" hidden="1">
      <c r="A1334" t="s">
        <v>82</v>
      </c>
      <c r="B1334" s="1" t="s">
        <v>3</v>
      </c>
      <c r="C1334" s="2">
        <v>2004</v>
      </c>
      <c r="D1334" s="2">
        <v>133</v>
      </c>
      <c r="E1334" s="2">
        <v>73</v>
      </c>
      <c r="F1334" s="2">
        <v>60</v>
      </c>
      <c r="G1334" s="1" t="s">
        <v>7</v>
      </c>
    </row>
    <row r="1335" spans="1:7" hidden="1">
      <c r="A1335" t="s">
        <v>82</v>
      </c>
      <c r="B1335" s="1" t="s">
        <v>3</v>
      </c>
      <c r="C1335" s="2">
        <v>2005</v>
      </c>
      <c r="D1335" s="2">
        <v>152</v>
      </c>
      <c r="E1335" s="2">
        <v>89</v>
      </c>
      <c r="F1335" s="2">
        <v>63</v>
      </c>
      <c r="G1335" s="1" t="s">
        <v>7</v>
      </c>
    </row>
    <row r="1336" spans="1:7" hidden="1">
      <c r="A1336" t="s">
        <v>82</v>
      </c>
      <c r="B1336" s="1" t="s">
        <v>3</v>
      </c>
      <c r="C1336" s="2">
        <v>2006</v>
      </c>
      <c r="D1336" s="2">
        <v>162</v>
      </c>
      <c r="E1336" s="2">
        <v>106</v>
      </c>
      <c r="F1336" s="2">
        <v>56</v>
      </c>
      <c r="G1336" s="1" t="s">
        <v>7</v>
      </c>
    </row>
    <row r="1337" spans="1:7" hidden="1">
      <c r="A1337" t="s">
        <v>82</v>
      </c>
      <c r="B1337" s="1" t="s">
        <v>3</v>
      </c>
      <c r="C1337" s="2">
        <v>2007</v>
      </c>
      <c r="D1337" s="2">
        <v>175</v>
      </c>
      <c r="E1337" s="2">
        <v>98</v>
      </c>
      <c r="F1337" s="2">
        <v>77</v>
      </c>
      <c r="G1337" s="1" t="s">
        <v>7</v>
      </c>
    </row>
    <row r="1338" spans="1:7" hidden="1">
      <c r="A1338" t="s">
        <v>82</v>
      </c>
      <c r="B1338" s="1" t="s">
        <v>3</v>
      </c>
      <c r="C1338" s="2">
        <v>2008</v>
      </c>
      <c r="D1338" s="2">
        <v>184</v>
      </c>
      <c r="E1338" s="2">
        <v>107</v>
      </c>
      <c r="F1338" s="2">
        <v>77</v>
      </c>
      <c r="G1338" s="1" t="s">
        <v>7</v>
      </c>
    </row>
    <row r="1339" spans="1:7" hidden="1">
      <c r="A1339" t="s">
        <v>82</v>
      </c>
      <c r="B1339" s="1" t="s">
        <v>3</v>
      </c>
      <c r="C1339" s="2">
        <v>2009</v>
      </c>
      <c r="D1339" s="2">
        <v>173</v>
      </c>
      <c r="E1339" s="2">
        <v>102</v>
      </c>
      <c r="F1339" s="2">
        <v>71</v>
      </c>
      <c r="G1339" s="1" t="s">
        <v>7</v>
      </c>
    </row>
    <row r="1340" spans="1:7">
      <c r="A1340" t="s">
        <v>82</v>
      </c>
      <c r="B1340" s="1" t="s">
        <v>3</v>
      </c>
      <c r="C1340" s="2">
        <v>2010</v>
      </c>
      <c r="D1340" s="2">
        <v>189</v>
      </c>
      <c r="E1340" s="2">
        <v>117</v>
      </c>
      <c r="F1340" s="2">
        <v>72</v>
      </c>
      <c r="G1340" s="1" t="s">
        <v>7</v>
      </c>
    </row>
    <row r="1341" spans="1:7" hidden="1">
      <c r="A1341" t="s">
        <v>82</v>
      </c>
      <c r="B1341" s="1" t="s">
        <v>3</v>
      </c>
      <c r="C1341" s="2">
        <v>2011</v>
      </c>
      <c r="D1341" s="2">
        <v>212</v>
      </c>
      <c r="E1341" s="2">
        <v>138</v>
      </c>
      <c r="F1341" s="2">
        <v>74</v>
      </c>
      <c r="G1341" s="1" t="s">
        <v>7</v>
      </c>
    </row>
    <row r="1342" spans="1:7" hidden="1">
      <c r="A1342" t="s">
        <v>82</v>
      </c>
      <c r="B1342" s="1" t="s">
        <v>3</v>
      </c>
      <c r="C1342" s="2">
        <v>2012</v>
      </c>
      <c r="D1342" s="2">
        <v>245</v>
      </c>
      <c r="E1342" s="2">
        <v>154</v>
      </c>
      <c r="F1342" s="2">
        <v>91</v>
      </c>
      <c r="G1342" s="1" t="s">
        <v>7</v>
      </c>
    </row>
    <row r="1343" spans="1:7" hidden="1">
      <c r="A1343" t="s">
        <v>82</v>
      </c>
      <c r="B1343" s="1" t="s">
        <v>3</v>
      </c>
      <c r="C1343" s="2">
        <v>2013</v>
      </c>
      <c r="D1343" s="2">
        <v>246</v>
      </c>
      <c r="E1343" s="2">
        <v>153</v>
      </c>
      <c r="F1343" s="2">
        <v>93</v>
      </c>
      <c r="G1343" s="1" t="s">
        <v>7</v>
      </c>
    </row>
    <row r="1344" spans="1:7" hidden="1">
      <c r="A1344" t="s">
        <v>82</v>
      </c>
      <c r="B1344" s="1" t="s">
        <v>3</v>
      </c>
      <c r="C1344" s="2">
        <v>2014</v>
      </c>
      <c r="D1344" s="2">
        <v>231</v>
      </c>
      <c r="E1344" s="2">
        <v>152</v>
      </c>
      <c r="F1344" s="2">
        <v>79</v>
      </c>
      <c r="G1344" s="1" t="s">
        <v>7</v>
      </c>
    </row>
    <row r="1345" spans="1:7" hidden="1">
      <c r="A1345" t="s">
        <v>82</v>
      </c>
      <c r="B1345" s="1" t="s">
        <v>3</v>
      </c>
      <c r="C1345" s="2">
        <v>2015</v>
      </c>
      <c r="D1345" s="2">
        <v>273</v>
      </c>
      <c r="E1345" s="2">
        <v>173</v>
      </c>
      <c r="F1345" s="2">
        <v>100</v>
      </c>
      <c r="G1345" s="1" t="s">
        <v>7</v>
      </c>
    </row>
    <row r="1346" spans="1:7" hidden="1">
      <c r="A1346" t="s">
        <v>82</v>
      </c>
      <c r="B1346" s="1" t="s">
        <v>3</v>
      </c>
      <c r="C1346" s="2">
        <v>2016</v>
      </c>
      <c r="D1346" s="2">
        <v>280</v>
      </c>
      <c r="E1346" s="2">
        <v>168</v>
      </c>
      <c r="F1346" s="2">
        <v>112</v>
      </c>
      <c r="G1346" s="1" t="s">
        <v>7</v>
      </c>
    </row>
    <row r="1347" spans="1:7" hidden="1">
      <c r="A1347" t="s">
        <v>82</v>
      </c>
      <c r="B1347" s="1" t="s">
        <v>3</v>
      </c>
      <c r="C1347" s="2">
        <v>2017</v>
      </c>
      <c r="D1347" s="2">
        <v>258</v>
      </c>
      <c r="E1347" s="2">
        <v>169</v>
      </c>
      <c r="F1347" s="2">
        <v>89</v>
      </c>
      <c r="G1347" s="1" t="s">
        <v>7</v>
      </c>
    </row>
    <row r="1348" spans="1:7" hidden="1">
      <c r="A1348" t="s">
        <v>82</v>
      </c>
      <c r="B1348" s="1" t="s">
        <v>3</v>
      </c>
      <c r="C1348" s="2">
        <v>2018</v>
      </c>
      <c r="D1348" s="2">
        <v>287</v>
      </c>
      <c r="E1348" s="2">
        <v>171</v>
      </c>
      <c r="F1348" s="2">
        <v>116</v>
      </c>
      <c r="G1348" s="1" t="s">
        <v>7</v>
      </c>
    </row>
    <row r="1349" spans="1:7">
      <c r="A1349" t="s">
        <v>82</v>
      </c>
      <c r="B1349" s="1" t="s">
        <v>3</v>
      </c>
      <c r="C1349" s="2">
        <v>2019</v>
      </c>
      <c r="D1349" s="2">
        <v>293</v>
      </c>
      <c r="E1349" s="2">
        <v>202</v>
      </c>
      <c r="F1349" s="2">
        <v>91</v>
      </c>
      <c r="G1349" s="1" t="s">
        <v>7</v>
      </c>
    </row>
    <row r="1350" spans="1:7" hidden="1">
      <c r="A1350" t="s">
        <v>82</v>
      </c>
      <c r="B1350" s="1" t="s">
        <v>3</v>
      </c>
      <c r="C1350" s="2">
        <v>2020</v>
      </c>
      <c r="D1350" s="2">
        <v>415</v>
      </c>
      <c r="E1350" s="2">
        <v>264</v>
      </c>
      <c r="F1350" s="2">
        <v>151</v>
      </c>
      <c r="G1350" s="1" t="s">
        <v>7</v>
      </c>
    </row>
    <row r="1351" spans="1:7">
      <c r="A1351" t="s">
        <v>82</v>
      </c>
      <c r="B1351" s="1" t="s">
        <v>3</v>
      </c>
      <c r="C1351" s="2">
        <v>2021</v>
      </c>
      <c r="D1351" s="2">
        <v>513</v>
      </c>
      <c r="E1351" s="2">
        <v>314</v>
      </c>
      <c r="F1351" s="2">
        <v>199</v>
      </c>
      <c r="G1351" s="1" t="s">
        <v>7</v>
      </c>
    </row>
    <row r="1352" spans="1:7" hidden="1">
      <c r="A1352" t="s">
        <v>82</v>
      </c>
      <c r="B1352" s="1" t="s">
        <v>3</v>
      </c>
      <c r="C1352" s="2">
        <v>2022</v>
      </c>
      <c r="D1352" s="2">
        <v>352</v>
      </c>
      <c r="E1352" s="2">
        <v>229</v>
      </c>
      <c r="F1352" s="2">
        <v>123</v>
      </c>
      <c r="G1352" s="1" t="s">
        <v>7</v>
      </c>
    </row>
    <row r="1353" spans="1:7" hidden="1">
      <c r="A1353" t="s">
        <v>82</v>
      </c>
      <c r="B1353" s="1" t="s">
        <v>3</v>
      </c>
      <c r="C1353" s="2">
        <v>2023</v>
      </c>
      <c r="D1353" s="2">
        <v>380</v>
      </c>
      <c r="E1353" s="2">
        <v>245</v>
      </c>
      <c r="F1353" s="2">
        <v>135</v>
      </c>
      <c r="G1353" s="1" t="s">
        <v>7</v>
      </c>
    </row>
    <row r="1354" spans="1:7" hidden="1">
      <c r="A1354" t="s">
        <v>82</v>
      </c>
      <c r="B1354" s="1" t="s">
        <v>3</v>
      </c>
      <c r="C1354" s="2">
        <v>2024</v>
      </c>
      <c r="D1354" s="2">
        <v>362</v>
      </c>
      <c r="E1354" s="2">
        <v>213</v>
      </c>
      <c r="F1354" s="2">
        <v>149</v>
      </c>
      <c r="G1354" s="1" t="s">
        <v>7</v>
      </c>
    </row>
    <row r="1355" spans="1:7" hidden="1">
      <c r="A1355" t="s">
        <v>82</v>
      </c>
      <c r="B1355" s="1" t="s">
        <v>25</v>
      </c>
      <c r="C1355" s="2">
        <v>2000</v>
      </c>
      <c r="D1355" s="2">
        <v>1</v>
      </c>
      <c r="E1355" s="2">
        <v>1</v>
      </c>
      <c r="F1355" s="1" t="s">
        <v>7</v>
      </c>
      <c r="G1355" s="1" t="s">
        <v>7</v>
      </c>
    </row>
    <row r="1356" spans="1:7" hidden="1">
      <c r="A1356" t="s">
        <v>82</v>
      </c>
      <c r="B1356" s="1" t="s">
        <v>35</v>
      </c>
      <c r="C1356" s="2">
        <v>1990</v>
      </c>
      <c r="D1356" s="2">
        <v>123</v>
      </c>
      <c r="E1356" s="2">
        <v>78</v>
      </c>
      <c r="F1356" s="2">
        <v>45</v>
      </c>
      <c r="G1356" s="1" t="s">
        <v>7</v>
      </c>
    </row>
    <row r="1357" spans="1:7" hidden="1">
      <c r="A1357" t="s">
        <v>82</v>
      </c>
      <c r="B1357" s="1" t="s">
        <v>36</v>
      </c>
      <c r="C1357" s="2">
        <v>1991</v>
      </c>
      <c r="D1357" s="2">
        <v>112</v>
      </c>
      <c r="E1357" s="2">
        <v>76</v>
      </c>
      <c r="F1357" s="2">
        <v>36</v>
      </c>
      <c r="G1357" s="1" t="s">
        <v>7</v>
      </c>
    </row>
    <row r="1358" spans="1:7" hidden="1">
      <c r="A1358" t="s">
        <v>82</v>
      </c>
      <c r="B1358" s="1" t="s">
        <v>37</v>
      </c>
      <c r="C1358" s="2">
        <v>1992</v>
      </c>
      <c r="D1358" s="2">
        <v>108</v>
      </c>
      <c r="E1358" s="2">
        <v>72</v>
      </c>
      <c r="F1358" s="2">
        <v>36</v>
      </c>
      <c r="G1358" s="1" t="s">
        <v>7</v>
      </c>
    </row>
    <row r="1359" spans="1:7" hidden="1">
      <c r="A1359" t="s">
        <v>82</v>
      </c>
      <c r="B1359" s="1" t="s">
        <v>37</v>
      </c>
      <c r="C1359" s="2">
        <v>1993</v>
      </c>
      <c r="D1359" s="2">
        <v>1</v>
      </c>
      <c r="E1359" s="1" t="s">
        <v>7</v>
      </c>
      <c r="F1359" s="2">
        <v>1</v>
      </c>
      <c r="G1359" s="1" t="s">
        <v>7</v>
      </c>
    </row>
    <row r="1360" spans="1:7" hidden="1">
      <c r="A1360" t="s">
        <v>82</v>
      </c>
      <c r="B1360" s="1" t="s">
        <v>38</v>
      </c>
      <c r="C1360" s="2">
        <v>1993</v>
      </c>
      <c r="D1360" s="2">
        <v>131</v>
      </c>
      <c r="E1360" s="2">
        <v>68</v>
      </c>
      <c r="F1360" s="2">
        <v>63</v>
      </c>
      <c r="G1360" s="1" t="s">
        <v>7</v>
      </c>
    </row>
    <row r="1361" spans="1:7" hidden="1">
      <c r="A1361" t="s">
        <v>82</v>
      </c>
      <c r="B1361" s="1" t="s">
        <v>39</v>
      </c>
      <c r="C1361" s="2">
        <v>1994</v>
      </c>
      <c r="D1361" s="2">
        <v>112</v>
      </c>
      <c r="E1361" s="2">
        <v>67</v>
      </c>
      <c r="F1361" s="2">
        <v>45</v>
      </c>
      <c r="G1361" s="1" t="s">
        <v>7</v>
      </c>
    </row>
    <row r="1362" spans="1:7" hidden="1">
      <c r="A1362" t="s">
        <v>82</v>
      </c>
      <c r="B1362" s="1" t="s">
        <v>40</v>
      </c>
      <c r="C1362" s="2">
        <v>1995</v>
      </c>
      <c r="D1362" s="2">
        <v>123</v>
      </c>
      <c r="E1362" s="2">
        <v>73</v>
      </c>
      <c r="F1362" s="2">
        <v>50</v>
      </c>
      <c r="G1362" s="1" t="s">
        <v>7</v>
      </c>
    </row>
    <row r="1363" spans="1:7" hidden="1">
      <c r="A1363" t="s">
        <v>82</v>
      </c>
      <c r="B1363" s="1" t="s">
        <v>41</v>
      </c>
      <c r="C1363" s="2">
        <v>1996</v>
      </c>
      <c r="D1363" s="2">
        <v>114</v>
      </c>
      <c r="E1363" s="2">
        <v>63</v>
      </c>
      <c r="F1363" s="2">
        <v>51</v>
      </c>
      <c r="G1363" s="1" t="s">
        <v>7</v>
      </c>
    </row>
    <row r="1364" spans="1:7" hidden="1">
      <c r="A1364" t="s">
        <v>82</v>
      </c>
      <c r="B1364" s="1" t="s">
        <v>42</v>
      </c>
      <c r="C1364" s="2">
        <v>1997</v>
      </c>
      <c r="D1364" s="2">
        <v>115</v>
      </c>
      <c r="E1364" s="2">
        <v>72</v>
      </c>
      <c r="F1364" s="2">
        <v>43</v>
      </c>
      <c r="G1364" s="1" t="s">
        <v>7</v>
      </c>
    </row>
    <row r="1365" spans="1:7" hidden="1">
      <c r="A1365" t="s">
        <v>82</v>
      </c>
      <c r="B1365" s="1" t="s">
        <v>43</v>
      </c>
      <c r="C1365" s="2">
        <v>1998</v>
      </c>
      <c r="D1365" s="2">
        <v>129</v>
      </c>
      <c r="E1365" s="2">
        <v>65</v>
      </c>
      <c r="F1365" s="2">
        <v>64</v>
      </c>
      <c r="G1365" s="1" t="s">
        <v>7</v>
      </c>
    </row>
    <row r="1366" spans="1:7" hidden="1">
      <c r="A1366" t="s">
        <v>82</v>
      </c>
      <c r="B1366" s="1" t="s">
        <v>44</v>
      </c>
      <c r="C1366" s="2">
        <v>1999</v>
      </c>
      <c r="D1366" s="2">
        <v>143</v>
      </c>
      <c r="E1366" s="2">
        <v>88</v>
      </c>
      <c r="F1366" s="2">
        <v>55</v>
      </c>
      <c r="G1366" s="1" t="s">
        <v>7</v>
      </c>
    </row>
    <row r="1367" spans="1:7" hidden="1">
      <c r="A1367" t="s">
        <v>82</v>
      </c>
      <c r="B1367" s="1" t="s">
        <v>45</v>
      </c>
      <c r="C1367" s="2">
        <v>2000</v>
      </c>
      <c r="D1367" s="2">
        <v>126</v>
      </c>
      <c r="E1367" s="2">
        <v>79</v>
      </c>
      <c r="F1367" s="2">
        <v>47</v>
      </c>
      <c r="G1367" s="1" t="s">
        <v>7</v>
      </c>
    </row>
    <row r="1368" spans="1:7" hidden="1">
      <c r="A1368" t="s">
        <v>82</v>
      </c>
      <c r="B1368" s="1" t="s">
        <v>46</v>
      </c>
      <c r="C1368" s="2">
        <v>2001</v>
      </c>
      <c r="D1368" s="2">
        <v>129</v>
      </c>
      <c r="E1368" s="2">
        <v>73</v>
      </c>
      <c r="F1368" s="2">
        <v>56</v>
      </c>
      <c r="G1368" s="1" t="s">
        <v>7</v>
      </c>
    </row>
    <row r="1369" spans="1:7" hidden="1">
      <c r="A1369" t="s">
        <v>82</v>
      </c>
      <c r="B1369" s="1" t="s">
        <v>46</v>
      </c>
      <c r="C1369" s="2">
        <v>2002</v>
      </c>
      <c r="D1369" s="2">
        <v>3</v>
      </c>
      <c r="E1369" s="2">
        <v>2</v>
      </c>
      <c r="F1369" s="2">
        <v>1</v>
      </c>
      <c r="G1369" s="1" t="s">
        <v>7</v>
      </c>
    </row>
    <row r="1370" spans="1:7" hidden="1">
      <c r="A1370" t="s">
        <v>82</v>
      </c>
      <c r="B1370" s="1" t="s">
        <v>47</v>
      </c>
      <c r="C1370" s="2">
        <v>2002</v>
      </c>
      <c r="D1370" s="2">
        <v>135</v>
      </c>
      <c r="E1370" s="2">
        <v>76</v>
      </c>
      <c r="F1370" s="2">
        <v>59</v>
      </c>
      <c r="G1370" s="1" t="s">
        <v>7</v>
      </c>
    </row>
    <row r="1371" spans="1:7" hidden="1">
      <c r="A1371" t="s">
        <v>82</v>
      </c>
      <c r="B1371" s="1" t="s">
        <v>47</v>
      </c>
      <c r="C1371" s="2">
        <v>2003</v>
      </c>
      <c r="D1371" s="2">
        <v>1</v>
      </c>
      <c r="E1371" s="2">
        <v>1</v>
      </c>
      <c r="F1371" s="1" t="s">
        <v>7</v>
      </c>
      <c r="G1371" s="1" t="s">
        <v>7</v>
      </c>
    </row>
    <row r="1372" spans="1:7" hidden="1">
      <c r="A1372" t="s">
        <v>82</v>
      </c>
      <c r="B1372" s="1" t="s">
        <v>48</v>
      </c>
      <c r="C1372" s="2">
        <v>2003</v>
      </c>
      <c r="D1372" s="2">
        <v>130</v>
      </c>
      <c r="E1372" s="2">
        <v>68</v>
      </c>
      <c r="F1372" s="2">
        <v>62</v>
      </c>
      <c r="G1372" s="1" t="s">
        <v>7</v>
      </c>
    </row>
    <row r="1373" spans="1:7" hidden="1">
      <c r="A1373" t="s">
        <v>82</v>
      </c>
      <c r="B1373" s="1" t="s">
        <v>49</v>
      </c>
      <c r="C1373" s="2">
        <v>2004</v>
      </c>
      <c r="D1373" s="2">
        <v>133</v>
      </c>
      <c r="E1373" s="2">
        <v>73</v>
      </c>
      <c r="F1373" s="2">
        <v>60</v>
      </c>
      <c r="G1373" s="1" t="s">
        <v>7</v>
      </c>
    </row>
    <row r="1374" spans="1:7" hidden="1">
      <c r="A1374" t="s">
        <v>82</v>
      </c>
      <c r="B1374" s="1" t="s">
        <v>50</v>
      </c>
      <c r="C1374" s="2">
        <v>2005</v>
      </c>
      <c r="D1374" s="2">
        <v>152</v>
      </c>
      <c r="E1374" s="2">
        <v>89</v>
      </c>
      <c r="F1374" s="2">
        <v>63</v>
      </c>
      <c r="G1374" s="1" t="s">
        <v>7</v>
      </c>
    </row>
    <row r="1375" spans="1:7" hidden="1">
      <c r="A1375" t="s">
        <v>82</v>
      </c>
      <c r="B1375" s="1" t="s">
        <v>50</v>
      </c>
      <c r="C1375" s="2">
        <v>2006</v>
      </c>
      <c r="D1375" s="2">
        <v>4</v>
      </c>
      <c r="E1375" s="2">
        <v>2</v>
      </c>
      <c r="F1375" s="2">
        <v>2</v>
      </c>
      <c r="G1375" s="1" t="s">
        <v>7</v>
      </c>
    </row>
    <row r="1376" spans="1:7" hidden="1">
      <c r="A1376" t="s">
        <v>82</v>
      </c>
      <c r="B1376" s="1" t="s">
        <v>51</v>
      </c>
      <c r="C1376" s="2">
        <v>2006</v>
      </c>
      <c r="D1376" s="2">
        <v>158</v>
      </c>
      <c r="E1376" s="2">
        <v>104</v>
      </c>
      <c r="F1376" s="2">
        <v>54</v>
      </c>
      <c r="G1376" s="1" t="s">
        <v>7</v>
      </c>
    </row>
    <row r="1377" spans="1:7" hidden="1">
      <c r="A1377" t="s">
        <v>82</v>
      </c>
      <c r="B1377" s="1" t="s">
        <v>52</v>
      </c>
      <c r="C1377" s="2">
        <v>2007</v>
      </c>
      <c r="D1377" s="2">
        <v>175</v>
      </c>
      <c r="E1377" s="2">
        <v>98</v>
      </c>
      <c r="F1377" s="2">
        <v>77</v>
      </c>
      <c r="G1377" s="1" t="s">
        <v>7</v>
      </c>
    </row>
    <row r="1378" spans="1:7" hidden="1">
      <c r="A1378" t="s">
        <v>82</v>
      </c>
      <c r="B1378" s="1" t="s">
        <v>53</v>
      </c>
      <c r="C1378" s="2">
        <v>2008</v>
      </c>
      <c r="D1378" s="2">
        <v>184</v>
      </c>
      <c r="E1378" s="2">
        <v>107</v>
      </c>
      <c r="F1378" s="2">
        <v>77</v>
      </c>
      <c r="G1378" s="1" t="s">
        <v>7</v>
      </c>
    </row>
    <row r="1379" spans="1:7" hidden="1">
      <c r="A1379" t="s">
        <v>82</v>
      </c>
      <c r="B1379" s="1" t="s">
        <v>54</v>
      </c>
      <c r="C1379" s="2">
        <v>2009</v>
      </c>
      <c r="D1379" s="2">
        <v>173</v>
      </c>
      <c r="E1379" s="2">
        <v>102</v>
      </c>
      <c r="F1379" s="2">
        <v>71</v>
      </c>
      <c r="G1379" s="1" t="s">
        <v>7</v>
      </c>
    </row>
    <row r="1380" spans="1:7" hidden="1">
      <c r="A1380" t="s">
        <v>82</v>
      </c>
      <c r="B1380" s="1" t="s">
        <v>55</v>
      </c>
      <c r="C1380" s="2">
        <v>2010</v>
      </c>
      <c r="D1380" s="2">
        <v>189</v>
      </c>
      <c r="E1380" s="2">
        <v>117</v>
      </c>
      <c r="F1380" s="2">
        <v>72</v>
      </c>
      <c r="G1380" s="1" t="s">
        <v>7</v>
      </c>
    </row>
    <row r="1381" spans="1:7" hidden="1">
      <c r="A1381" t="s">
        <v>82</v>
      </c>
      <c r="B1381" s="1" t="s">
        <v>55</v>
      </c>
      <c r="C1381" s="2">
        <v>2011</v>
      </c>
      <c r="D1381" s="2">
        <v>1</v>
      </c>
      <c r="E1381" s="2">
        <v>1</v>
      </c>
      <c r="F1381" s="1" t="s">
        <v>7</v>
      </c>
      <c r="G1381" s="1" t="s">
        <v>7</v>
      </c>
    </row>
    <row r="1382" spans="1:7" hidden="1">
      <c r="A1382" t="s">
        <v>82</v>
      </c>
      <c r="B1382" s="1" t="s">
        <v>56</v>
      </c>
      <c r="C1382" s="2">
        <v>2011</v>
      </c>
      <c r="D1382" s="2">
        <v>211</v>
      </c>
      <c r="E1382" s="2">
        <v>137</v>
      </c>
      <c r="F1382" s="2">
        <v>74</v>
      </c>
      <c r="G1382" s="1" t="s">
        <v>7</v>
      </c>
    </row>
    <row r="1383" spans="1:7" hidden="1">
      <c r="A1383" t="s">
        <v>82</v>
      </c>
      <c r="B1383" s="1" t="s">
        <v>56</v>
      </c>
      <c r="C1383" s="2">
        <v>2012</v>
      </c>
      <c r="D1383" s="2">
        <v>1</v>
      </c>
      <c r="E1383" s="2">
        <v>1</v>
      </c>
      <c r="F1383" s="1" t="s">
        <v>7</v>
      </c>
      <c r="G1383" s="1" t="s">
        <v>7</v>
      </c>
    </row>
    <row r="1384" spans="1:7" hidden="1">
      <c r="A1384" t="s">
        <v>82</v>
      </c>
      <c r="B1384" s="1" t="s">
        <v>57</v>
      </c>
      <c r="C1384" s="2">
        <v>2012</v>
      </c>
      <c r="D1384" s="2">
        <v>244</v>
      </c>
      <c r="E1384" s="2">
        <v>153</v>
      </c>
      <c r="F1384" s="2">
        <v>91</v>
      </c>
      <c r="G1384" s="1" t="s">
        <v>7</v>
      </c>
    </row>
    <row r="1385" spans="1:7" hidden="1">
      <c r="A1385" t="s">
        <v>82</v>
      </c>
      <c r="B1385" s="1" t="s">
        <v>58</v>
      </c>
      <c r="C1385" s="2">
        <v>2013</v>
      </c>
      <c r="D1385" s="2">
        <v>246</v>
      </c>
      <c r="E1385" s="2">
        <v>153</v>
      </c>
      <c r="F1385" s="2">
        <v>93</v>
      </c>
      <c r="G1385" s="1" t="s">
        <v>7</v>
      </c>
    </row>
    <row r="1386" spans="1:7" hidden="1">
      <c r="A1386" t="s">
        <v>82</v>
      </c>
      <c r="B1386" s="1" t="s">
        <v>58</v>
      </c>
      <c r="C1386" s="2">
        <v>2014</v>
      </c>
      <c r="D1386" s="2">
        <v>1</v>
      </c>
      <c r="E1386" s="1" t="s">
        <v>7</v>
      </c>
      <c r="F1386" s="2">
        <v>1</v>
      </c>
      <c r="G1386" s="1" t="s">
        <v>7</v>
      </c>
    </row>
    <row r="1387" spans="1:7" hidden="1">
      <c r="A1387" t="s">
        <v>82</v>
      </c>
      <c r="B1387" s="1" t="s">
        <v>59</v>
      </c>
      <c r="C1387" s="2">
        <v>2014</v>
      </c>
      <c r="D1387" s="2">
        <v>230</v>
      </c>
      <c r="E1387" s="2">
        <v>152</v>
      </c>
      <c r="F1387" s="2">
        <v>78</v>
      </c>
      <c r="G1387" s="1" t="s">
        <v>7</v>
      </c>
    </row>
    <row r="1388" spans="1:7" hidden="1">
      <c r="A1388" t="s">
        <v>82</v>
      </c>
      <c r="B1388" s="1" t="s">
        <v>59</v>
      </c>
      <c r="C1388" s="2">
        <v>2015</v>
      </c>
      <c r="D1388" s="2">
        <v>1</v>
      </c>
      <c r="E1388" s="1" t="s">
        <v>7</v>
      </c>
      <c r="F1388" s="2">
        <v>1</v>
      </c>
      <c r="G1388" s="1" t="s">
        <v>7</v>
      </c>
    </row>
    <row r="1389" spans="1:7" hidden="1">
      <c r="A1389" t="s">
        <v>82</v>
      </c>
      <c r="B1389" s="1" t="s">
        <v>60</v>
      </c>
      <c r="C1389" s="2">
        <v>2015</v>
      </c>
      <c r="D1389" s="2">
        <v>272</v>
      </c>
      <c r="E1389" s="2">
        <v>173</v>
      </c>
      <c r="F1389" s="2">
        <v>99</v>
      </c>
      <c r="G1389" s="1" t="s">
        <v>7</v>
      </c>
    </row>
    <row r="1390" spans="1:7" hidden="1">
      <c r="A1390" t="s">
        <v>82</v>
      </c>
      <c r="B1390" s="1" t="s">
        <v>60</v>
      </c>
      <c r="C1390" s="2">
        <v>2016</v>
      </c>
      <c r="D1390" s="2">
        <v>2</v>
      </c>
      <c r="E1390" s="2">
        <v>2</v>
      </c>
      <c r="F1390" s="1" t="s">
        <v>7</v>
      </c>
      <c r="G1390" s="1" t="s">
        <v>7</v>
      </c>
    </row>
    <row r="1391" spans="1:7" hidden="1">
      <c r="A1391" t="s">
        <v>82</v>
      </c>
      <c r="B1391" s="1" t="s">
        <v>61</v>
      </c>
      <c r="C1391" s="2">
        <v>2016</v>
      </c>
      <c r="D1391" s="2">
        <v>278</v>
      </c>
      <c r="E1391" s="2">
        <v>166</v>
      </c>
      <c r="F1391" s="2">
        <v>112</v>
      </c>
      <c r="G1391" s="1" t="s">
        <v>7</v>
      </c>
    </row>
    <row r="1392" spans="1:7" hidden="1">
      <c r="A1392" t="s">
        <v>82</v>
      </c>
      <c r="B1392" s="1" t="s">
        <v>61</v>
      </c>
      <c r="C1392" s="2">
        <v>2017</v>
      </c>
      <c r="D1392" s="2">
        <v>1</v>
      </c>
      <c r="E1392" s="2">
        <v>1</v>
      </c>
      <c r="F1392" s="1" t="s">
        <v>7</v>
      </c>
      <c r="G1392" s="1" t="s">
        <v>7</v>
      </c>
    </row>
    <row r="1393" spans="1:7" hidden="1">
      <c r="A1393" t="s">
        <v>82</v>
      </c>
      <c r="B1393" s="1" t="s">
        <v>62</v>
      </c>
      <c r="C1393" s="2">
        <v>2017</v>
      </c>
      <c r="D1393" s="2">
        <v>257</v>
      </c>
      <c r="E1393" s="2">
        <v>168</v>
      </c>
      <c r="F1393" s="2">
        <v>89</v>
      </c>
      <c r="G1393" s="1" t="s">
        <v>7</v>
      </c>
    </row>
    <row r="1394" spans="1:7" hidden="1">
      <c r="A1394" t="s">
        <v>82</v>
      </c>
      <c r="B1394" s="1" t="s">
        <v>63</v>
      </c>
      <c r="C1394" s="2">
        <v>2018</v>
      </c>
      <c r="D1394" s="2">
        <v>287</v>
      </c>
      <c r="E1394" s="2">
        <v>171</v>
      </c>
      <c r="F1394" s="2">
        <v>116</v>
      </c>
      <c r="G1394" s="1" t="s">
        <v>7</v>
      </c>
    </row>
    <row r="1395" spans="1:7" hidden="1">
      <c r="A1395" t="s">
        <v>82</v>
      </c>
      <c r="B1395" s="1" t="s">
        <v>64</v>
      </c>
      <c r="C1395" s="2">
        <v>2019</v>
      </c>
      <c r="D1395" s="2">
        <v>293</v>
      </c>
      <c r="E1395" s="2">
        <v>202</v>
      </c>
      <c r="F1395" s="2">
        <v>91</v>
      </c>
      <c r="G1395" s="1" t="s">
        <v>7</v>
      </c>
    </row>
    <row r="1396" spans="1:7" hidden="1">
      <c r="A1396" t="s">
        <v>82</v>
      </c>
      <c r="B1396" s="1" t="s">
        <v>64</v>
      </c>
      <c r="C1396" s="2">
        <v>2020</v>
      </c>
      <c r="D1396" s="2">
        <v>1</v>
      </c>
      <c r="E1396" s="1" t="s">
        <v>7</v>
      </c>
      <c r="F1396" s="2">
        <v>1</v>
      </c>
      <c r="G1396" s="1" t="s">
        <v>7</v>
      </c>
    </row>
    <row r="1397" spans="1:7" hidden="1">
      <c r="A1397" t="s">
        <v>82</v>
      </c>
      <c r="B1397" s="1" t="s">
        <v>65</v>
      </c>
      <c r="C1397" s="2">
        <v>2020</v>
      </c>
      <c r="D1397" s="2">
        <v>414</v>
      </c>
      <c r="E1397" s="2">
        <v>264</v>
      </c>
      <c r="F1397" s="2">
        <v>150</v>
      </c>
      <c r="G1397" s="1" t="s">
        <v>7</v>
      </c>
    </row>
    <row r="1398" spans="1:7" hidden="1">
      <c r="A1398" t="s">
        <v>82</v>
      </c>
      <c r="B1398" s="1" t="s">
        <v>66</v>
      </c>
      <c r="C1398" s="2">
        <v>2021</v>
      </c>
      <c r="D1398" s="2">
        <v>513</v>
      </c>
      <c r="E1398" s="2">
        <v>314</v>
      </c>
      <c r="F1398" s="2">
        <v>199</v>
      </c>
      <c r="G1398" s="1" t="s">
        <v>7</v>
      </c>
    </row>
    <row r="1399" spans="1:7" hidden="1">
      <c r="A1399" t="s">
        <v>82</v>
      </c>
      <c r="B1399" s="1" t="s">
        <v>66</v>
      </c>
      <c r="C1399" s="2">
        <v>2023</v>
      </c>
      <c r="D1399" s="2">
        <v>1</v>
      </c>
      <c r="E1399" s="2">
        <v>1</v>
      </c>
      <c r="F1399" s="1" t="s">
        <v>7</v>
      </c>
      <c r="G1399" s="1" t="s">
        <v>7</v>
      </c>
    </row>
    <row r="1400" spans="1:7" hidden="1">
      <c r="A1400" t="s">
        <v>82</v>
      </c>
      <c r="B1400" s="1" t="s">
        <v>67</v>
      </c>
      <c r="C1400" s="2">
        <v>2022</v>
      </c>
      <c r="D1400" s="2">
        <v>351</v>
      </c>
      <c r="E1400" s="2">
        <v>228</v>
      </c>
      <c r="F1400" s="2">
        <v>123</v>
      </c>
      <c r="G1400" s="1" t="s">
        <v>7</v>
      </c>
    </row>
    <row r="1401" spans="1:7" hidden="1">
      <c r="A1401" t="s">
        <v>82</v>
      </c>
      <c r="B1401" s="1" t="s">
        <v>67</v>
      </c>
      <c r="C1401" s="2">
        <v>2023</v>
      </c>
      <c r="D1401" s="2">
        <v>2</v>
      </c>
      <c r="E1401" s="1" t="s">
        <v>7</v>
      </c>
      <c r="F1401" s="2">
        <v>2</v>
      </c>
      <c r="G1401" s="1" t="s">
        <v>7</v>
      </c>
    </row>
    <row r="1402" spans="1:7" hidden="1">
      <c r="A1402" t="s">
        <v>82</v>
      </c>
      <c r="B1402" s="1" t="s">
        <v>68</v>
      </c>
      <c r="C1402" s="2">
        <v>2023</v>
      </c>
      <c r="D1402" s="2">
        <v>377</v>
      </c>
      <c r="E1402" s="2">
        <v>244</v>
      </c>
      <c r="F1402" s="2">
        <v>133</v>
      </c>
      <c r="G1402" s="1" t="s">
        <v>7</v>
      </c>
    </row>
    <row r="1403" spans="1:7" hidden="1">
      <c r="A1403" t="s">
        <v>82</v>
      </c>
      <c r="B1403" s="1" t="s">
        <v>69</v>
      </c>
      <c r="C1403" s="2">
        <v>2024</v>
      </c>
      <c r="D1403" s="2">
        <v>362</v>
      </c>
      <c r="E1403" s="2">
        <v>213</v>
      </c>
      <c r="F1403" s="2">
        <v>149</v>
      </c>
      <c r="G1403" s="1" t="s">
        <v>7</v>
      </c>
    </row>
    <row r="1404" spans="1:7" hidden="1">
      <c r="A1404" t="s">
        <v>82</v>
      </c>
      <c r="B1404" s="1" t="s">
        <v>6</v>
      </c>
      <c r="C1404" s="2">
        <v>1990</v>
      </c>
      <c r="D1404" s="2">
        <v>2</v>
      </c>
      <c r="E1404" s="2">
        <v>1</v>
      </c>
      <c r="F1404" s="2">
        <v>1</v>
      </c>
      <c r="G1404" s="1" t="s">
        <v>7</v>
      </c>
    </row>
    <row r="1405" spans="1:7" hidden="1">
      <c r="A1405" t="s">
        <v>82</v>
      </c>
      <c r="B1405" s="1" t="s">
        <v>6</v>
      </c>
      <c r="C1405" s="2">
        <v>1991</v>
      </c>
      <c r="D1405" s="2">
        <v>1</v>
      </c>
      <c r="E1405" s="2">
        <v>1</v>
      </c>
      <c r="F1405" s="1" t="s">
        <v>7</v>
      </c>
      <c r="G1405" s="1" t="s">
        <v>7</v>
      </c>
    </row>
    <row r="1406" spans="1:7" hidden="1">
      <c r="A1406" t="s">
        <v>82</v>
      </c>
      <c r="B1406" s="1" t="s">
        <v>6</v>
      </c>
      <c r="C1406" s="2">
        <v>1992</v>
      </c>
      <c r="D1406" s="2">
        <v>4</v>
      </c>
      <c r="E1406" s="2">
        <v>4</v>
      </c>
      <c r="F1406" s="1" t="s">
        <v>7</v>
      </c>
      <c r="G1406" s="1" t="s">
        <v>7</v>
      </c>
    </row>
    <row r="1407" spans="1:7" hidden="1">
      <c r="A1407" t="s">
        <v>82</v>
      </c>
      <c r="B1407" s="1" t="s">
        <v>6</v>
      </c>
      <c r="C1407" s="2">
        <v>1993</v>
      </c>
      <c r="D1407" s="2">
        <v>1</v>
      </c>
      <c r="E1407" s="2">
        <v>1</v>
      </c>
      <c r="F1407" s="1" t="s">
        <v>7</v>
      </c>
      <c r="G1407" s="1" t="s">
        <v>7</v>
      </c>
    </row>
    <row r="1408" spans="1:7" hidden="1">
      <c r="A1408" t="s">
        <v>82</v>
      </c>
      <c r="B1408" s="1" t="s">
        <v>6</v>
      </c>
      <c r="C1408" s="2">
        <v>1995</v>
      </c>
      <c r="D1408" s="2">
        <v>1</v>
      </c>
      <c r="E1408" s="2">
        <v>1</v>
      </c>
      <c r="F1408" s="1" t="s">
        <v>7</v>
      </c>
      <c r="G1408" s="1" t="s">
        <v>7</v>
      </c>
    </row>
    <row r="1409" spans="1:7" hidden="1">
      <c r="A1409" t="s">
        <v>82</v>
      </c>
      <c r="B1409" s="1" t="s">
        <v>6</v>
      </c>
      <c r="C1409" s="2">
        <v>2022</v>
      </c>
      <c r="D1409" s="2">
        <v>1</v>
      </c>
      <c r="E1409" s="2">
        <v>1</v>
      </c>
      <c r="F1409" s="1" t="s">
        <v>7</v>
      </c>
      <c r="G1409" s="1" t="s">
        <v>7</v>
      </c>
    </row>
    <row r="1410" spans="1:7" hidden="1">
      <c r="A1410" t="s">
        <v>83</v>
      </c>
      <c r="B1410" s="1" t="s">
        <v>3</v>
      </c>
      <c r="C1410" s="2">
        <v>1990</v>
      </c>
      <c r="D1410" s="2">
        <v>117</v>
      </c>
      <c r="E1410" s="2">
        <v>82</v>
      </c>
      <c r="F1410" s="2">
        <v>35</v>
      </c>
      <c r="G1410" s="1" t="s">
        <v>7</v>
      </c>
    </row>
    <row r="1411" spans="1:7" hidden="1">
      <c r="A1411" t="s">
        <v>83</v>
      </c>
      <c r="B1411" s="1" t="s">
        <v>3</v>
      </c>
      <c r="C1411" s="2">
        <v>1991</v>
      </c>
      <c r="D1411" s="2">
        <v>144</v>
      </c>
      <c r="E1411" s="2">
        <v>81</v>
      </c>
      <c r="F1411" s="2">
        <v>63</v>
      </c>
      <c r="G1411" s="1" t="s">
        <v>7</v>
      </c>
    </row>
    <row r="1412" spans="1:7" hidden="1">
      <c r="A1412" t="s">
        <v>83</v>
      </c>
      <c r="B1412" s="1" t="s">
        <v>3</v>
      </c>
      <c r="C1412" s="2">
        <v>1992</v>
      </c>
      <c r="D1412" s="2">
        <v>143</v>
      </c>
      <c r="E1412" s="2">
        <v>81</v>
      </c>
      <c r="F1412" s="2">
        <v>62</v>
      </c>
      <c r="G1412" s="1" t="s">
        <v>7</v>
      </c>
    </row>
    <row r="1413" spans="1:7" hidden="1">
      <c r="A1413" t="s">
        <v>83</v>
      </c>
      <c r="B1413" s="1" t="s">
        <v>3</v>
      </c>
      <c r="C1413" s="2">
        <v>1993</v>
      </c>
      <c r="D1413" s="2">
        <v>145</v>
      </c>
      <c r="E1413" s="2">
        <v>89</v>
      </c>
      <c r="F1413" s="2">
        <v>56</v>
      </c>
      <c r="G1413" s="1" t="s">
        <v>7</v>
      </c>
    </row>
    <row r="1414" spans="1:7" hidden="1">
      <c r="A1414" t="s">
        <v>83</v>
      </c>
      <c r="B1414" s="1" t="s">
        <v>3</v>
      </c>
      <c r="C1414" s="2">
        <v>1994</v>
      </c>
      <c r="D1414" s="2">
        <v>146</v>
      </c>
      <c r="E1414" s="2">
        <v>83</v>
      </c>
      <c r="F1414" s="2">
        <v>63</v>
      </c>
      <c r="G1414" s="1" t="s">
        <v>7</v>
      </c>
    </row>
    <row r="1415" spans="1:7" hidden="1">
      <c r="A1415" t="s">
        <v>83</v>
      </c>
      <c r="B1415" s="1" t="s">
        <v>3</v>
      </c>
      <c r="C1415" s="2">
        <v>1995</v>
      </c>
      <c r="D1415" s="2">
        <v>149</v>
      </c>
      <c r="E1415" s="2">
        <v>89</v>
      </c>
      <c r="F1415" s="2">
        <v>60</v>
      </c>
      <c r="G1415" s="1" t="s">
        <v>7</v>
      </c>
    </row>
    <row r="1416" spans="1:7" hidden="1">
      <c r="A1416" t="s">
        <v>83</v>
      </c>
      <c r="B1416" s="1" t="s">
        <v>3</v>
      </c>
      <c r="C1416" s="2">
        <v>1996</v>
      </c>
      <c r="D1416" s="2">
        <v>146</v>
      </c>
      <c r="E1416" s="2">
        <v>87</v>
      </c>
      <c r="F1416" s="2">
        <v>59</v>
      </c>
      <c r="G1416" s="1" t="s">
        <v>7</v>
      </c>
    </row>
    <row r="1417" spans="1:7" hidden="1">
      <c r="A1417" t="s">
        <v>83</v>
      </c>
      <c r="B1417" s="1" t="s">
        <v>3</v>
      </c>
      <c r="C1417" s="2">
        <v>1997</v>
      </c>
      <c r="D1417" s="2">
        <v>176</v>
      </c>
      <c r="E1417" s="2">
        <v>102</v>
      </c>
      <c r="F1417" s="2">
        <v>74</v>
      </c>
      <c r="G1417" s="1" t="s">
        <v>7</v>
      </c>
    </row>
    <row r="1418" spans="1:7" hidden="1">
      <c r="A1418" t="s">
        <v>83</v>
      </c>
      <c r="B1418" s="1" t="s">
        <v>3</v>
      </c>
      <c r="C1418" s="2">
        <v>1998</v>
      </c>
      <c r="D1418" s="2">
        <v>144</v>
      </c>
      <c r="E1418" s="2">
        <v>78</v>
      </c>
      <c r="F1418" s="2">
        <v>66</v>
      </c>
      <c r="G1418" s="1" t="s">
        <v>7</v>
      </c>
    </row>
    <row r="1419" spans="1:7" hidden="1">
      <c r="A1419" t="s">
        <v>83</v>
      </c>
      <c r="B1419" s="1" t="s">
        <v>3</v>
      </c>
      <c r="C1419" s="2">
        <v>1999</v>
      </c>
      <c r="D1419" s="2">
        <v>154</v>
      </c>
      <c r="E1419" s="2">
        <v>92</v>
      </c>
      <c r="F1419" s="2">
        <v>62</v>
      </c>
      <c r="G1419" s="1" t="s">
        <v>7</v>
      </c>
    </row>
    <row r="1420" spans="1:7" hidden="1">
      <c r="A1420" t="s">
        <v>83</v>
      </c>
      <c r="B1420" s="1" t="s">
        <v>3</v>
      </c>
      <c r="C1420" s="2">
        <v>2000</v>
      </c>
      <c r="D1420" s="2">
        <v>178</v>
      </c>
      <c r="E1420" s="2">
        <v>101</v>
      </c>
      <c r="F1420" s="2">
        <v>77</v>
      </c>
      <c r="G1420" s="1" t="s">
        <v>7</v>
      </c>
    </row>
    <row r="1421" spans="1:7" hidden="1">
      <c r="A1421" t="s">
        <v>83</v>
      </c>
      <c r="B1421" s="1" t="s">
        <v>3</v>
      </c>
      <c r="C1421" s="2">
        <v>2001</v>
      </c>
      <c r="D1421" s="2">
        <v>158</v>
      </c>
      <c r="E1421" s="2">
        <v>99</v>
      </c>
      <c r="F1421" s="2">
        <v>59</v>
      </c>
      <c r="G1421" s="1" t="s">
        <v>7</v>
      </c>
    </row>
    <row r="1422" spans="1:7" hidden="1">
      <c r="A1422" t="s">
        <v>83</v>
      </c>
      <c r="B1422" s="1" t="s">
        <v>3</v>
      </c>
      <c r="C1422" s="2">
        <v>2002</v>
      </c>
      <c r="D1422" s="2">
        <v>153</v>
      </c>
      <c r="E1422" s="2">
        <v>101</v>
      </c>
      <c r="F1422" s="2">
        <v>52</v>
      </c>
      <c r="G1422" s="1" t="s">
        <v>7</v>
      </c>
    </row>
    <row r="1423" spans="1:7" hidden="1">
      <c r="A1423" t="s">
        <v>83</v>
      </c>
      <c r="B1423" s="1" t="s">
        <v>3</v>
      </c>
      <c r="C1423" s="2">
        <v>2003</v>
      </c>
      <c r="D1423" s="2">
        <v>149</v>
      </c>
      <c r="E1423" s="2">
        <v>89</v>
      </c>
      <c r="F1423" s="2">
        <v>60</v>
      </c>
      <c r="G1423" s="1" t="s">
        <v>7</v>
      </c>
    </row>
    <row r="1424" spans="1:7" hidden="1">
      <c r="A1424" t="s">
        <v>83</v>
      </c>
      <c r="B1424" s="1" t="s">
        <v>3</v>
      </c>
      <c r="C1424" s="2">
        <v>2004</v>
      </c>
      <c r="D1424" s="2">
        <v>171</v>
      </c>
      <c r="E1424" s="2">
        <v>88</v>
      </c>
      <c r="F1424" s="2">
        <v>83</v>
      </c>
      <c r="G1424" s="1" t="s">
        <v>7</v>
      </c>
    </row>
    <row r="1425" spans="1:7" hidden="1">
      <c r="A1425" t="s">
        <v>83</v>
      </c>
      <c r="B1425" s="1" t="s">
        <v>3</v>
      </c>
      <c r="C1425" s="2">
        <v>2005</v>
      </c>
      <c r="D1425" s="2">
        <v>181</v>
      </c>
      <c r="E1425" s="2">
        <v>112</v>
      </c>
      <c r="F1425" s="2">
        <v>69</v>
      </c>
      <c r="G1425" s="1" t="s">
        <v>7</v>
      </c>
    </row>
    <row r="1426" spans="1:7" hidden="1">
      <c r="A1426" t="s">
        <v>83</v>
      </c>
      <c r="B1426" s="1" t="s">
        <v>3</v>
      </c>
      <c r="C1426" s="2">
        <v>2006</v>
      </c>
      <c r="D1426" s="2">
        <v>187</v>
      </c>
      <c r="E1426" s="2">
        <v>101</v>
      </c>
      <c r="F1426" s="2">
        <v>86</v>
      </c>
      <c r="G1426" s="1" t="s">
        <v>7</v>
      </c>
    </row>
    <row r="1427" spans="1:7" hidden="1">
      <c r="A1427" t="s">
        <v>83</v>
      </c>
      <c r="B1427" s="1" t="s">
        <v>3</v>
      </c>
      <c r="C1427" s="2">
        <v>2007</v>
      </c>
      <c r="D1427" s="2">
        <v>200</v>
      </c>
      <c r="E1427" s="2">
        <v>114</v>
      </c>
      <c r="F1427" s="2">
        <v>86</v>
      </c>
      <c r="G1427" s="1" t="s">
        <v>7</v>
      </c>
    </row>
    <row r="1428" spans="1:7" hidden="1">
      <c r="A1428" t="s">
        <v>83</v>
      </c>
      <c r="B1428" s="1" t="s">
        <v>3</v>
      </c>
      <c r="C1428" s="2">
        <v>2008</v>
      </c>
      <c r="D1428" s="2">
        <v>210</v>
      </c>
      <c r="E1428" s="2">
        <v>120</v>
      </c>
      <c r="F1428" s="2">
        <v>90</v>
      </c>
      <c r="G1428" s="1" t="s">
        <v>7</v>
      </c>
    </row>
    <row r="1429" spans="1:7" hidden="1">
      <c r="A1429" t="s">
        <v>83</v>
      </c>
      <c r="B1429" s="1" t="s">
        <v>3</v>
      </c>
      <c r="C1429" s="2">
        <v>2009</v>
      </c>
      <c r="D1429" s="2">
        <v>226</v>
      </c>
      <c r="E1429" s="2">
        <v>148</v>
      </c>
      <c r="F1429" s="2">
        <v>78</v>
      </c>
      <c r="G1429" s="1" t="s">
        <v>7</v>
      </c>
    </row>
    <row r="1430" spans="1:7">
      <c r="A1430" t="s">
        <v>83</v>
      </c>
      <c r="B1430" s="1" t="s">
        <v>3</v>
      </c>
      <c r="C1430" s="2">
        <v>2010</v>
      </c>
      <c r="D1430" s="2">
        <v>245</v>
      </c>
      <c r="E1430" s="2">
        <v>150</v>
      </c>
      <c r="F1430" s="2">
        <v>95</v>
      </c>
      <c r="G1430" s="1" t="s">
        <v>7</v>
      </c>
    </row>
    <row r="1431" spans="1:7" hidden="1">
      <c r="A1431" t="s">
        <v>83</v>
      </c>
      <c r="B1431" s="1" t="s">
        <v>3</v>
      </c>
      <c r="C1431" s="2">
        <v>2011</v>
      </c>
      <c r="D1431" s="2">
        <v>231</v>
      </c>
      <c r="E1431" s="2">
        <v>144</v>
      </c>
      <c r="F1431" s="2">
        <v>87</v>
      </c>
      <c r="G1431" s="1" t="s">
        <v>7</v>
      </c>
    </row>
    <row r="1432" spans="1:7" hidden="1">
      <c r="A1432" t="s">
        <v>83</v>
      </c>
      <c r="B1432" s="1" t="s">
        <v>3</v>
      </c>
      <c r="C1432" s="2">
        <v>2012</v>
      </c>
      <c r="D1432" s="2">
        <v>249</v>
      </c>
      <c r="E1432" s="2">
        <v>145</v>
      </c>
      <c r="F1432" s="2">
        <v>104</v>
      </c>
      <c r="G1432" s="1" t="s">
        <v>7</v>
      </c>
    </row>
    <row r="1433" spans="1:7" hidden="1">
      <c r="A1433" t="s">
        <v>83</v>
      </c>
      <c r="B1433" s="1" t="s">
        <v>3</v>
      </c>
      <c r="C1433" s="2">
        <v>2013</v>
      </c>
      <c r="D1433" s="2">
        <v>255</v>
      </c>
      <c r="E1433" s="2">
        <v>147</v>
      </c>
      <c r="F1433" s="2">
        <v>108</v>
      </c>
      <c r="G1433" s="1" t="s">
        <v>7</v>
      </c>
    </row>
    <row r="1434" spans="1:7" hidden="1">
      <c r="A1434" t="s">
        <v>83</v>
      </c>
      <c r="B1434" s="1" t="s">
        <v>3</v>
      </c>
      <c r="C1434" s="2">
        <v>2014</v>
      </c>
      <c r="D1434" s="2">
        <v>311</v>
      </c>
      <c r="E1434" s="2">
        <v>175</v>
      </c>
      <c r="F1434" s="2">
        <v>136</v>
      </c>
      <c r="G1434" s="1" t="s">
        <v>7</v>
      </c>
    </row>
    <row r="1435" spans="1:7" hidden="1">
      <c r="A1435" t="s">
        <v>83</v>
      </c>
      <c r="B1435" s="1" t="s">
        <v>3</v>
      </c>
      <c r="C1435" s="2">
        <v>2015</v>
      </c>
      <c r="D1435" s="2">
        <v>316</v>
      </c>
      <c r="E1435" s="2">
        <v>178</v>
      </c>
      <c r="F1435" s="2">
        <v>138</v>
      </c>
      <c r="G1435" s="1" t="s">
        <v>7</v>
      </c>
    </row>
    <row r="1436" spans="1:7" hidden="1">
      <c r="A1436" t="s">
        <v>83</v>
      </c>
      <c r="B1436" s="1" t="s">
        <v>3</v>
      </c>
      <c r="C1436" s="2">
        <v>2016</v>
      </c>
      <c r="D1436" s="2">
        <v>334</v>
      </c>
      <c r="E1436" s="2">
        <v>224</v>
      </c>
      <c r="F1436" s="2">
        <v>110</v>
      </c>
      <c r="G1436" s="1" t="s">
        <v>7</v>
      </c>
    </row>
    <row r="1437" spans="1:7" hidden="1">
      <c r="A1437" t="s">
        <v>83</v>
      </c>
      <c r="B1437" s="1" t="s">
        <v>3</v>
      </c>
      <c r="C1437" s="2">
        <v>2017</v>
      </c>
      <c r="D1437" s="2">
        <v>333</v>
      </c>
      <c r="E1437" s="2">
        <v>186</v>
      </c>
      <c r="F1437" s="2">
        <v>147</v>
      </c>
      <c r="G1437" s="1" t="s">
        <v>7</v>
      </c>
    </row>
    <row r="1438" spans="1:7" hidden="1">
      <c r="A1438" t="s">
        <v>83</v>
      </c>
      <c r="B1438" s="1" t="s">
        <v>3</v>
      </c>
      <c r="C1438" s="2">
        <v>2018</v>
      </c>
      <c r="D1438" s="2">
        <v>377</v>
      </c>
      <c r="E1438" s="2">
        <v>224</v>
      </c>
      <c r="F1438" s="2">
        <v>153</v>
      </c>
      <c r="G1438" s="1" t="s">
        <v>7</v>
      </c>
    </row>
    <row r="1439" spans="1:7">
      <c r="A1439" t="s">
        <v>83</v>
      </c>
      <c r="B1439" s="1" t="s">
        <v>3</v>
      </c>
      <c r="C1439" s="2">
        <v>2019</v>
      </c>
      <c r="D1439" s="2">
        <v>366</v>
      </c>
      <c r="E1439" s="2">
        <v>233</v>
      </c>
      <c r="F1439" s="2">
        <v>133</v>
      </c>
      <c r="G1439" s="1" t="s">
        <v>7</v>
      </c>
    </row>
    <row r="1440" spans="1:7" hidden="1">
      <c r="A1440" t="s">
        <v>83</v>
      </c>
      <c r="B1440" s="1" t="s">
        <v>3</v>
      </c>
      <c r="C1440" s="2">
        <v>2020</v>
      </c>
      <c r="D1440" s="2">
        <v>531</v>
      </c>
      <c r="E1440" s="2">
        <v>325</v>
      </c>
      <c r="F1440" s="2">
        <v>206</v>
      </c>
      <c r="G1440" s="1" t="s">
        <v>7</v>
      </c>
    </row>
    <row r="1441" spans="1:7">
      <c r="A1441" t="s">
        <v>83</v>
      </c>
      <c r="B1441" s="1" t="s">
        <v>3</v>
      </c>
      <c r="C1441" s="2">
        <v>2021</v>
      </c>
      <c r="D1441" s="2">
        <v>619</v>
      </c>
      <c r="E1441" s="2">
        <v>389</v>
      </c>
      <c r="F1441" s="2">
        <v>230</v>
      </c>
      <c r="G1441" s="1" t="s">
        <v>7</v>
      </c>
    </row>
    <row r="1442" spans="1:7" hidden="1">
      <c r="A1442" t="s">
        <v>83</v>
      </c>
      <c r="B1442" s="1" t="s">
        <v>3</v>
      </c>
      <c r="C1442" s="2">
        <v>2022</v>
      </c>
      <c r="D1442" s="2">
        <v>443</v>
      </c>
      <c r="E1442" s="2">
        <v>280</v>
      </c>
      <c r="F1442" s="2">
        <v>163</v>
      </c>
      <c r="G1442" s="1" t="s">
        <v>7</v>
      </c>
    </row>
    <row r="1443" spans="1:7" hidden="1">
      <c r="A1443" t="s">
        <v>83</v>
      </c>
      <c r="B1443" s="1" t="s">
        <v>3</v>
      </c>
      <c r="C1443" s="2">
        <v>2023</v>
      </c>
      <c r="D1443" s="2">
        <v>444</v>
      </c>
      <c r="E1443" s="2">
        <v>260</v>
      </c>
      <c r="F1443" s="2">
        <v>184</v>
      </c>
      <c r="G1443" s="1" t="s">
        <v>7</v>
      </c>
    </row>
    <row r="1444" spans="1:7" hidden="1">
      <c r="A1444" t="s">
        <v>83</v>
      </c>
      <c r="B1444" s="1" t="s">
        <v>3</v>
      </c>
      <c r="C1444" s="2">
        <v>2024</v>
      </c>
      <c r="D1444" s="2">
        <v>455</v>
      </c>
      <c r="E1444" s="2">
        <v>286</v>
      </c>
      <c r="F1444" s="2">
        <v>169</v>
      </c>
      <c r="G1444" s="1" t="s">
        <v>7</v>
      </c>
    </row>
    <row r="1445" spans="1:7" hidden="1">
      <c r="A1445" t="s">
        <v>83</v>
      </c>
      <c r="B1445" s="1" t="s">
        <v>35</v>
      </c>
      <c r="C1445" s="2">
        <v>1990</v>
      </c>
      <c r="D1445" s="2">
        <v>114</v>
      </c>
      <c r="E1445" s="2">
        <v>79</v>
      </c>
      <c r="F1445" s="2">
        <v>35</v>
      </c>
      <c r="G1445" s="1" t="s">
        <v>7</v>
      </c>
    </row>
    <row r="1446" spans="1:7" hidden="1">
      <c r="A1446" t="s">
        <v>83</v>
      </c>
      <c r="B1446" s="1" t="s">
        <v>36</v>
      </c>
      <c r="C1446" s="2">
        <v>1991</v>
      </c>
      <c r="D1446" s="2">
        <v>141</v>
      </c>
      <c r="E1446" s="2">
        <v>79</v>
      </c>
      <c r="F1446" s="2">
        <v>62</v>
      </c>
      <c r="G1446" s="1" t="s">
        <v>7</v>
      </c>
    </row>
    <row r="1447" spans="1:7" hidden="1">
      <c r="A1447" t="s">
        <v>83</v>
      </c>
      <c r="B1447" s="1" t="s">
        <v>37</v>
      </c>
      <c r="C1447" s="2">
        <v>1992</v>
      </c>
      <c r="D1447" s="2">
        <v>138</v>
      </c>
      <c r="E1447" s="2">
        <v>78</v>
      </c>
      <c r="F1447" s="2">
        <v>60</v>
      </c>
      <c r="G1447" s="1" t="s">
        <v>7</v>
      </c>
    </row>
    <row r="1448" spans="1:7" hidden="1">
      <c r="A1448" t="s">
        <v>83</v>
      </c>
      <c r="B1448" s="1" t="s">
        <v>38</v>
      </c>
      <c r="C1448" s="2">
        <v>1993</v>
      </c>
      <c r="D1448" s="2">
        <v>143</v>
      </c>
      <c r="E1448" s="2">
        <v>87</v>
      </c>
      <c r="F1448" s="2">
        <v>56</v>
      </c>
      <c r="G1448" s="1" t="s">
        <v>7</v>
      </c>
    </row>
    <row r="1449" spans="1:7" hidden="1">
      <c r="A1449" t="s">
        <v>83</v>
      </c>
      <c r="B1449" s="1" t="s">
        <v>39</v>
      </c>
      <c r="C1449" s="2">
        <v>1994</v>
      </c>
      <c r="D1449" s="2">
        <v>146</v>
      </c>
      <c r="E1449" s="2">
        <v>83</v>
      </c>
      <c r="F1449" s="2">
        <v>63</v>
      </c>
      <c r="G1449" s="1" t="s">
        <v>7</v>
      </c>
    </row>
    <row r="1450" spans="1:7" hidden="1">
      <c r="A1450" t="s">
        <v>83</v>
      </c>
      <c r="B1450" s="1" t="s">
        <v>40</v>
      </c>
      <c r="C1450" s="2">
        <v>1995</v>
      </c>
      <c r="D1450" s="2">
        <v>149</v>
      </c>
      <c r="E1450" s="2">
        <v>89</v>
      </c>
      <c r="F1450" s="2">
        <v>60</v>
      </c>
      <c r="G1450" s="1" t="s">
        <v>7</v>
      </c>
    </row>
    <row r="1451" spans="1:7" hidden="1">
      <c r="A1451" t="s">
        <v>83</v>
      </c>
      <c r="B1451" s="1" t="s">
        <v>40</v>
      </c>
      <c r="C1451" s="2">
        <v>1996</v>
      </c>
      <c r="D1451" s="2">
        <v>1</v>
      </c>
      <c r="E1451" s="2">
        <v>1</v>
      </c>
      <c r="F1451" s="1" t="s">
        <v>7</v>
      </c>
      <c r="G1451" s="1" t="s">
        <v>7</v>
      </c>
    </row>
    <row r="1452" spans="1:7" hidden="1">
      <c r="A1452" t="s">
        <v>83</v>
      </c>
      <c r="B1452" s="1" t="s">
        <v>40</v>
      </c>
      <c r="C1452" s="2">
        <v>1997</v>
      </c>
      <c r="D1452" s="2">
        <v>1</v>
      </c>
      <c r="E1452" s="2">
        <v>1</v>
      </c>
      <c r="F1452" s="1" t="s">
        <v>7</v>
      </c>
      <c r="G1452" s="1" t="s">
        <v>7</v>
      </c>
    </row>
    <row r="1453" spans="1:7" hidden="1">
      <c r="A1453" t="s">
        <v>83</v>
      </c>
      <c r="B1453" s="1" t="s">
        <v>41</v>
      </c>
      <c r="C1453" s="2">
        <v>1996</v>
      </c>
      <c r="D1453" s="2">
        <v>145</v>
      </c>
      <c r="E1453" s="2">
        <v>86</v>
      </c>
      <c r="F1453" s="2">
        <v>59</v>
      </c>
      <c r="G1453" s="1" t="s">
        <v>7</v>
      </c>
    </row>
    <row r="1454" spans="1:7" hidden="1">
      <c r="A1454" t="s">
        <v>83</v>
      </c>
      <c r="B1454" s="1" t="s">
        <v>41</v>
      </c>
      <c r="C1454" s="2">
        <v>1997</v>
      </c>
      <c r="D1454" s="2">
        <v>1</v>
      </c>
      <c r="E1454" s="1" t="s">
        <v>7</v>
      </c>
      <c r="F1454" s="2">
        <v>1</v>
      </c>
      <c r="G1454" s="1" t="s">
        <v>7</v>
      </c>
    </row>
    <row r="1455" spans="1:7" hidden="1">
      <c r="A1455" t="s">
        <v>83</v>
      </c>
      <c r="B1455" s="1" t="s">
        <v>41</v>
      </c>
      <c r="C1455" s="2">
        <v>1998</v>
      </c>
      <c r="D1455" s="2">
        <v>1</v>
      </c>
      <c r="E1455" s="1" t="s">
        <v>7</v>
      </c>
      <c r="F1455" s="2">
        <v>1</v>
      </c>
      <c r="G1455" s="1" t="s">
        <v>7</v>
      </c>
    </row>
    <row r="1456" spans="1:7" hidden="1">
      <c r="A1456" t="s">
        <v>83</v>
      </c>
      <c r="B1456" s="1" t="s">
        <v>42</v>
      </c>
      <c r="C1456" s="2">
        <v>1997</v>
      </c>
      <c r="D1456" s="2">
        <v>174</v>
      </c>
      <c r="E1456" s="2">
        <v>101</v>
      </c>
      <c r="F1456" s="2">
        <v>73</v>
      </c>
      <c r="G1456" s="1" t="s">
        <v>7</v>
      </c>
    </row>
    <row r="1457" spans="1:7" hidden="1">
      <c r="A1457" t="s">
        <v>83</v>
      </c>
      <c r="B1457" s="1" t="s">
        <v>42</v>
      </c>
      <c r="C1457" s="2">
        <v>1998</v>
      </c>
      <c r="D1457" s="2">
        <v>1</v>
      </c>
      <c r="E1457" s="2">
        <v>1</v>
      </c>
      <c r="F1457" s="1" t="s">
        <v>7</v>
      </c>
      <c r="G1457" s="1" t="s">
        <v>7</v>
      </c>
    </row>
    <row r="1458" spans="1:7" hidden="1">
      <c r="A1458" t="s">
        <v>83</v>
      </c>
      <c r="B1458" s="1" t="s">
        <v>43</v>
      </c>
      <c r="C1458" s="2">
        <v>1998</v>
      </c>
      <c r="D1458" s="2">
        <v>142</v>
      </c>
      <c r="E1458" s="2">
        <v>77</v>
      </c>
      <c r="F1458" s="2">
        <v>65</v>
      </c>
      <c r="G1458" s="1" t="s">
        <v>7</v>
      </c>
    </row>
    <row r="1459" spans="1:7" hidden="1">
      <c r="A1459" t="s">
        <v>83</v>
      </c>
      <c r="B1459" s="1" t="s">
        <v>44</v>
      </c>
      <c r="C1459" s="2">
        <v>1999</v>
      </c>
      <c r="D1459" s="2">
        <v>154</v>
      </c>
      <c r="E1459" s="2">
        <v>92</v>
      </c>
      <c r="F1459" s="2">
        <v>62</v>
      </c>
      <c r="G1459" s="1" t="s">
        <v>7</v>
      </c>
    </row>
    <row r="1460" spans="1:7" hidden="1">
      <c r="A1460" t="s">
        <v>83</v>
      </c>
      <c r="B1460" s="1" t="s">
        <v>44</v>
      </c>
      <c r="C1460" s="2">
        <v>2000</v>
      </c>
      <c r="D1460" s="2">
        <v>1</v>
      </c>
      <c r="E1460" s="2">
        <v>1</v>
      </c>
      <c r="F1460" s="1" t="s">
        <v>7</v>
      </c>
      <c r="G1460" s="1" t="s">
        <v>7</v>
      </c>
    </row>
    <row r="1461" spans="1:7" hidden="1">
      <c r="A1461" t="s">
        <v>83</v>
      </c>
      <c r="B1461" s="1" t="s">
        <v>45</v>
      </c>
      <c r="C1461" s="2">
        <v>2000</v>
      </c>
      <c r="D1461" s="2">
        <v>177</v>
      </c>
      <c r="E1461" s="2">
        <v>100</v>
      </c>
      <c r="F1461" s="2">
        <v>77</v>
      </c>
      <c r="G1461" s="1" t="s">
        <v>7</v>
      </c>
    </row>
    <row r="1462" spans="1:7" hidden="1">
      <c r="A1462" t="s">
        <v>83</v>
      </c>
      <c r="B1462" s="1" t="s">
        <v>46</v>
      </c>
      <c r="C1462" s="2">
        <v>2001</v>
      </c>
      <c r="D1462" s="2">
        <v>158</v>
      </c>
      <c r="E1462" s="2">
        <v>99</v>
      </c>
      <c r="F1462" s="2">
        <v>59</v>
      </c>
      <c r="G1462" s="1" t="s">
        <v>7</v>
      </c>
    </row>
    <row r="1463" spans="1:7" hidden="1">
      <c r="A1463" t="s">
        <v>83</v>
      </c>
      <c r="B1463" s="1" t="s">
        <v>46</v>
      </c>
      <c r="C1463" s="2">
        <v>2002</v>
      </c>
      <c r="D1463" s="2">
        <v>1</v>
      </c>
      <c r="E1463" s="2">
        <v>1</v>
      </c>
      <c r="F1463" s="1" t="s">
        <v>7</v>
      </c>
      <c r="G1463" s="1" t="s">
        <v>7</v>
      </c>
    </row>
    <row r="1464" spans="1:7" hidden="1">
      <c r="A1464" t="s">
        <v>83</v>
      </c>
      <c r="B1464" s="1" t="s">
        <v>47</v>
      </c>
      <c r="C1464" s="2">
        <v>2002</v>
      </c>
      <c r="D1464" s="2">
        <v>152</v>
      </c>
      <c r="E1464" s="2">
        <v>100</v>
      </c>
      <c r="F1464" s="2">
        <v>52</v>
      </c>
      <c r="G1464" s="1" t="s">
        <v>7</v>
      </c>
    </row>
    <row r="1465" spans="1:7" hidden="1">
      <c r="A1465" t="s">
        <v>83</v>
      </c>
      <c r="B1465" s="1" t="s">
        <v>48</v>
      </c>
      <c r="C1465" s="2">
        <v>2003</v>
      </c>
      <c r="D1465" s="2">
        <v>149</v>
      </c>
      <c r="E1465" s="2">
        <v>89</v>
      </c>
      <c r="F1465" s="2">
        <v>60</v>
      </c>
      <c r="G1465" s="1" t="s">
        <v>7</v>
      </c>
    </row>
    <row r="1466" spans="1:7" hidden="1">
      <c r="A1466" t="s">
        <v>83</v>
      </c>
      <c r="B1466" s="1" t="s">
        <v>48</v>
      </c>
      <c r="C1466" s="2">
        <v>2004</v>
      </c>
      <c r="D1466" s="2">
        <v>1</v>
      </c>
      <c r="E1466" s="2">
        <v>1</v>
      </c>
      <c r="F1466" s="1" t="s">
        <v>7</v>
      </c>
      <c r="G1466" s="1" t="s">
        <v>7</v>
      </c>
    </row>
    <row r="1467" spans="1:7" hidden="1">
      <c r="A1467" t="s">
        <v>83</v>
      </c>
      <c r="B1467" s="1" t="s">
        <v>49</v>
      </c>
      <c r="C1467" s="2">
        <v>2004</v>
      </c>
      <c r="D1467" s="2">
        <v>170</v>
      </c>
      <c r="E1467" s="2">
        <v>87</v>
      </c>
      <c r="F1467" s="2">
        <v>83</v>
      </c>
      <c r="G1467" s="1" t="s">
        <v>7</v>
      </c>
    </row>
    <row r="1468" spans="1:7" hidden="1">
      <c r="A1468" t="s">
        <v>83</v>
      </c>
      <c r="B1468" s="1" t="s">
        <v>49</v>
      </c>
      <c r="C1468" s="2">
        <v>2005</v>
      </c>
      <c r="D1468" s="2">
        <v>1</v>
      </c>
      <c r="E1468" s="1" t="s">
        <v>7</v>
      </c>
      <c r="F1468" s="2">
        <v>1</v>
      </c>
      <c r="G1468" s="1" t="s">
        <v>7</v>
      </c>
    </row>
    <row r="1469" spans="1:7" hidden="1">
      <c r="A1469" t="s">
        <v>83</v>
      </c>
      <c r="B1469" s="1" t="s">
        <v>50</v>
      </c>
      <c r="C1469" s="2">
        <v>2005</v>
      </c>
      <c r="D1469" s="2">
        <v>180</v>
      </c>
      <c r="E1469" s="2">
        <v>112</v>
      </c>
      <c r="F1469" s="2">
        <v>68</v>
      </c>
      <c r="G1469" s="1" t="s">
        <v>7</v>
      </c>
    </row>
    <row r="1470" spans="1:7" hidden="1">
      <c r="A1470" t="s">
        <v>83</v>
      </c>
      <c r="B1470" s="1" t="s">
        <v>51</v>
      </c>
      <c r="C1470" s="2">
        <v>2006</v>
      </c>
      <c r="D1470" s="2">
        <v>187</v>
      </c>
      <c r="E1470" s="2">
        <v>101</v>
      </c>
      <c r="F1470" s="2">
        <v>86</v>
      </c>
      <c r="G1470" s="1" t="s">
        <v>7</v>
      </c>
    </row>
    <row r="1471" spans="1:7" hidden="1">
      <c r="A1471" t="s">
        <v>83</v>
      </c>
      <c r="B1471" s="1" t="s">
        <v>51</v>
      </c>
      <c r="C1471" s="2">
        <v>2007</v>
      </c>
      <c r="D1471" s="2">
        <v>3</v>
      </c>
      <c r="E1471" s="2">
        <v>2</v>
      </c>
      <c r="F1471" s="2">
        <v>1</v>
      </c>
      <c r="G1471" s="1" t="s">
        <v>7</v>
      </c>
    </row>
    <row r="1472" spans="1:7" hidden="1">
      <c r="A1472" t="s">
        <v>83</v>
      </c>
      <c r="B1472" s="1" t="s">
        <v>52</v>
      </c>
      <c r="C1472" s="2">
        <v>2007</v>
      </c>
      <c r="D1472" s="2">
        <v>197</v>
      </c>
      <c r="E1472" s="2">
        <v>112</v>
      </c>
      <c r="F1472" s="2">
        <v>85</v>
      </c>
      <c r="G1472" s="1" t="s">
        <v>7</v>
      </c>
    </row>
    <row r="1473" spans="1:7" hidden="1">
      <c r="A1473" t="s">
        <v>83</v>
      </c>
      <c r="B1473" s="1" t="s">
        <v>53</v>
      </c>
      <c r="C1473" s="2">
        <v>2008</v>
      </c>
      <c r="D1473" s="2">
        <v>210</v>
      </c>
      <c r="E1473" s="2">
        <v>120</v>
      </c>
      <c r="F1473" s="2">
        <v>90</v>
      </c>
      <c r="G1473" s="1" t="s">
        <v>7</v>
      </c>
    </row>
    <row r="1474" spans="1:7" hidden="1">
      <c r="A1474" t="s">
        <v>83</v>
      </c>
      <c r="B1474" s="1" t="s">
        <v>54</v>
      </c>
      <c r="C1474" s="2">
        <v>2009</v>
      </c>
      <c r="D1474" s="2">
        <v>226</v>
      </c>
      <c r="E1474" s="2">
        <v>148</v>
      </c>
      <c r="F1474" s="2">
        <v>78</v>
      </c>
      <c r="G1474" s="1" t="s">
        <v>7</v>
      </c>
    </row>
    <row r="1475" spans="1:7" hidden="1">
      <c r="A1475" t="s">
        <v>83</v>
      </c>
      <c r="B1475" s="1" t="s">
        <v>54</v>
      </c>
      <c r="C1475" s="2">
        <v>2010</v>
      </c>
      <c r="D1475" s="2">
        <v>2</v>
      </c>
      <c r="E1475" s="2">
        <v>2</v>
      </c>
      <c r="F1475" s="1" t="s">
        <v>7</v>
      </c>
      <c r="G1475" s="1" t="s">
        <v>7</v>
      </c>
    </row>
    <row r="1476" spans="1:7" hidden="1">
      <c r="A1476" t="s">
        <v>83</v>
      </c>
      <c r="B1476" s="1" t="s">
        <v>55</v>
      </c>
      <c r="C1476" s="2">
        <v>2010</v>
      </c>
      <c r="D1476" s="2">
        <v>243</v>
      </c>
      <c r="E1476" s="2">
        <v>148</v>
      </c>
      <c r="F1476" s="2">
        <v>95</v>
      </c>
      <c r="G1476" s="1" t="s">
        <v>7</v>
      </c>
    </row>
    <row r="1477" spans="1:7" hidden="1">
      <c r="A1477" t="s">
        <v>83</v>
      </c>
      <c r="B1477" s="1" t="s">
        <v>55</v>
      </c>
      <c r="C1477" s="2">
        <v>2011</v>
      </c>
      <c r="D1477" s="2">
        <v>1</v>
      </c>
      <c r="E1477" s="2">
        <v>1</v>
      </c>
      <c r="F1477" s="1" t="s">
        <v>7</v>
      </c>
      <c r="G1477" s="1" t="s">
        <v>7</v>
      </c>
    </row>
    <row r="1478" spans="1:7" hidden="1">
      <c r="A1478" t="s">
        <v>83</v>
      </c>
      <c r="B1478" s="1" t="s">
        <v>56</v>
      </c>
      <c r="C1478" s="2">
        <v>2011</v>
      </c>
      <c r="D1478" s="2">
        <v>230</v>
      </c>
      <c r="E1478" s="2">
        <v>143</v>
      </c>
      <c r="F1478" s="2">
        <v>87</v>
      </c>
      <c r="G1478" s="1" t="s">
        <v>7</v>
      </c>
    </row>
    <row r="1479" spans="1:7" hidden="1">
      <c r="A1479" t="s">
        <v>83</v>
      </c>
      <c r="B1479" s="1" t="s">
        <v>56</v>
      </c>
      <c r="C1479" s="2">
        <v>2012</v>
      </c>
      <c r="D1479" s="2">
        <v>2</v>
      </c>
      <c r="E1479" s="2">
        <v>1</v>
      </c>
      <c r="F1479" s="2">
        <v>1</v>
      </c>
      <c r="G1479" s="1" t="s">
        <v>7</v>
      </c>
    </row>
    <row r="1480" spans="1:7" hidden="1">
      <c r="A1480" t="s">
        <v>83</v>
      </c>
      <c r="B1480" s="1" t="s">
        <v>57</v>
      </c>
      <c r="C1480" s="2">
        <v>2012</v>
      </c>
      <c r="D1480" s="2">
        <v>247</v>
      </c>
      <c r="E1480" s="2">
        <v>144</v>
      </c>
      <c r="F1480" s="2">
        <v>103</v>
      </c>
      <c r="G1480" s="1" t="s">
        <v>7</v>
      </c>
    </row>
    <row r="1481" spans="1:7" hidden="1">
      <c r="A1481" t="s">
        <v>83</v>
      </c>
      <c r="B1481" s="1" t="s">
        <v>57</v>
      </c>
      <c r="C1481" s="2">
        <v>2013</v>
      </c>
      <c r="D1481" s="2">
        <v>2</v>
      </c>
      <c r="E1481" s="2">
        <v>1</v>
      </c>
      <c r="F1481" s="2">
        <v>1</v>
      </c>
      <c r="G1481" s="1" t="s">
        <v>7</v>
      </c>
    </row>
    <row r="1482" spans="1:7" hidden="1">
      <c r="A1482" t="s">
        <v>83</v>
      </c>
      <c r="B1482" s="1" t="s">
        <v>58</v>
      </c>
      <c r="C1482" s="2">
        <v>2013</v>
      </c>
      <c r="D1482" s="2">
        <v>253</v>
      </c>
      <c r="E1482" s="2">
        <v>146</v>
      </c>
      <c r="F1482" s="2">
        <v>107</v>
      </c>
      <c r="G1482" s="1" t="s">
        <v>7</v>
      </c>
    </row>
    <row r="1483" spans="1:7" hidden="1">
      <c r="A1483" t="s">
        <v>83</v>
      </c>
      <c r="B1483" s="1" t="s">
        <v>59</v>
      </c>
      <c r="C1483" s="2">
        <v>2014</v>
      </c>
      <c r="D1483" s="2">
        <v>311</v>
      </c>
      <c r="E1483" s="2">
        <v>175</v>
      </c>
      <c r="F1483" s="2">
        <v>136</v>
      </c>
      <c r="G1483" s="1" t="s">
        <v>7</v>
      </c>
    </row>
    <row r="1484" spans="1:7" hidden="1">
      <c r="A1484" t="s">
        <v>83</v>
      </c>
      <c r="B1484" s="1" t="s">
        <v>60</v>
      </c>
      <c r="C1484" s="2">
        <v>2015</v>
      </c>
      <c r="D1484" s="2">
        <v>316</v>
      </c>
      <c r="E1484" s="2">
        <v>178</v>
      </c>
      <c r="F1484" s="2">
        <v>138</v>
      </c>
      <c r="G1484" s="1" t="s">
        <v>7</v>
      </c>
    </row>
    <row r="1485" spans="1:7" hidden="1">
      <c r="A1485" t="s">
        <v>83</v>
      </c>
      <c r="B1485" s="1" t="s">
        <v>61</v>
      </c>
      <c r="C1485" s="2">
        <v>2016</v>
      </c>
      <c r="D1485" s="2">
        <v>334</v>
      </c>
      <c r="E1485" s="2">
        <v>224</v>
      </c>
      <c r="F1485" s="2">
        <v>110</v>
      </c>
      <c r="G1485" s="1" t="s">
        <v>7</v>
      </c>
    </row>
    <row r="1486" spans="1:7" hidden="1">
      <c r="A1486" t="s">
        <v>83</v>
      </c>
      <c r="B1486" s="1" t="s">
        <v>62</v>
      </c>
      <c r="C1486" s="2">
        <v>2017</v>
      </c>
      <c r="D1486" s="2">
        <v>333</v>
      </c>
      <c r="E1486" s="2">
        <v>186</v>
      </c>
      <c r="F1486" s="2">
        <v>147</v>
      </c>
      <c r="G1486" s="1" t="s">
        <v>7</v>
      </c>
    </row>
    <row r="1487" spans="1:7" hidden="1">
      <c r="A1487" t="s">
        <v>83</v>
      </c>
      <c r="B1487" s="1" t="s">
        <v>62</v>
      </c>
      <c r="C1487" s="2">
        <v>2018</v>
      </c>
      <c r="D1487" s="2">
        <v>2</v>
      </c>
      <c r="E1487" s="2">
        <v>1</v>
      </c>
      <c r="F1487" s="2">
        <v>1</v>
      </c>
      <c r="G1487" s="1" t="s">
        <v>7</v>
      </c>
    </row>
    <row r="1488" spans="1:7" hidden="1">
      <c r="A1488" t="s">
        <v>83</v>
      </c>
      <c r="B1488" s="1" t="s">
        <v>63</v>
      </c>
      <c r="C1488" s="2">
        <v>2018</v>
      </c>
      <c r="D1488" s="2">
        <v>375</v>
      </c>
      <c r="E1488" s="2">
        <v>223</v>
      </c>
      <c r="F1488" s="2">
        <v>152</v>
      </c>
      <c r="G1488" s="1" t="s">
        <v>7</v>
      </c>
    </row>
    <row r="1489" spans="1:7" hidden="1">
      <c r="A1489" t="s">
        <v>83</v>
      </c>
      <c r="B1489" s="1" t="s">
        <v>64</v>
      </c>
      <c r="C1489" s="2">
        <v>2019</v>
      </c>
      <c r="D1489" s="2">
        <v>366</v>
      </c>
      <c r="E1489" s="2">
        <v>233</v>
      </c>
      <c r="F1489" s="2">
        <v>133</v>
      </c>
      <c r="G1489" s="1" t="s">
        <v>7</v>
      </c>
    </row>
    <row r="1490" spans="1:7" hidden="1">
      <c r="A1490" t="s">
        <v>83</v>
      </c>
      <c r="B1490" s="1" t="s">
        <v>64</v>
      </c>
      <c r="C1490" s="2">
        <v>2021</v>
      </c>
      <c r="D1490" s="2">
        <v>1</v>
      </c>
      <c r="E1490" s="2">
        <v>1</v>
      </c>
      <c r="F1490" s="1" t="s">
        <v>7</v>
      </c>
      <c r="G1490" s="1" t="s">
        <v>7</v>
      </c>
    </row>
    <row r="1491" spans="1:7" hidden="1">
      <c r="A1491" t="s">
        <v>83</v>
      </c>
      <c r="B1491" s="1" t="s">
        <v>65</v>
      </c>
      <c r="C1491" s="2">
        <v>2020</v>
      </c>
      <c r="D1491" s="2">
        <v>531</v>
      </c>
      <c r="E1491" s="2">
        <v>325</v>
      </c>
      <c r="F1491" s="2">
        <v>206</v>
      </c>
      <c r="G1491" s="1" t="s">
        <v>7</v>
      </c>
    </row>
    <row r="1492" spans="1:7" hidden="1">
      <c r="A1492" t="s">
        <v>83</v>
      </c>
      <c r="B1492" s="1" t="s">
        <v>65</v>
      </c>
      <c r="C1492" s="2">
        <v>2021</v>
      </c>
      <c r="D1492" s="2">
        <v>1</v>
      </c>
      <c r="E1492" s="2">
        <v>1</v>
      </c>
      <c r="F1492" s="1" t="s">
        <v>7</v>
      </c>
      <c r="G1492" s="1" t="s">
        <v>7</v>
      </c>
    </row>
    <row r="1493" spans="1:7" hidden="1">
      <c r="A1493" t="s">
        <v>83</v>
      </c>
      <c r="B1493" s="1" t="s">
        <v>66</v>
      </c>
      <c r="C1493" s="2">
        <v>2021</v>
      </c>
      <c r="D1493" s="2">
        <v>617</v>
      </c>
      <c r="E1493" s="2">
        <v>387</v>
      </c>
      <c r="F1493" s="2">
        <v>230</v>
      </c>
      <c r="G1493" s="1" t="s">
        <v>7</v>
      </c>
    </row>
    <row r="1494" spans="1:7" hidden="1">
      <c r="A1494" t="s">
        <v>83</v>
      </c>
      <c r="B1494" s="1" t="s">
        <v>66</v>
      </c>
      <c r="C1494" s="2">
        <v>2022</v>
      </c>
      <c r="D1494" s="2">
        <v>3</v>
      </c>
      <c r="E1494" s="2">
        <v>2</v>
      </c>
      <c r="F1494" s="2">
        <v>1</v>
      </c>
      <c r="G1494" s="1" t="s">
        <v>7</v>
      </c>
    </row>
    <row r="1495" spans="1:7" hidden="1">
      <c r="A1495" t="s">
        <v>83</v>
      </c>
      <c r="B1495" s="1" t="s">
        <v>67</v>
      </c>
      <c r="C1495" s="2">
        <v>2022</v>
      </c>
      <c r="D1495" s="2">
        <v>440</v>
      </c>
      <c r="E1495" s="2">
        <v>278</v>
      </c>
      <c r="F1495" s="2">
        <v>162</v>
      </c>
      <c r="G1495" s="1" t="s">
        <v>7</v>
      </c>
    </row>
    <row r="1496" spans="1:7" hidden="1">
      <c r="A1496" t="s">
        <v>83</v>
      </c>
      <c r="B1496" s="1" t="s">
        <v>67</v>
      </c>
      <c r="C1496" s="2">
        <v>2023</v>
      </c>
      <c r="D1496" s="2">
        <v>2</v>
      </c>
      <c r="E1496" s="2">
        <v>1</v>
      </c>
      <c r="F1496" s="2">
        <v>1</v>
      </c>
      <c r="G1496" s="1" t="s">
        <v>7</v>
      </c>
    </row>
    <row r="1497" spans="1:7" hidden="1">
      <c r="A1497" t="s">
        <v>83</v>
      </c>
      <c r="B1497" s="1" t="s">
        <v>68</v>
      </c>
      <c r="C1497" s="2">
        <v>2023</v>
      </c>
      <c r="D1497" s="2">
        <v>441</v>
      </c>
      <c r="E1497" s="2">
        <v>258</v>
      </c>
      <c r="F1497" s="2">
        <v>183</v>
      </c>
      <c r="G1497" s="1" t="s">
        <v>7</v>
      </c>
    </row>
    <row r="1498" spans="1:7" hidden="1">
      <c r="A1498" t="s">
        <v>83</v>
      </c>
      <c r="B1498" s="1" t="s">
        <v>68</v>
      </c>
      <c r="C1498" s="2">
        <v>2024</v>
      </c>
      <c r="D1498" s="2">
        <v>1</v>
      </c>
      <c r="E1498" s="2">
        <v>1</v>
      </c>
      <c r="F1498" s="1" t="s">
        <v>7</v>
      </c>
      <c r="G1498" s="1" t="s">
        <v>7</v>
      </c>
    </row>
    <row r="1499" spans="1:7" hidden="1">
      <c r="A1499" t="s">
        <v>83</v>
      </c>
      <c r="B1499" s="1" t="s">
        <v>69</v>
      </c>
      <c r="C1499" s="2">
        <v>2024</v>
      </c>
      <c r="D1499" s="2">
        <v>454</v>
      </c>
      <c r="E1499" s="2">
        <v>285</v>
      </c>
      <c r="F1499" s="2">
        <v>169</v>
      </c>
      <c r="G1499" s="1" t="s">
        <v>7</v>
      </c>
    </row>
    <row r="1500" spans="1:7" hidden="1">
      <c r="A1500" t="s">
        <v>83</v>
      </c>
      <c r="B1500" s="1" t="s">
        <v>6</v>
      </c>
      <c r="C1500" s="2">
        <v>1990</v>
      </c>
      <c r="D1500" s="2">
        <v>3</v>
      </c>
      <c r="E1500" s="2">
        <v>3</v>
      </c>
      <c r="F1500" s="1" t="s">
        <v>7</v>
      </c>
      <c r="G1500" s="1" t="s">
        <v>7</v>
      </c>
    </row>
    <row r="1501" spans="1:7" hidden="1">
      <c r="A1501" t="s">
        <v>83</v>
      </c>
      <c r="B1501" s="1" t="s">
        <v>6</v>
      </c>
      <c r="C1501" s="2">
        <v>1991</v>
      </c>
      <c r="D1501" s="2">
        <v>3</v>
      </c>
      <c r="E1501" s="2">
        <v>2</v>
      </c>
      <c r="F1501" s="2">
        <v>1</v>
      </c>
      <c r="G1501" s="1" t="s">
        <v>7</v>
      </c>
    </row>
    <row r="1502" spans="1:7" hidden="1">
      <c r="A1502" t="s">
        <v>83</v>
      </c>
      <c r="B1502" s="1" t="s">
        <v>6</v>
      </c>
      <c r="C1502" s="2">
        <v>1992</v>
      </c>
      <c r="D1502" s="2">
        <v>5</v>
      </c>
      <c r="E1502" s="2">
        <v>3</v>
      </c>
      <c r="F1502" s="2">
        <v>2</v>
      </c>
      <c r="G1502" s="1" t="s">
        <v>7</v>
      </c>
    </row>
    <row r="1503" spans="1:7" hidden="1">
      <c r="A1503" t="s">
        <v>83</v>
      </c>
      <c r="B1503" s="1" t="s">
        <v>6</v>
      </c>
      <c r="C1503" s="2">
        <v>1993</v>
      </c>
      <c r="D1503" s="2">
        <v>2</v>
      </c>
      <c r="E1503" s="2">
        <v>2</v>
      </c>
      <c r="F1503" s="1" t="s">
        <v>7</v>
      </c>
      <c r="G1503" s="1" t="s">
        <v>7</v>
      </c>
    </row>
    <row r="1504" spans="1:7" hidden="1">
      <c r="A1504" t="s">
        <v>83</v>
      </c>
      <c r="B1504" s="1" t="s">
        <v>6</v>
      </c>
      <c r="C1504" s="2">
        <v>2023</v>
      </c>
      <c r="D1504" s="2">
        <v>1</v>
      </c>
      <c r="E1504" s="2">
        <v>1</v>
      </c>
      <c r="F1504" s="1" t="s">
        <v>7</v>
      </c>
      <c r="G1504" s="1" t="s">
        <v>7</v>
      </c>
    </row>
    <row r="1505" spans="1:7" hidden="1">
      <c r="A1505" t="s">
        <v>84</v>
      </c>
      <c r="B1505" s="1" t="s">
        <v>3</v>
      </c>
      <c r="C1505" s="2">
        <v>1990</v>
      </c>
      <c r="D1505" s="2">
        <v>155</v>
      </c>
      <c r="E1505" s="2">
        <v>98</v>
      </c>
      <c r="F1505" s="2">
        <v>57</v>
      </c>
      <c r="G1505" s="1" t="s">
        <v>7</v>
      </c>
    </row>
    <row r="1506" spans="1:7" hidden="1">
      <c r="A1506" t="s">
        <v>84</v>
      </c>
      <c r="B1506" s="1" t="s">
        <v>3</v>
      </c>
      <c r="C1506" s="2">
        <v>1991</v>
      </c>
      <c r="D1506" s="2">
        <v>197</v>
      </c>
      <c r="E1506" s="2">
        <v>112</v>
      </c>
      <c r="F1506" s="2">
        <v>85</v>
      </c>
      <c r="G1506" s="1" t="s">
        <v>7</v>
      </c>
    </row>
    <row r="1507" spans="1:7" hidden="1">
      <c r="A1507" t="s">
        <v>84</v>
      </c>
      <c r="B1507" s="1" t="s">
        <v>3</v>
      </c>
      <c r="C1507" s="2">
        <v>1992</v>
      </c>
      <c r="D1507" s="2">
        <v>188</v>
      </c>
      <c r="E1507" s="2">
        <v>98</v>
      </c>
      <c r="F1507" s="2">
        <v>90</v>
      </c>
      <c r="G1507" s="1" t="s">
        <v>7</v>
      </c>
    </row>
    <row r="1508" spans="1:7" hidden="1">
      <c r="A1508" t="s">
        <v>84</v>
      </c>
      <c r="B1508" s="1" t="s">
        <v>3</v>
      </c>
      <c r="C1508" s="2">
        <v>1993</v>
      </c>
      <c r="D1508" s="2">
        <v>167</v>
      </c>
      <c r="E1508" s="2">
        <v>103</v>
      </c>
      <c r="F1508" s="2">
        <v>64</v>
      </c>
      <c r="G1508" s="1" t="s">
        <v>7</v>
      </c>
    </row>
    <row r="1509" spans="1:7" hidden="1">
      <c r="A1509" t="s">
        <v>84</v>
      </c>
      <c r="B1509" s="1" t="s">
        <v>3</v>
      </c>
      <c r="C1509" s="2">
        <v>1994</v>
      </c>
      <c r="D1509" s="2">
        <v>164</v>
      </c>
      <c r="E1509" s="2">
        <v>94</v>
      </c>
      <c r="F1509" s="2">
        <v>70</v>
      </c>
      <c r="G1509" s="1" t="s">
        <v>7</v>
      </c>
    </row>
    <row r="1510" spans="1:7" hidden="1">
      <c r="A1510" t="s">
        <v>84</v>
      </c>
      <c r="B1510" s="1" t="s">
        <v>3</v>
      </c>
      <c r="C1510" s="2">
        <v>1995</v>
      </c>
      <c r="D1510" s="2">
        <v>165</v>
      </c>
      <c r="E1510" s="2">
        <v>83</v>
      </c>
      <c r="F1510" s="2">
        <v>82</v>
      </c>
      <c r="G1510" s="1" t="s">
        <v>7</v>
      </c>
    </row>
    <row r="1511" spans="1:7" hidden="1">
      <c r="A1511" t="s">
        <v>84</v>
      </c>
      <c r="B1511" s="1" t="s">
        <v>3</v>
      </c>
      <c r="C1511" s="2">
        <v>1996</v>
      </c>
      <c r="D1511" s="2">
        <v>165</v>
      </c>
      <c r="E1511" s="2">
        <v>87</v>
      </c>
      <c r="F1511" s="2">
        <v>78</v>
      </c>
      <c r="G1511" s="1" t="s">
        <v>7</v>
      </c>
    </row>
    <row r="1512" spans="1:7" hidden="1">
      <c r="A1512" t="s">
        <v>84</v>
      </c>
      <c r="B1512" s="1" t="s">
        <v>3</v>
      </c>
      <c r="C1512" s="2">
        <v>1997</v>
      </c>
      <c r="D1512" s="2">
        <v>177</v>
      </c>
      <c r="E1512" s="2">
        <v>90</v>
      </c>
      <c r="F1512" s="2">
        <v>87</v>
      </c>
      <c r="G1512" s="1" t="s">
        <v>7</v>
      </c>
    </row>
    <row r="1513" spans="1:7" hidden="1">
      <c r="A1513" t="s">
        <v>84</v>
      </c>
      <c r="B1513" s="1" t="s">
        <v>3</v>
      </c>
      <c r="C1513" s="2">
        <v>1998</v>
      </c>
      <c r="D1513" s="2">
        <v>191</v>
      </c>
      <c r="E1513" s="2">
        <v>97</v>
      </c>
      <c r="F1513" s="2">
        <v>94</v>
      </c>
      <c r="G1513" s="1" t="s">
        <v>7</v>
      </c>
    </row>
    <row r="1514" spans="1:7" hidden="1">
      <c r="A1514" t="s">
        <v>84</v>
      </c>
      <c r="B1514" s="1" t="s">
        <v>3</v>
      </c>
      <c r="C1514" s="2">
        <v>1999</v>
      </c>
      <c r="D1514" s="2">
        <v>193</v>
      </c>
      <c r="E1514" s="2">
        <v>104</v>
      </c>
      <c r="F1514" s="2">
        <v>89</v>
      </c>
      <c r="G1514" s="1" t="s">
        <v>7</v>
      </c>
    </row>
    <row r="1515" spans="1:7" hidden="1">
      <c r="A1515" t="s">
        <v>84</v>
      </c>
      <c r="B1515" s="1" t="s">
        <v>3</v>
      </c>
      <c r="C1515" s="2">
        <v>2000</v>
      </c>
      <c r="D1515" s="2">
        <v>170</v>
      </c>
      <c r="E1515" s="2">
        <v>90</v>
      </c>
      <c r="F1515" s="2">
        <v>80</v>
      </c>
      <c r="G1515" s="1" t="s">
        <v>7</v>
      </c>
    </row>
    <row r="1516" spans="1:7" hidden="1">
      <c r="A1516" t="s">
        <v>84</v>
      </c>
      <c r="B1516" s="1" t="s">
        <v>3</v>
      </c>
      <c r="C1516" s="2">
        <v>2001</v>
      </c>
      <c r="D1516" s="2">
        <v>179</v>
      </c>
      <c r="E1516" s="2">
        <v>103</v>
      </c>
      <c r="F1516" s="2">
        <v>75</v>
      </c>
      <c r="G1516" s="2">
        <v>1</v>
      </c>
    </row>
    <row r="1517" spans="1:7" hidden="1">
      <c r="A1517" t="s">
        <v>84</v>
      </c>
      <c r="B1517" s="1" t="s">
        <v>3</v>
      </c>
      <c r="C1517" s="2">
        <v>2002</v>
      </c>
      <c r="D1517" s="2">
        <v>188</v>
      </c>
      <c r="E1517" s="2">
        <v>101</v>
      </c>
      <c r="F1517" s="2">
        <v>87</v>
      </c>
      <c r="G1517" s="1" t="s">
        <v>7</v>
      </c>
    </row>
    <row r="1518" spans="1:7" hidden="1">
      <c r="A1518" t="s">
        <v>84</v>
      </c>
      <c r="B1518" s="1" t="s">
        <v>3</v>
      </c>
      <c r="C1518" s="2">
        <v>2003</v>
      </c>
      <c r="D1518" s="2">
        <v>193</v>
      </c>
      <c r="E1518" s="2">
        <v>110</v>
      </c>
      <c r="F1518" s="2">
        <v>83</v>
      </c>
      <c r="G1518" s="1" t="s">
        <v>7</v>
      </c>
    </row>
    <row r="1519" spans="1:7" hidden="1">
      <c r="A1519" t="s">
        <v>84</v>
      </c>
      <c r="B1519" s="1" t="s">
        <v>3</v>
      </c>
      <c r="C1519" s="2">
        <v>2004</v>
      </c>
      <c r="D1519" s="2">
        <v>205</v>
      </c>
      <c r="E1519" s="2">
        <v>113</v>
      </c>
      <c r="F1519" s="2">
        <v>92</v>
      </c>
      <c r="G1519" s="1" t="s">
        <v>7</v>
      </c>
    </row>
    <row r="1520" spans="1:7" hidden="1">
      <c r="A1520" t="s">
        <v>84</v>
      </c>
      <c r="B1520" s="1" t="s">
        <v>3</v>
      </c>
      <c r="C1520" s="2">
        <v>2005</v>
      </c>
      <c r="D1520" s="2">
        <v>243</v>
      </c>
      <c r="E1520" s="2">
        <v>135</v>
      </c>
      <c r="F1520" s="2">
        <v>108</v>
      </c>
      <c r="G1520" s="1" t="s">
        <v>7</v>
      </c>
    </row>
    <row r="1521" spans="1:7" hidden="1">
      <c r="A1521" t="s">
        <v>84</v>
      </c>
      <c r="B1521" s="1" t="s">
        <v>3</v>
      </c>
      <c r="C1521" s="2">
        <v>2006</v>
      </c>
      <c r="D1521" s="2">
        <v>236</v>
      </c>
      <c r="E1521" s="2">
        <v>137</v>
      </c>
      <c r="F1521" s="2">
        <v>99</v>
      </c>
      <c r="G1521" s="1" t="s">
        <v>7</v>
      </c>
    </row>
    <row r="1522" spans="1:7" hidden="1">
      <c r="A1522" t="s">
        <v>84</v>
      </c>
      <c r="B1522" s="1" t="s">
        <v>3</v>
      </c>
      <c r="C1522" s="2">
        <v>2007</v>
      </c>
      <c r="D1522" s="2">
        <v>203</v>
      </c>
      <c r="E1522" s="2">
        <v>134</v>
      </c>
      <c r="F1522" s="2">
        <v>69</v>
      </c>
      <c r="G1522" s="1" t="s">
        <v>7</v>
      </c>
    </row>
    <row r="1523" spans="1:7" hidden="1">
      <c r="A1523" t="s">
        <v>84</v>
      </c>
      <c r="B1523" s="1" t="s">
        <v>3</v>
      </c>
      <c r="C1523" s="2">
        <v>2008</v>
      </c>
      <c r="D1523" s="2">
        <v>234</v>
      </c>
      <c r="E1523" s="2">
        <v>148</v>
      </c>
      <c r="F1523" s="2">
        <v>86</v>
      </c>
      <c r="G1523" s="1" t="s">
        <v>7</v>
      </c>
    </row>
    <row r="1524" spans="1:7" hidden="1">
      <c r="A1524" t="s">
        <v>84</v>
      </c>
      <c r="B1524" s="1" t="s">
        <v>3</v>
      </c>
      <c r="C1524" s="2">
        <v>2009</v>
      </c>
      <c r="D1524" s="2">
        <v>272</v>
      </c>
      <c r="E1524" s="2">
        <v>159</v>
      </c>
      <c r="F1524" s="2">
        <v>113</v>
      </c>
      <c r="G1524" s="1" t="s">
        <v>7</v>
      </c>
    </row>
    <row r="1525" spans="1:7">
      <c r="A1525" t="s">
        <v>84</v>
      </c>
      <c r="B1525" s="1" t="s">
        <v>3</v>
      </c>
      <c r="C1525" s="2">
        <v>2010</v>
      </c>
      <c r="D1525" s="2">
        <v>273</v>
      </c>
      <c r="E1525" s="2">
        <v>159</v>
      </c>
      <c r="F1525" s="2">
        <v>114</v>
      </c>
      <c r="G1525" s="1" t="s">
        <v>7</v>
      </c>
    </row>
    <row r="1526" spans="1:7" hidden="1">
      <c r="A1526" t="s">
        <v>84</v>
      </c>
      <c r="B1526" s="1" t="s">
        <v>3</v>
      </c>
      <c r="C1526" s="2">
        <v>2011</v>
      </c>
      <c r="D1526" s="2">
        <v>289</v>
      </c>
      <c r="E1526" s="2">
        <v>174</v>
      </c>
      <c r="F1526" s="2">
        <v>115</v>
      </c>
      <c r="G1526" s="1" t="s">
        <v>7</v>
      </c>
    </row>
    <row r="1527" spans="1:7" hidden="1">
      <c r="A1527" t="s">
        <v>84</v>
      </c>
      <c r="B1527" s="1" t="s">
        <v>3</v>
      </c>
      <c r="C1527" s="2">
        <v>2012</v>
      </c>
      <c r="D1527" s="2">
        <v>292</v>
      </c>
      <c r="E1527" s="2">
        <v>163</v>
      </c>
      <c r="F1527" s="2">
        <v>129</v>
      </c>
      <c r="G1527" s="1" t="s">
        <v>7</v>
      </c>
    </row>
    <row r="1528" spans="1:7" hidden="1">
      <c r="A1528" t="s">
        <v>84</v>
      </c>
      <c r="B1528" s="1" t="s">
        <v>3</v>
      </c>
      <c r="C1528" s="2">
        <v>2013</v>
      </c>
      <c r="D1528" s="2">
        <v>301</v>
      </c>
      <c r="E1528" s="2">
        <v>190</v>
      </c>
      <c r="F1528" s="2">
        <v>111</v>
      </c>
      <c r="G1528" s="1" t="s">
        <v>7</v>
      </c>
    </row>
    <row r="1529" spans="1:7" hidden="1">
      <c r="A1529" t="s">
        <v>84</v>
      </c>
      <c r="B1529" s="1" t="s">
        <v>3</v>
      </c>
      <c r="C1529" s="2">
        <v>2014</v>
      </c>
      <c r="D1529" s="2">
        <v>323</v>
      </c>
      <c r="E1529" s="2">
        <v>191</v>
      </c>
      <c r="F1529" s="2">
        <v>132</v>
      </c>
      <c r="G1529" s="1" t="s">
        <v>7</v>
      </c>
    </row>
    <row r="1530" spans="1:7" hidden="1">
      <c r="A1530" t="s">
        <v>84</v>
      </c>
      <c r="B1530" s="1" t="s">
        <v>3</v>
      </c>
      <c r="C1530" s="2">
        <v>2015</v>
      </c>
      <c r="D1530" s="2">
        <v>330</v>
      </c>
      <c r="E1530" s="2">
        <v>180</v>
      </c>
      <c r="F1530" s="2">
        <v>150</v>
      </c>
      <c r="G1530" s="1" t="s">
        <v>7</v>
      </c>
    </row>
    <row r="1531" spans="1:7" hidden="1">
      <c r="A1531" t="s">
        <v>84</v>
      </c>
      <c r="B1531" s="1" t="s">
        <v>3</v>
      </c>
      <c r="C1531" s="2">
        <v>2016</v>
      </c>
      <c r="D1531" s="2">
        <v>327</v>
      </c>
      <c r="E1531" s="2">
        <v>193</v>
      </c>
      <c r="F1531" s="2">
        <v>134</v>
      </c>
      <c r="G1531" s="1" t="s">
        <v>7</v>
      </c>
    </row>
    <row r="1532" spans="1:7" hidden="1">
      <c r="A1532" t="s">
        <v>84</v>
      </c>
      <c r="B1532" s="1" t="s">
        <v>3</v>
      </c>
      <c r="C1532" s="2">
        <v>2017</v>
      </c>
      <c r="D1532" s="2">
        <v>392</v>
      </c>
      <c r="E1532" s="2">
        <v>236</v>
      </c>
      <c r="F1532" s="2">
        <v>156</v>
      </c>
      <c r="G1532" s="1" t="s">
        <v>7</v>
      </c>
    </row>
    <row r="1533" spans="1:7" hidden="1">
      <c r="A1533" t="s">
        <v>84</v>
      </c>
      <c r="B1533" s="1" t="s">
        <v>3</v>
      </c>
      <c r="C1533" s="2">
        <v>2018</v>
      </c>
      <c r="D1533" s="2">
        <v>341</v>
      </c>
      <c r="E1533" s="2">
        <v>202</v>
      </c>
      <c r="F1533" s="2">
        <v>139</v>
      </c>
      <c r="G1533" s="1" t="s">
        <v>7</v>
      </c>
    </row>
    <row r="1534" spans="1:7">
      <c r="A1534" t="s">
        <v>84</v>
      </c>
      <c r="B1534" s="1" t="s">
        <v>3</v>
      </c>
      <c r="C1534" s="2">
        <v>2019</v>
      </c>
      <c r="D1534" s="2">
        <v>352</v>
      </c>
      <c r="E1534" s="2">
        <v>194</v>
      </c>
      <c r="F1534" s="2">
        <v>158</v>
      </c>
      <c r="G1534" s="1" t="s">
        <v>7</v>
      </c>
    </row>
    <row r="1535" spans="1:7" hidden="1">
      <c r="A1535" t="s">
        <v>84</v>
      </c>
      <c r="B1535" s="1" t="s">
        <v>3</v>
      </c>
      <c r="C1535" s="2">
        <v>2020</v>
      </c>
      <c r="D1535" s="2">
        <v>548</v>
      </c>
      <c r="E1535" s="2">
        <v>336</v>
      </c>
      <c r="F1535" s="2">
        <v>212</v>
      </c>
      <c r="G1535" s="1" t="s">
        <v>7</v>
      </c>
    </row>
    <row r="1536" spans="1:7">
      <c r="A1536" t="s">
        <v>84</v>
      </c>
      <c r="B1536" s="1" t="s">
        <v>3</v>
      </c>
      <c r="C1536" s="2">
        <v>2021</v>
      </c>
      <c r="D1536" s="2">
        <v>726</v>
      </c>
      <c r="E1536" s="2">
        <v>436</v>
      </c>
      <c r="F1536" s="2">
        <v>290</v>
      </c>
      <c r="G1536" s="1" t="s">
        <v>7</v>
      </c>
    </row>
    <row r="1537" spans="1:7" hidden="1">
      <c r="A1537" t="s">
        <v>84</v>
      </c>
      <c r="B1537" s="1" t="s">
        <v>3</v>
      </c>
      <c r="C1537" s="2">
        <v>2022</v>
      </c>
      <c r="D1537" s="2">
        <v>450</v>
      </c>
      <c r="E1537" s="2">
        <v>265</v>
      </c>
      <c r="F1537" s="2">
        <v>185</v>
      </c>
      <c r="G1537" s="1" t="s">
        <v>7</v>
      </c>
    </row>
    <row r="1538" spans="1:7" hidden="1">
      <c r="A1538" t="s">
        <v>84</v>
      </c>
      <c r="B1538" s="1" t="s">
        <v>3</v>
      </c>
      <c r="C1538" s="2">
        <v>2023</v>
      </c>
      <c r="D1538" s="2">
        <v>488</v>
      </c>
      <c r="E1538" s="2">
        <v>305</v>
      </c>
      <c r="F1538" s="2">
        <v>183</v>
      </c>
      <c r="G1538" s="1" t="s">
        <v>7</v>
      </c>
    </row>
    <row r="1539" spans="1:7" hidden="1">
      <c r="A1539" t="s">
        <v>84</v>
      </c>
      <c r="B1539" s="1" t="s">
        <v>3</v>
      </c>
      <c r="C1539" s="2">
        <v>2024</v>
      </c>
      <c r="D1539" s="2">
        <v>479</v>
      </c>
      <c r="E1539" s="2">
        <v>291</v>
      </c>
      <c r="F1539" s="2">
        <v>188</v>
      </c>
      <c r="G1539" s="1" t="s">
        <v>7</v>
      </c>
    </row>
    <row r="1540" spans="1:7" hidden="1">
      <c r="A1540" t="s">
        <v>84</v>
      </c>
      <c r="B1540" s="1" t="s">
        <v>17</v>
      </c>
      <c r="C1540" s="2">
        <v>2008</v>
      </c>
      <c r="D1540" s="2">
        <v>1</v>
      </c>
      <c r="E1540" s="1" t="s">
        <v>7</v>
      </c>
      <c r="F1540" s="2">
        <v>1</v>
      </c>
      <c r="G1540" s="1" t="s">
        <v>7</v>
      </c>
    </row>
    <row r="1541" spans="1:7" hidden="1">
      <c r="A1541" t="s">
        <v>84</v>
      </c>
      <c r="B1541" s="1" t="s">
        <v>18</v>
      </c>
      <c r="C1541" s="2">
        <v>2014</v>
      </c>
      <c r="D1541" s="2">
        <v>1</v>
      </c>
      <c r="E1541" s="2">
        <v>1</v>
      </c>
      <c r="F1541" s="1" t="s">
        <v>7</v>
      </c>
      <c r="G1541" s="1" t="s">
        <v>7</v>
      </c>
    </row>
    <row r="1542" spans="1:7" hidden="1">
      <c r="A1542" t="s">
        <v>84</v>
      </c>
      <c r="B1542" s="1" t="s">
        <v>35</v>
      </c>
      <c r="C1542" s="2">
        <v>1990</v>
      </c>
      <c r="D1542" s="2">
        <v>151</v>
      </c>
      <c r="E1542" s="2">
        <v>96</v>
      </c>
      <c r="F1542" s="2">
        <v>55</v>
      </c>
      <c r="G1542" s="1" t="s">
        <v>7</v>
      </c>
    </row>
    <row r="1543" spans="1:7" hidden="1">
      <c r="A1543" t="s">
        <v>84</v>
      </c>
      <c r="B1543" s="1" t="s">
        <v>36</v>
      </c>
      <c r="C1543" s="2">
        <v>1991</v>
      </c>
      <c r="D1543" s="2">
        <v>194</v>
      </c>
      <c r="E1543" s="2">
        <v>110</v>
      </c>
      <c r="F1543" s="2">
        <v>84</v>
      </c>
      <c r="G1543" s="1" t="s">
        <v>7</v>
      </c>
    </row>
    <row r="1544" spans="1:7" hidden="1">
      <c r="A1544" t="s">
        <v>84</v>
      </c>
      <c r="B1544" s="1" t="s">
        <v>36</v>
      </c>
      <c r="C1544" s="2">
        <v>1997</v>
      </c>
      <c r="D1544" s="2">
        <v>1</v>
      </c>
      <c r="E1544" s="2">
        <v>1</v>
      </c>
      <c r="F1544" s="1" t="s">
        <v>7</v>
      </c>
      <c r="G1544" s="1" t="s">
        <v>7</v>
      </c>
    </row>
    <row r="1545" spans="1:7" hidden="1">
      <c r="A1545" t="s">
        <v>84</v>
      </c>
      <c r="B1545" s="1" t="s">
        <v>37</v>
      </c>
      <c r="C1545" s="2">
        <v>1992</v>
      </c>
      <c r="D1545" s="2">
        <v>188</v>
      </c>
      <c r="E1545" s="2">
        <v>98</v>
      </c>
      <c r="F1545" s="2">
        <v>90</v>
      </c>
      <c r="G1545" s="1" t="s">
        <v>7</v>
      </c>
    </row>
    <row r="1546" spans="1:7" hidden="1">
      <c r="A1546" t="s">
        <v>84</v>
      </c>
      <c r="B1546" s="1" t="s">
        <v>38</v>
      </c>
      <c r="C1546" s="2">
        <v>1993</v>
      </c>
      <c r="D1546" s="2">
        <v>166</v>
      </c>
      <c r="E1546" s="2">
        <v>102</v>
      </c>
      <c r="F1546" s="2">
        <v>64</v>
      </c>
      <c r="G1546" s="1" t="s">
        <v>7</v>
      </c>
    </row>
    <row r="1547" spans="1:7" hidden="1">
      <c r="A1547" t="s">
        <v>84</v>
      </c>
      <c r="B1547" s="1" t="s">
        <v>39</v>
      </c>
      <c r="C1547" s="2">
        <v>1994</v>
      </c>
      <c r="D1547" s="2">
        <v>164</v>
      </c>
      <c r="E1547" s="2">
        <v>94</v>
      </c>
      <c r="F1547" s="2">
        <v>70</v>
      </c>
      <c r="G1547" s="1" t="s">
        <v>7</v>
      </c>
    </row>
    <row r="1548" spans="1:7" hidden="1">
      <c r="A1548" t="s">
        <v>84</v>
      </c>
      <c r="B1548" s="1" t="s">
        <v>40</v>
      </c>
      <c r="C1548" s="2">
        <v>1995</v>
      </c>
      <c r="D1548" s="2">
        <v>165</v>
      </c>
      <c r="E1548" s="2">
        <v>83</v>
      </c>
      <c r="F1548" s="2">
        <v>82</v>
      </c>
      <c r="G1548" s="1" t="s">
        <v>7</v>
      </c>
    </row>
    <row r="1549" spans="1:7" hidden="1">
      <c r="A1549" t="s">
        <v>84</v>
      </c>
      <c r="B1549" s="1" t="s">
        <v>40</v>
      </c>
      <c r="C1549" s="2">
        <v>1996</v>
      </c>
      <c r="D1549" s="2">
        <v>2</v>
      </c>
      <c r="E1549" s="2">
        <v>2</v>
      </c>
      <c r="F1549" s="1" t="s">
        <v>7</v>
      </c>
      <c r="G1549" s="1" t="s">
        <v>7</v>
      </c>
    </row>
    <row r="1550" spans="1:7" hidden="1">
      <c r="A1550" t="s">
        <v>84</v>
      </c>
      <c r="B1550" s="1" t="s">
        <v>41</v>
      </c>
      <c r="C1550" s="2">
        <v>1996</v>
      </c>
      <c r="D1550" s="2">
        <v>163</v>
      </c>
      <c r="E1550" s="2">
        <v>85</v>
      </c>
      <c r="F1550" s="2">
        <v>78</v>
      </c>
      <c r="G1550" s="1" t="s">
        <v>7</v>
      </c>
    </row>
    <row r="1551" spans="1:7" hidden="1">
      <c r="A1551" t="s">
        <v>84</v>
      </c>
      <c r="B1551" s="1" t="s">
        <v>41</v>
      </c>
      <c r="C1551" s="2">
        <v>1997</v>
      </c>
      <c r="D1551" s="2">
        <v>1</v>
      </c>
      <c r="E1551" s="2">
        <v>1</v>
      </c>
      <c r="F1551" s="1" t="s">
        <v>7</v>
      </c>
      <c r="G1551" s="1" t="s">
        <v>7</v>
      </c>
    </row>
    <row r="1552" spans="1:7" hidden="1">
      <c r="A1552" t="s">
        <v>84</v>
      </c>
      <c r="B1552" s="1" t="s">
        <v>42</v>
      </c>
      <c r="C1552" s="2">
        <v>1997</v>
      </c>
      <c r="D1552" s="2">
        <v>175</v>
      </c>
      <c r="E1552" s="2">
        <v>88</v>
      </c>
      <c r="F1552" s="2">
        <v>87</v>
      </c>
      <c r="G1552" s="1" t="s">
        <v>7</v>
      </c>
    </row>
    <row r="1553" spans="1:7" hidden="1">
      <c r="A1553" t="s">
        <v>84</v>
      </c>
      <c r="B1553" s="1" t="s">
        <v>42</v>
      </c>
      <c r="C1553" s="2">
        <v>1998</v>
      </c>
      <c r="D1553" s="2">
        <v>1</v>
      </c>
      <c r="E1553" s="2">
        <v>1</v>
      </c>
      <c r="F1553" s="1" t="s">
        <v>7</v>
      </c>
      <c r="G1553" s="1" t="s">
        <v>7</v>
      </c>
    </row>
    <row r="1554" spans="1:7" hidden="1">
      <c r="A1554" t="s">
        <v>84</v>
      </c>
      <c r="B1554" s="1" t="s">
        <v>42</v>
      </c>
      <c r="C1554" s="2">
        <v>2012</v>
      </c>
      <c r="D1554" s="2">
        <v>1</v>
      </c>
      <c r="E1554" s="1" t="s">
        <v>7</v>
      </c>
      <c r="F1554" s="2">
        <v>1</v>
      </c>
      <c r="G1554" s="1" t="s">
        <v>7</v>
      </c>
    </row>
    <row r="1555" spans="1:7" hidden="1">
      <c r="A1555" t="s">
        <v>84</v>
      </c>
      <c r="B1555" s="1" t="s">
        <v>43</v>
      </c>
      <c r="C1555" s="2">
        <v>1998</v>
      </c>
      <c r="D1555" s="2">
        <v>190</v>
      </c>
      <c r="E1555" s="2">
        <v>96</v>
      </c>
      <c r="F1555" s="2">
        <v>94</v>
      </c>
      <c r="G1555" s="1" t="s">
        <v>7</v>
      </c>
    </row>
    <row r="1556" spans="1:7" hidden="1">
      <c r="A1556" t="s">
        <v>84</v>
      </c>
      <c r="B1556" s="1" t="s">
        <v>44</v>
      </c>
      <c r="C1556" s="2">
        <v>1999</v>
      </c>
      <c r="D1556" s="2">
        <v>193</v>
      </c>
      <c r="E1556" s="2">
        <v>104</v>
      </c>
      <c r="F1556" s="2">
        <v>89</v>
      </c>
      <c r="G1556" s="1" t="s">
        <v>7</v>
      </c>
    </row>
    <row r="1557" spans="1:7" hidden="1">
      <c r="A1557" t="s">
        <v>84</v>
      </c>
      <c r="B1557" s="1" t="s">
        <v>45</v>
      </c>
      <c r="C1557" s="2">
        <v>2000</v>
      </c>
      <c r="D1557" s="2">
        <v>170</v>
      </c>
      <c r="E1557" s="2">
        <v>90</v>
      </c>
      <c r="F1557" s="2">
        <v>80</v>
      </c>
      <c r="G1557" s="1" t="s">
        <v>7</v>
      </c>
    </row>
    <row r="1558" spans="1:7" hidden="1">
      <c r="A1558" t="s">
        <v>84</v>
      </c>
      <c r="B1558" s="1" t="s">
        <v>46</v>
      </c>
      <c r="C1558" s="2">
        <v>2001</v>
      </c>
      <c r="D1558" s="2">
        <v>179</v>
      </c>
      <c r="E1558" s="2">
        <v>103</v>
      </c>
      <c r="F1558" s="2">
        <v>75</v>
      </c>
      <c r="G1558" s="2">
        <v>1</v>
      </c>
    </row>
    <row r="1559" spans="1:7" hidden="1">
      <c r="A1559" t="s">
        <v>84</v>
      </c>
      <c r="B1559" s="1" t="s">
        <v>47</v>
      </c>
      <c r="C1559" s="2">
        <v>2002</v>
      </c>
      <c r="D1559" s="2">
        <v>188</v>
      </c>
      <c r="E1559" s="2">
        <v>101</v>
      </c>
      <c r="F1559" s="2">
        <v>87</v>
      </c>
      <c r="G1559" s="1" t="s">
        <v>7</v>
      </c>
    </row>
    <row r="1560" spans="1:7" hidden="1">
      <c r="A1560" t="s">
        <v>84</v>
      </c>
      <c r="B1560" s="1" t="s">
        <v>48</v>
      </c>
      <c r="C1560" s="2">
        <v>2003</v>
      </c>
      <c r="D1560" s="2">
        <v>193</v>
      </c>
      <c r="E1560" s="2">
        <v>110</v>
      </c>
      <c r="F1560" s="2">
        <v>83</v>
      </c>
      <c r="G1560" s="1" t="s">
        <v>7</v>
      </c>
    </row>
    <row r="1561" spans="1:7" hidden="1">
      <c r="A1561" t="s">
        <v>84</v>
      </c>
      <c r="B1561" s="1" t="s">
        <v>48</v>
      </c>
      <c r="C1561" s="2">
        <v>2004</v>
      </c>
      <c r="D1561" s="2">
        <v>2</v>
      </c>
      <c r="E1561" s="2">
        <v>2</v>
      </c>
      <c r="F1561" s="1" t="s">
        <v>7</v>
      </c>
      <c r="G1561" s="1" t="s">
        <v>7</v>
      </c>
    </row>
    <row r="1562" spans="1:7" hidden="1">
      <c r="A1562" t="s">
        <v>84</v>
      </c>
      <c r="B1562" s="1" t="s">
        <v>49</v>
      </c>
      <c r="C1562" s="2">
        <v>2004</v>
      </c>
      <c r="D1562" s="2">
        <v>203</v>
      </c>
      <c r="E1562" s="2">
        <v>111</v>
      </c>
      <c r="F1562" s="2">
        <v>92</v>
      </c>
      <c r="G1562" s="1" t="s">
        <v>7</v>
      </c>
    </row>
    <row r="1563" spans="1:7" hidden="1">
      <c r="A1563" t="s">
        <v>84</v>
      </c>
      <c r="B1563" s="1" t="s">
        <v>49</v>
      </c>
      <c r="C1563" s="2">
        <v>2009</v>
      </c>
      <c r="D1563" s="2">
        <v>1</v>
      </c>
      <c r="E1563" s="2">
        <v>1</v>
      </c>
      <c r="F1563" s="1" t="s">
        <v>7</v>
      </c>
      <c r="G1563" s="1" t="s">
        <v>7</v>
      </c>
    </row>
    <row r="1564" spans="1:7" hidden="1">
      <c r="A1564" t="s">
        <v>84</v>
      </c>
      <c r="B1564" s="1" t="s">
        <v>50</v>
      </c>
      <c r="C1564" s="2">
        <v>2005</v>
      </c>
      <c r="D1564" s="2">
        <v>243</v>
      </c>
      <c r="E1564" s="2">
        <v>135</v>
      </c>
      <c r="F1564" s="2">
        <v>108</v>
      </c>
      <c r="G1564" s="1" t="s">
        <v>7</v>
      </c>
    </row>
    <row r="1565" spans="1:7" hidden="1">
      <c r="A1565" t="s">
        <v>84</v>
      </c>
      <c r="B1565" s="1" t="s">
        <v>50</v>
      </c>
      <c r="C1565" s="2">
        <v>2006</v>
      </c>
      <c r="D1565" s="2">
        <v>3</v>
      </c>
      <c r="E1565" s="1" t="s">
        <v>7</v>
      </c>
      <c r="F1565" s="2">
        <v>3</v>
      </c>
      <c r="G1565" s="1" t="s">
        <v>7</v>
      </c>
    </row>
    <row r="1566" spans="1:7" hidden="1">
      <c r="A1566" t="s">
        <v>84</v>
      </c>
      <c r="B1566" s="1" t="s">
        <v>51</v>
      </c>
      <c r="C1566" s="2">
        <v>2006</v>
      </c>
      <c r="D1566" s="2">
        <v>233</v>
      </c>
      <c r="E1566" s="2">
        <v>137</v>
      </c>
      <c r="F1566" s="2">
        <v>96</v>
      </c>
      <c r="G1566" s="1" t="s">
        <v>7</v>
      </c>
    </row>
    <row r="1567" spans="1:7" hidden="1">
      <c r="A1567" t="s">
        <v>84</v>
      </c>
      <c r="B1567" s="1" t="s">
        <v>52</v>
      </c>
      <c r="C1567" s="2">
        <v>2007</v>
      </c>
      <c r="D1567" s="2">
        <v>203</v>
      </c>
      <c r="E1567" s="2">
        <v>134</v>
      </c>
      <c r="F1567" s="2">
        <v>69</v>
      </c>
      <c r="G1567" s="1" t="s">
        <v>7</v>
      </c>
    </row>
    <row r="1568" spans="1:7" hidden="1">
      <c r="A1568" t="s">
        <v>84</v>
      </c>
      <c r="B1568" s="1" t="s">
        <v>52</v>
      </c>
      <c r="C1568" s="2">
        <v>2008</v>
      </c>
      <c r="D1568" s="2">
        <v>1</v>
      </c>
      <c r="E1568" s="1" t="s">
        <v>7</v>
      </c>
      <c r="F1568" s="2">
        <v>1</v>
      </c>
      <c r="G1568" s="1" t="s">
        <v>7</v>
      </c>
    </row>
    <row r="1569" spans="1:7" hidden="1">
      <c r="A1569" t="s">
        <v>84</v>
      </c>
      <c r="B1569" s="1" t="s">
        <v>53</v>
      </c>
      <c r="C1569" s="2">
        <v>2008</v>
      </c>
      <c r="D1569" s="2">
        <v>232</v>
      </c>
      <c r="E1569" s="2">
        <v>148</v>
      </c>
      <c r="F1569" s="2">
        <v>84</v>
      </c>
      <c r="G1569" s="1" t="s">
        <v>7</v>
      </c>
    </row>
    <row r="1570" spans="1:7" hidden="1">
      <c r="A1570" t="s">
        <v>84</v>
      </c>
      <c r="B1570" s="1" t="s">
        <v>54</v>
      </c>
      <c r="C1570" s="2">
        <v>2009</v>
      </c>
      <c r="D1570" s="2">
        <v>271</v>
      </c>
      <c r="E1570" s="2">
        <v>158</v>
      </c>
      <c r="F1570" s="2">
        <v>113</v>
      </c>
      <c r="G1570" s="1" t="s">
        <v>7</v>
      </c>
    </row>
    <row r="1571" spans="1:7" hidden="1">
      <c r="A1571" t="s">
        <v>84</v>
      </c>
      <c r="B1571" s="1" t="s">
        <v>55</v>
      </c>
      <c r="C1571" s="2">
        <v>2010</v>
      </c>
      <c r="D1571" s="2">
        <v>273</v>
      </c>
      <c r="E1571" s="2">
        <v>159</v>
      </c>
      <c r="F1571" s="2">
        <v>114</v>
      </c>
      <c r="G1571" s="1" t="s">
        <v>7</v>
      </c>
    </row>
    <row r="1572" spans="1:7" hidden="1">
      <c r="A1572" t="s">
        <v>84</v>
      </c>
      <c r="B1572" s="1" t="s">
        <v>55</v>
      </c>
      <c r="C1572" s="2">
        <v>2011</v>
      </c>
      <c r="D1572" s="2">
        <v>1</v>
      </c>
      <c r="E1572" s="2">
        <v>1</v>
      </c>
      <c r="F1572" s="1" t="s">
        <v>7</v>
      </c>
      <c r="G1572" s="1" t="s">
        <v>7</v>
      </c>
    </row>
    <row r="1573" spans="1:7" hidden="1">
      <c r="A1573" t="s">
        <v>84</v>
      </c>
      <c r="B1573" s="1" t="s">
        <v>56</v>
      </c>
      <c r="C1573" s="2">
        <v>2011</v>
      </c>
      <c r="D1573" s="2">
        <v>288</v>
      </c>
      <c r="E1573" s="2">
        <v>173</v>
      </c>
      <c r="F1573" s="2">
        <v>115</v>
      </c>
      <c r="G1573" s="1" t="s">
        <v>7</v>
      </c>
    </row>
    <row r="1574" spans="1:7" hidden="1">
      <c r="A1574" t="s">
        <v>84</v>
      </c>
      <c r="B1574" s="1" t="s">
        <v>56</v>
      </c>
      <c r="C1574" s="2">
        <v>2012</v>
      </c>
      <c r="D1574" s="2">
        <v>1</v>
      </c>
      <c r="E1574" s="2">
        <v>1</v>
      </c>
      <c r="F1574" s="1" t="s">
        <v>7</v>
      </c>
      <c r="G1574" s="1" t="s">
        <v>7</v>
      </c>
    </row>
    <row r="1575" spans="1:7" hidden="1">
      <c r="A1575" t="s">
        <v>84</v>
      </c>
      <c r="B1575" s="1" t="s">
        <v>57</v>
      </c>
      <c r="C1575" s="2">
        <v>2012</v>
      </c>
      <c r="D1575" s="2">
        <v>290</v>
      </c>
      <c r="E1575" s="2">
        <v>162</v>
      </c>
      <c r="F1575" s="2">
        <v>128</v>
      </c>
      <c r="G1575" s="1" t="s">
        <v>7</v>
      </c>
    </row>
    <row r="1576" spans="1:7" hidden="1">
      <c r="A1576" t="s">
        <v>84</v>
      </c>
      <c r="B1576" s="1" t="s">
        <v>58</v>
      </c>
      <c r="C1576" s="2">
        <v>2013</v>
      </c>
      <c r="D1576" s="2">
        <v>301</v>
      </c>
      <c r="E1576" s="2">
        <v>190</v>
      </c>
      <c r="F1576" s="2">
        <v>111</v>
      </c>
      <c r="G1576" s="1" t="s">
        <v>7</v>
      </c>
    </row>
    <row r="1577" spans="1:7" hidden="1">
      <c r="A1577" t="s">
        <v>84</v>
      </c>
      <c r="B1577" s="1" t="s">
        <v>58</v>
      </c>
      <c r="C1577" s="2">
        <v>2014</v>
      </c>
      <c r="D1577" s="2">
        <v>1</v>
      </c>
      <c r="E1577" s="2">
        <v>1</v>
      </c>
      <c r="F1577" s="1" t="s">
        <v>7</v>
      </c>
      <c r="G1577" s="1" t="s">
        <v>7</v>
      </c>
    </row>
    <row r="1578" spans="1:7" hidden="1">
      <c r="A1578" t="s">
        <v>84</v>
      </c>
      <c r="B1578" s="1" t="s">
        <v>59</v>
      </c>
      <c r="C1578" s="2">
        <v>2014</v>
      </c>
      <c r="D1578" s="2">
        <v>321</v>
      </c>
      <c r="E1578" s="2">
        <v>189</v>
      </c>
      <c r="F1578" s="2">
        <v>132</v>
      </c>
      <c r="G1578" s="1" t="s">
        <v>7</v>
      </c>
    </row>
    <row r="1579" spans="1:7" hidden="1">
      <c r="A1579" t="s">
        <v>84</v>
      </c>
      <c r="B1579" s="1" t="s">
        <v>59</v>
      </c>
      <c r="C1579" s="2">
        <v>2015</v>
      </c>
      <c r="D1579" s="2">
        <v>1</v>
      </c>
      <c r="E1579" s="1" t="s">
        <v>7</v>
      </c>
      <c r="F1579" s="2">
        <v>1</v>
      </c>
      <c r="G1579" s="1" t="s">
        <v>7</v>
      </c>
    </row>
    <row r="1580" spans="1:7" hidden="1">
      <c r="A1580" t="s">
        <v>84</v>
      </c>
      <c r="B1580" s="1" t="s">
        <v>60</v>
      </c>
      <c r="C1580" s="2">
        <v>2015</v>
      </c>
      <c r="D1580" s="2">
        <v>329</v>
      </c>
      <c r="E1580" s="2">
        <v>180</v>
      </c>
      <c r="F1580" s="2">
        <v>149</v>
      </c>
      <c r="G1580" s="1" t="s">
        <v>7</v>
      </c>
    </row>
    <row r="1581" spans="1:7" hidden="1">
      <c r="A1581" t="s">
        <v>84</v>
      </c>
      <c r="B1581" s="1" t="s">
        <v>60</v>
      </c>
      <c r="C1581" s="2">
        <v>2016</v>
      </c>
      <c r="D1581" s="2">
        <v>2</v>
      </c>
      <c r="E1581" s="2">
        <v>2</v>
      </c>
      <c r="F1581" s="1" t="s">
        <v>7</v>
      </c>
      <c r="G1581" s="1" t="s">
        <v>7</v>
      </c>
    </row>
    <row r="1582" spans="1:7" hidden="1">
      <c r="A1582" t="s">
        <v>84</v>
      </c>
      <c r="B1582" s="1" t="s">
        <v>61</v>
      </c>
      <c r="C1582" s="2">
        <v>2016</v>
      </c>
      <c r="D1582" s="2">
        <v>325</v>
      </c>
      <c r="E1582" s="2">
        <v>191</v>
      </c>
      <c r="F1582" s="2">
        <v>134</v>
      </c>
      <c r="G1582" s="1" t="s">
        <v>7</v>
      </c>
    </row>
    <row r="1583" spans="1:7" hidden="1">
      <c r="A1583" t="s">
        <v>84</v>
      </c>
      <c r="B1583" s="1" t="s">
        <v>62</v>
      </c>
      <c r="C1583" s="2">
        <v>2017</v>
      </c>
      <c r="D1583" s="2">
        <v>392</v>
      </c>
      <c r="E1583" s="2">
        <v>236</v>
      </c>
      <c r="F1583" s="2">
        <v>156</v>
      </c>
      <c r="G1583" s="1" t="s">
        <v>7</v>
      </c>
    </row>
    <row r="1584" spans="1:7" hidden="1">
      <c r="A1584" t="s">
        <v>84</v>
      </c>
      <c r="B1584" s="1" t="s">
        <v>62</v>
      </c>
      <c r="C1584" s="2">
        <v>2018</v>
      </c>
      <c r="D1584" s="2">
        <v>1</v>
      </c>
      <c r="E1584" s="2">
        <v>1</v>
      </c>
      <c r="F1584" s="1" t="s">
        <v>7</v>
      </c>
      <c r="G1584" s="1" t="s">
        <v>7</v>
      </c>
    </row>
    <row r="1585" spans="1:7" hidden="1">
      <c r="A1585" t="s">
        <v>84</v>
      </c>
      <c r="B1585" s="1" t="s">
        <v>63</v>
      </c>
      <c r="C1585" s="2">
        <v>2018</v>
      </c>
      <c r="D1585" s="2">
        <v>339</v>
      </c>
      <c r="E1585" s="2">
        <v>200</v>
      </c>
      <c r="F1585" s="2">
        <v>139</v>
      </c>
      <c r="G1585" s="1" t="s">
        <v>7</v>
      </c>
    </row>
    <row r="1586" spans="1:7" hidden="1">
      <c r="A1586" t="s">
        <v>84</v>
      </c>
      <c r="B1586" s="1" t="s">
        <v>64</v>
      </c>
      <c r="C1586" s="2">
        <v>2019</v>
      </c>
      <c r="D1586" s="2">
        <v>352</v>
      </c>
      <c r="E1586" s="2">
        <v>194</v>
      </c>
      <c r="F1586" s="2">
        <v>158</v>
      </c>
      <c r="G1586" s="1" t="s">
        <v>7</v>
      </c>
    </row>
    <row r="1587" spans="1:7" hidden="1">
      <c r="A1587" t="s">
        <v>84</v>
      </c>
      <c r="B1587" s="1" t="s">
        <v>65</v>
      </c>
      <c r="C1587" s="2">
        <v>2020</v>
      </c>
      <c r="D1587" s="2">
        <v>548</v>
      </c>
      <c r="E1587" s="2">
        <v>336</v>
      </c>
      <c r="F1587" s="2">
        <v>212</v>
      </c>
      <c r="G1587" s="1" t="s">
        <v>7</v>
      </c>
    </row>
    <row r="1588" spans="1:7" hidden="1">
      <c r="A1588" t="s">
        <v>84</v>
      </c>
      <c r="B1588" s="1" t="s">
        <v>66</v>
      </c>
      <c r="C1588" s="2">
        <v>2021</v>
      </c>
      <c r="D1588" s="2">
        <v>726</v>
      </c>
      <c r="E1588" s="2">
        <v>436</v>
      </c>
      <c r="F1588" s="2">
        <v>290</v>
      </c>
      <c r="G1588" s="1" t="s">
        <v>7</v>
      </c>
    </row>
    <row r="1589" spans="1:7" hidden="1">
      <c r="A1589" t="s">
        <v>84</v>
      </c>
      <c r="B1589" s="1" t="s">
        <v>67</v>
      </c>
      <c r="C1589" s="2">
        <v>2022</v>
      </c>
      <c r="D1589" s="2">
        <v>450</v>
      </c>
      <c r="E1589" s="2">
        <v>265</v>
      </c>
      <c r="F1589" s="2">
        <v>185</v>
      </c>
      <c r="G1589" s="1" t="s">
        <v>7</v>
      </c>
    </row>
    <row r="1590" spans="1:7" hidden="1">
      <c r="A1590" t="s">
        <v>84</v>
      </c>
      <c r="B1590" s="1" t="s">
        <v>67</v>
      </c>
      <c r="C1590" s="2">
        <v>2023</v>
      </c>
      <c r="D1590" s="2">
        <v>3</v>
      </c>
      <c r="E1590" s="2">
        <v>3</v>
      </c>
      <c r="F1590" s="1" t="s">
        <v>7</v>
      </c>
      <c r="G1590" s="1" t="s">
        <v>7</v>
      </c>
    </row>
    <row r="1591" spans="1:7" hidden="1">
      <c r="A1591" t="s">
        <v>84</v>
      </c>
      <c r="B1591" s="1" t="s">
        <v>67</v>
      </c>
      <c r="C1591" s="2">
        <v>2024</v>
      </c>
      <c r="D1591" s="2">
        <v>1</v>
      </c>
      <c r="E1591" s="2">
        <v>1</v>
      </c>
      <c r="F1591" s="1" t="s">
        <v>7</v>
      </c>
      <c r="G1591" s="1" t="s">
        <v>7</v>
      </c>
    </row>
    <row r="1592" spans="1:7" hidden="1">
      <c r="A1592" t="s">
        <v>84</v>
      </c>
      <c r="B1592" s="1" t="s">
        <v>68</v>
      </c>
      <c r="C1592" s="2">
        <v>2023</v>
      </c>
      <c r="D1592" s="2">
        <v>484</v>
      </c>
      <c r="E1592" s="2">
        <v>301</v>
      </c>
      <c r="F1592" s="2">
        <v>183</v>
      </c>
      <c r="G1592" s="1" t="s">
        <v>7</v>
      </c>
    </row>
    <row r="1593" spans="1:7" hidden="1">
      <c r="A1593" t="s">
        <v>84</v>
      </c>
      <c r="B1593" s="1" t="s">
        <v>68</v>
      </c>
      <c r="C1593" s="2">
        <v>2024</v>
      </c>
      <c r="D1593" s="2">
        <v>2</v>
      </c>
      <c r="E1593" s="2">
        <v>1</v>
      </c>
      <c r="F1593" s="2">
        <v>1</v>
      </c>
      <c r="G1593" s="1" t="s">
        <v>7</v>
      </c>
    </row>
    <row r="1594" spans="1:7" hidden="1">
      <c r="A1594" t="s">
        <v>84</v>
      </c>
      <c r="B1594" s="1" t="s">
        <v>69</v>
      </c>
      <c r="C1594" s="2">
        <v>2024</v>
      </c>
      <c r="D1594" s="2">
        <v>476</v>
      </c>
      <c r="E1594" s="2">
        <v>289</v>
      </c>
      <c r="F1594" s="2">
        <v>187</v>
      </c>
      <c r="G1594" s="1" t="s">
        <v>7</v>
      </c>
    </row>
    <row r="1595" spans="1:7" hidden="1">
      <c r="A1595" t="s">
        <v>84</v>
      </c>
      <c r="B1595" s="1" t="s">
        <v>6</v>
      </c>
      <c r="C1595" s="2">
        <v>1990</v>
      </c>
      <c r="D1595" s="2">
        <v>4</v>
      </c>
      <c r="E1595" s="2">
        <v>2</v>
      </c>
      <c r="F1595" s="2">
        <v>2</v>
      </c>
      <c r="G1595" s="1" t="s">
        <v>7</v>
      </c>
    </row>
    <row r="1596" spans="1:7" hidden="1">
      <c r="A1596" t="s">
        <v>84</v>
      </c>
      <c r="B1596" s="1" t="s">
        <v>6</v>
      </c>
      <c r="C1596" s="2">
        <v>1991</v>
      </c>
      <c r="D1596" s="2">
        <v>3</v>
      </c>
      <c r="E1596" s="2">
        <v>2</v>
      </c>
      <c r="F1596" s="2">
        <v>1</v>
      </c>
      <c r="G1596" s="1" t="s">
        <v>7</v>
      </c>
    </row>
    <row r="1597" spans="1:7" hidden="1">
      <c r="A1597" t="s">
        <v>84</v>
      </c>
      <c r="B1597" s="1" t="s">
        <v>6</v>
      </c>
      <c r="C1597" s="2">
        <v>1993</v>
      </c>
      <c r="D1597" s="2">
        <v>1</v>
      </c>
      <c r="E1597" s="2">
        <v>1</v>
      </c>
      <c r="F1597" s="1" t="s">
        <v>7</v>
      </c>
      <c r="G1597" s="1" t="s">
        <v>7</v>
      </c>
    </row>
    <row r="1598" spans="1:7" hidden="1">
      <c r="A1598" t="s">
        <v>84</v>
      </c>
      <c r="B1598" s="1" t="s">
        <v>6</v>
      </c>
      <c r="C1598" s="2">
        <v>2018</v>
      </c>
      <c r="D1598" s="2">
        <v>1</v>
      </c>
      <c r="E1598" s="2">
        <v>1</v>
      </c>
      <c r="F1598" s="1" t="s">
        <v>7</v>
      </c>
      <c r="G1598" s="1" t="s">
        <v>7</v>
      </c>
    </row>
    <row r="1599" spans="1:7" hidden="1">
      <c r="A1599" t="s">
        <v>84</v>
      </c>
      <c r="B1599" s="1" t="s">
        <v>6</v>
      </c>
      <c r="C1599" s="2">
        <v>2023</v>
      </c>
      <c r="D1599" s="2">
        <v>1</v>
      </c>
      <c r="E1599" s="2">
        <v>1</v>
      </c>
      <c r="F1599" s="1" t="s">
        <v>7</v>
      </c>
      <c r="G1599" s="1" t="s">
        <v>7</v>
      </c>
    </row>
    <row r="1600" spans="1:7" hidden="1">
      <c r="A1600" t="s">
        <v>85</v>
      </c>
      <c r="B1600" s="1" t="s">
        <v>3</v>
      </c>
      <c r="C1600" s="2">
        <v>1990</v>
      </c>
      <c r="D1600" s="2">
        <v>191</v>
      </c>
      <c r="E1600" s="2">
        <v>112</v>
      </c>
      <c r="F1600" s="2">
        <v>79</v>
      </c>
      <c r="G1600" s="1" t="s">
        <v>7</v>
      </c>
    </row>
    <row r="1601" spans="1:7" hidden="1">
      <c r="A1601" t="s">
        <v>85</v>
      </c>
      <c r="B1601" s="1" t="s">
        <v>3</v>
      </c>
      <c r="C1601" s="2">
        <v>1991</v>
      </c>
      <c r="D1601" s="2">
        <v>203</v>
      </c>
      <c r="E1601" s="2">
        <v>123</v>
      </c>
      <c r="F1601" s="2">
        <v>80</v>
      </c>
      <c r="G1601" s="1" t="s">
        <v>7</v>
      </c>
    </row>
    <row r="1602" spans="1:7" hidden="1">
      <c r="A1602" t="s">
        <v>85</v>
      </c>
      <c r="B1602" s="1" t="s">
        <v>3</v>
      </c>
      <c r="C1602" s="2">
        <v>1992</v>
      </c>
      <c r="D1602" s="2">
        <v>191</v>
      </c>
      <c r="E1602" s="2">
        <v>98</v>
      </c>
      <c r="F1602" s="2">
        <v>93</v>
      </c>
      <c r="G1602" s="1" t="s">
        <v>7</v>
      </c>
    </row>
    <row r="1603" spans="1:7" hidden="1">
      <c r="A1603" t="s">
        <v>85</v>
      </c>
      <c r="B1603" s="1" t="s">
        <v>3</v>
      </c>
      <c r="C1603" s="2">
        <v>1993</v>
      </c>
      <c r="D1603" s="2">
        <v>199</v>
      </c>
      <c r="E1603" s="2">
        <v>104</v>
      </c>
      <c r="F1603" s="2">
        <v>95</v>
      </c>
      <c r="G1603" s="1" t="s">
        <v>7</v>
      </c>
    </row>
    <row r="1604" spans="1:7" hidden="1">
      <c r="A1604" t="s">
        <v>85</v>
      </c>
      <c r="B1604" s="1" t="s">
        <v>3</v>
      </c>
      <c r="C1604" s="2">
        <v>1994</v>
      </c>
      <c r="D1604" s="2">
        <v>232</v>
      </c>
      <c r="E1604" s="2">
        <v>133</v>
      </c>
      <c r="F1604" s="2">
        <v>99</v>
      </c>
      <c r="G1604" s="1" t="s">
        <v>7</v>
      </c>
    </row>
    <row r="1605" spans="1:7" hidden="1">
      <c r="A1605" t="s">
        <v>85</v>
      </c>
      <c r="B1605" s="1" t="s">
        <v>3</v>
      </c>
      <c r="C1605" s="2">
        <v>1995</v>
      </c>
      <c r="D1605" s="2">
        <v>205</v>
      </c>
      <c r="E1605" s="2">
        <v>114</v>
      </c>
      <c r="F1605" s="2">
        <v>91</v>
      </c>
      <c r="G1605" s="1" t="s">
        <v>7</v>
      </c>
    </row>
    <row r="1606" spans="1:7" hidden="1">
      <c r="A1606" t="s">
        <v>85</v>
      </c>
      <c r="B1606" s="1" t="s">
        <v>3</v>
      </c>
      <c r="C1606" s="2">
        <v>1996</v>
      </c>
      <c r="D1606" s="2">
        <v>203</v>
      </c>
      <c r="E1606" s="2">
        <v>122</v>
      </c>
      <c r="F1606" s="2">
        <v>81</v>
      </c>
      <c r="G1606" s="1" t="s">
        <v>7</v>
      </c>
    </row>
    <row r="1607" spans="1:7" hidden="1">
      <c r="A1607" t="s">
        <v>85</v>
      </c>
      <c r="B1607" s="1" t="s">
        <v>3</v>
      </c>
      <c r="C1607" s="2">
        <v>1997</v>
      </c>
      <c r="D1607" s="2">
        <v>234</v>
      </c>
      <c r="E1607" s="2">
        <v>126</v>
      </c>
      <c r="F1607" s="2">
        <v>108</v>
      </c>
      <c r="G1607" s="1" t="s">
        <v>7</v>
      </c>
    </row>
    <row r="1608" spans="1:7" hidden="1">
      <c r="A1608" t="s">
        <v>85</v>
      </c>
      <c r="B1608" s="1" t="s">
        <v>3</v>
      </c>
      <c r="C1608" s="2">
        <v>1998</v>
      </c>
      <c r="D1608" s="2">
        <v>188</v>
      </c>
      <c r="E1608" s="2">
        <v>103</v>
      </c>
      <c r="F1608" s="2">
        <v>85</v>
      </c>
      <c r="G1608" s="1" t="s">
        <v>7</v>
      </c>
    </row>
    <row r="1609" spans="1:7" hidden="1">
      <c r="A1609" t="s">
        <v>85</v>
      </c>
      <c r="B1609" s="1" t="s">
        <v>3</v>
      </c>
      <c r="C1609" s="2">
        <v>1999</v>
      </c>
      <c r="D1609" s="2">
        <v>200</v>
      </c>
      <c r="E1609" s="2">
        <v>112</v>
      </c>
      <c r="F1609" s="2">
        <v>88</v>
      </c>
      <c r="G1609" s="1" t="s">
        <v>7</v>
      </c>
    </row>
    <row r="1610" spans="1:7" hidden="1">
      <c r="A1610" t="s">
        <v>85</v>
      </c>
      <c r="B1610" s="1" t="s">
        <v>3</v>
      </c>
      <c r="C1610" s="2">
        <v>2000</v>
      </c>
      <c r="D1610" s="2">
        <v>216</v>
      </c>
      <c r="E1610" s="2">
        <v>115</v>
      </c>
      <c r="F1610" s="2">
        <v>101</v>
      </c>
      <c r="G1610" s="1" t="s">
        <v>7</v>
      </c>
    </row>
    <row r="1611" spans="1:7" hidden="1">
      <c r="A1611" t="s">
        <v>85</v>
      </c>
      <c r="B1611" s="1" t="s">
        <v>3</v>
      </c>
      <c r="C1611" s="2">
        <v>2001</v>
      </c>
      <c r="D1611" s="2">
        <v>260</v>
      </c>
      <c r="E1611" s="2">
        <v>147</v>
      </c>
      <c r="F1611" s="2">
        <v>113</v>
      </c>
      <c r="G1611" s="1" t="s">
        <v>7</v>
      </c>
    </row>
    <row r="1612" spans="1:7" hidden="1">
      <c r="A1612" t="s">
        <v>85</v>
      </c>
      <c r="B1612" s="1" t="s">
        <v>3</v>
      </c>
      <c r="C1612" s="2">
        <v>2002</v>
      </c>
      <c r="D1612" s="2">
        <v>223</v>
      </c>
      <c r="E1612" s="2">
        <v>139</v>
      </c>
      <c r="F1612" s="2">
        <v>84</v>
      </c>
      <c r="G1612" s="1" t="s">
        <v>7</v>
      </c>
    </row>
    <row r="1613" spans="1:7" hidden="1">
      <c r="A1613" t="s">
        <v>85</v>
      </c>
      <c r="B1613" s="1" t="s">
        <v>3</v>
      </c>
      <c r="C1613" s="2">
        <v>2003</v>
      </c>
      <c r="D1613" s="2">
        <v>228</v>
      </c>
      <c r="E1613" s="2">
        <v>138</v>
      </c>
      <c r="F1613" s="2">
        <v>90</v>
      </c>
      <c r="G1613" s="1" t="s">
        <v>7</v>
      </c>
    </row>
    <row r="1614" spans="1:7" hidden="1">
      <c r="A1614" t="s">
        <v>85</v>
      </c>
      <c r="B1614" s="1" t="s">
        <v>3</v>
      </c>
      <c r="C1614" s="2">
        <v>2004</v>
      </c>
      <c r="D1614" s="2">
        <v>243</v>
      </c>
      <c r="E1614" s="2">
        <v>141</v>
      </c>
      <c r="F1614" s="2">
        <v>102</v>
      </c>
      <c r="G1614" s="1" t="s">
        <v>7</v>
      </c>
    </row>
    <row r="1615" spans="1:7" hidden="1">
      <c r="A1615" t="s">
        <v>85</v>
      </c>
      <c r="B1615" s="1" t="s">
        <v>3</v>
      </c>
      <c r="C1615" s="2">
        <v>2005</v>
      </c>
      <c r="D1615" s="2">
        <v>236</v>
      </c>
      <c r="E1615" s="2">
        <v>120</v>
      </c>
      <c r="F1615" s="2">
        <v>116</v>
      </c>
      <c r="G1615" s="1" t="s">
        <v>7</v>
      </c>
    </row>
    <row r="1616" spans="1:7" hidden="1">
      <c r="A1616" t="s">
        <v>85</v>
      </c>
      <c r="B1616" s="1" t="s">
        <v>3</v>
      </c>
      <c r="C1616" s="2">
        <v>2006</v>
      </c>
      <c r="D1616" s="2">
        <v>214</v>
      </c>
      <c r="E1616" s="2">
        <v>112</v>
      </c>
      <c r="F1616" s="2">
        <v>102</v>
      </c>
      <c r="G1616" s="1" t="s">
        <v>7</v>
      </c>
    </row>
    <row r="1617" spans="1:7" hidden="1">
      <c r="A1617" t="s">
        <v>85</v>
      </c>
      <c r="B1617" s="1" t="s">
        <v>3</v>
      </c>
      <c r="C1617" s="2">
        <v>2007</v>
      </c>
      <c r="D1617" s="2">
        <v>243</v>
      </c>
      <c r="E1617" s="2">
        <v>127</v>
      </c>
      <c r="F1617" s="2">
        <v>116</v>
      </c>
      <c r="G1617" s="1" t="s">
        <v>7</v>
      </c>
    </row>
    <row r="1618" spans="1:7" hidden="1">
      <c r="A1618" t="s">
        <v>85</v>
      </c>
      <c r="B1618" s="1" t="s">
        <v>3</v>
      </c>
      <c r="C1618" s="2">
        <v>2008</v>
      </c>
      <c r="D1618" s="2">
        <v>290</v>
      </c>
      <c r="E1618" s="2">
        <v>166</v>
      </c>
      <c r="F1618" s="2">
        <v>124</v>
      </c>
      <c r="G1618" s="1" t="s">
        <v>7</v>
      </c>
    </row>
    <row r="1619" spans="1:7" hidden="1">
      <c r="A1619" t="s">
        <v>85</v>
      </c>
      <c r="B1619" s="1" t="s">
        <v>3</v>
      </c>
      <c r="C1619" s="2">
        <v>2009</v>
      </c>
      <c r="D1619" s="2">
        <v>279</v>
      </c>
      <c r="E1619" s="2">
        <v>165</v>
      </c>
      <c r="F1619" s="2">
        <v>114</v>
      </c>
      <c r="G1619" s="1" t="s">
        <v>7</v>
      </c>
    </row>
    <row r="1620" spans="1:7">
      <c r="A1620" t="s">
        <v>85</v>
      </c>
      <c r="B1620" s="1" t="s">
        <v>3</v>
      </c>
      <c r="C1620" s="2">
        <v>2010</v>
      </c>
      <c r="D1620" s="2">
        <v>283</v>
      </c>
      <c r="E1620" s="2">
        <v>162</v>
      </c>
      <c r="F1620" s="2">
        <v>121</v>
      </c>
      <c r="G1620" s="1" t="s">
        <v>7</v>
      </c>
    </row>
    <row r="1621" spans="1:7" hidden="1">
      <c r="A1621" t="s">
        <v>85</v>
      </c>
      <c r="B1621" s="1" t="s">
        <v>3</v>
      </c>
      <c r="C1621" s="2">
        <v>2011</v>
      </c>
      <c r="D1621" s="2">
        <v>327</v>
      </c>
      <c r="E1621" s="2">
        <v>171</v>
      </c>
      <c r="F1621" s="2">
        <v>156</v>
      </c>
      <c r="G1621" s="1" t="s">
        <v>7</v>
      </c>
    </row>
    <row r="1622" spans="1:7" hidden="1">
      <c r="A1622" t="s">
        <v>85</v>
      </c>
      <c r="B1622" s="1" t="s">
        <v>3</v>
      </c>
      <c r="C1622" s="2">
        <v>2012</v>
      </c>
      <c r="D1622" s="2">
        <v>354</v>
      </c>
      <c r="E1622" s="2">
        <v>187</v>
      </c>
      <c r="F1622" s="2">
        <v>167</v>
      </c>
      <c r="G1622" s="1" t="s">
        <v>7</v>
      </c>
    </row>
    <row r="1623" spans="1:7" hidden="1">
      <c r="A1623" t="s">
        <v>85</v>
      </c>
      <c r="B1623" s="1" t="s">
        <v>3</v>
      </c>
      <c r="C1623" s="2">
        <v>2013</v>
      </c>
      <c r="D1623" s="2">
        <v>343</v>
      </c>
      <c r="E1623" s="2">
        <v>189</v>
      </c>
      <c r="F1623" s="2">
        <v>154</v>
      </c>
      <c r="G1623" s="1" t="s">
        <v>7</v>
      </c>
    </row>
    <row r="1624" spans="1:7" hidden="1">
      <c r="A1624" t="s">
        <v>85</v>
      </c>
      <c r="B1624" s="1" t="s">
        <v>3</v>
      </c>
      <c r="C1624" s="2">
        <v>2014</v>
      </c>
      <c r="D1624" s="2">
        <v>328</v>
      </c>
      <c r="E1624" s="2">
        <v>190</v>
      </c>
      <c r="F1624" s="2">
        <v>138</v>
      </c>
      <c r="G1624" s="1" t="s">
        <v>7</v>
      </c>
    </row>
    <row r="1625" spans="1:7" hidden="1">
      <c r="A1625" t="s">
        <v>85</v>
      </c>
      <c r="B1625" s="1" t="s">
        <v>3</v>
      </c>
      <c r="C1625" s="2">
        <v>2015</v>
      </c>
      <c r="D1625" s="2">
        <v>412</v>
      </c>
      <c r="E1625" s="2">
        <v>239</v>
      </c>
      <c r="F1625" s="2">
        <v>173</v>
      </c>
      <c r="G1625" s="1" t="s">
        <v>7</v>
      </c>
    </row>
    <row r="1626" spans="1:7" hidden="1">
      <c r="A1626" t="s">
        <v>85</v>
      </c>
      <c r="B1626" s="1" t="s">
        <v>3</v>
      </c>
      <c r="C1626" s="2">
        <v>2016</v>
      </c>
      <c r="D1626" s="2">
        <v>372</v>
      </c>
      <c r="E1626" s="2">
        <v>217</v>
      </c>
      <c r="F1626" s="2">
        <v>155</v>
      </c>
      <c r="G1626" s="1" t="s">
        <v>7</v>
      </c>
    </row>
    <row r="1627" spans="1:7" hidden="1">
      <c r="A1627" t="s">
        <v>85</v>
      </c>
      <c r="B1627" s="1" t="s">
        <v>3</v>
      </c>
      <c r="C1627" s="2">
        <v>2017</v>
      </c>
      <c r="D1627" s="2">
        <v>388</v>
      </c>
      <c r="E1627" s="2">
        <v>229</v>
      </c>
      <c r="F1627" s="2">
        <v>159</v>
      </c>
      <c r="G1627" s="1" t="s">
        <v>7</v>
      </c>
    </row>
    <row r="1628" spans="1:7" hidden="1">
      <c r="A1628" t="s">
        <v>85</v>
      </c>
      <c r="B1628" s="1" t="s">
        <v>3</v>
      </c>
      <c r="C1628" s="2">
        <v>2018</v>
      </c>
      <c r="D1628" s="2">
        <v>396</v>
      </c>
      <c r="E1628" s="2">
        <v>226</v>
      </c>
      <c r="F1628" s="2">
        <v>170</v>
      </c>
      <c r="G1628" s="1" t="s">
        <v>7</v>
      </c>
    </row>
    <row r="1629" spans="1:7">
      <c r="A1629" t="s">
        <v>85</v>
      </c>
      <c r="B1629" s="1" t="s">
        <v>3</v>
      </c>
      <c r="C1629" s="2">
        <v>2019</v>
      </c>
      <c r="D1629" s="2">
        <v>371</v>
      </c>
      <c r="E1629" s="2">
        <v>218</v>
      </c>
      <c r="F1629" s="2">
        <v>153</v>
      </c>
      <c r="G1629" s="1" t="s">
        <v>7</v>
      </c>
    </row>
    <row r="1630" spans="1:7" hidden="1">
      <c r="A1630" t="s">
        <v>85</v>
      </c>
      <c r="B1630" s="1" t="s">
        <v>3</v>
      </c>
      <c r="C1630" s="2">
        <v>2020</v>
      </c>
      <c r="D1630" s="2">
        <v>632</v>
      </c>
      <c r="E1630" s="2">
        <v>374</v>
      </c>
      <c r="F1630" s="2">
        <v>258</v>
      </c>
      <c r="G1630" s="1" t="s">
        <v>7</v>
      </c>
    </row>
    <row r="1631" spans="1:7">
      <c r="A1631" t="s">
        <v>85</v>
      </c>
      <c r="B1631" s="1" t="s">
        <v>3</v>
      </c>
      <c r="C1631" s="2">
        <v>2021</v>
      </c>
      <c r="D1631" s="2">
        <v>746</v>
      </c>
      <c r="E1631" s="2">
        <v>419</v>
      </c>
      <c r="F1631" s="2">
        <v>327</v>
      </c>
      <c r="G1631" s="1" t="s">
        <v>7</v>
      </c>
    </row>
    <row r="1632" spans="1:7" hidden="1">
      <c r="A1632" t="s">
        <v>85</v>
      </c>
      <c r="B1632" s="1" t="s">
        <v>3</v>
      </c>
      <c r="C1632" s="2">
        <v>2022</v>
      </c>
      <c r="D1632" s="2">
        <v>529</v>
      </c>
      <c r="E1632" s="2">
        <v>326</v>
      </c>
      <c r="F1632" s="2">
        <v>203</v>
      </c>
      <c r="G1632" s="1" t="s">
        <v>7</v>
      </c>
    </row>
    <row r="1633" spans="1:7" hidden="1">
      <c r="A1633" t="s">
        <v>85</v>
      </c>
      <c r="B1633" s="1" t="s">
        <v>3</v>
      </c>
      <c r="C1633" s="2">
        <v>2023</v>
      </c>
      <c r="D1633" s="2">
        <v>526</v>
      </c>
      <c r="E1633" s="2">
        <v>301</v>
      </c>
      <c r="F1633" s="2">
        <v>225</v>
      </c>
      <c r="G1633" s="1" t="s">
        <v>7</v>
      </c>
    </row>
    <row r="1634" spans="1:7" hidden="1">
      <c r="A1634" t="s">
        <v>85</v>
      </c>
      <c r="B1634" s="1" t="s">
        <v>3</v>
      </c>
      <c r="C1634" s="2">
        <v>2024</v>
      </c>
      <c r="D1634" s="2">
        <v>522</v>
      </c>
      <c r="E1634" s="2">
        <v>298</v>
      </c>
      <c r="F1634" s="2">
        <v>224</v>
      </c>
      <c r="G1634" s="1" t="s">
        <v>7</v>
      </c>
    </row>
    <row r="1635" spans="1:7" hidden="1">
      <c r="A1635" t="s">
        <v>85</v>
      </c>
      <c r="B1635" s="1" t="s">
        <v>34</v>
      </c>
      <c r="C1635" s="2">
        <v>1999</v>
      </c>
      <c r="D1635" s="2">
        <v>1</v>
      </c>
      <c r="E1635" s="1" t="s">
        <v>7</v>
      </c>
      <c r="F1635" s="2">
        <v>1</v>
      </c>
      <c r="G1635" s="1" t="s">
        <v>7</v>
      </c>
    </row>
    <row r="1636" spans="1:7" hidden="1">
      <c r="A1636" t="s">
        <v>85</v>
      </c>
      <c r="B1636" s="1" t="s">
        <v>35</v>
      </c>
      <c r="C1636" s="2">
        <v>1990</v>
      </c>
      <c r="D1636" s="2">
        <v>189</v>
      </c>
      <c r="E1636" s="2">
        <v>111</v>
      </c>
      <c r="F1636" s="2">
        <v>78</v>
      </c>
      <c r="G1636" s="1" t="s">
        <v>7</v>
      </c>
    </row>
    <row r="1637" spans="1:7" hidden="1">
      <c r="A1637" t="s">
        <v>85</v>
      </c>
      <c r="B1637" s="1" t="s">
        <v>36</v>
      </c>
      <c r="C1637" s="2">
        <v>1991</v>
      </c>
      <c r="D1637" s="2">
        <v>203</v>
      </c>
      <c r="E1637" s="2">
        <v>123</v>
      </c>
      <c r="F1637" s="2">
        <v>80</v>
      </c>
      <c r="G1637" s="1" t="s">
        <v>7</v>
      </c>
    </row>
    <row r="1638" spans="1:7" hidden="1">
      <c r="A1638" t="s">
        <v>85</v>
      </c>
      <c r="B1638" s="1" t="s">
        <v>37</v>
      </c>
      <c r="C1638" s="2">
        <v>1992</v>
      </c>
      <c r="D1638" s="2">
        <v>188</v>
      </c>
      <c r="E1638" s="2">
        <v>96</v>
      </c>
      <c r="F1638" s="2">
        <v>92</v>
      </c>
      <c r="G1638" s="1" t="s">
        <v>7</v>
      </c>
    </row>
    <row r="1639" spans="1:7" hidden="1">
      <c r="A1639" t="s">
        <v>85</v>
      </c>
      <c r="B1639" s="1" t="s">
        <v>37</v>
      </c>
      <c r="C1639" s="2">
        <v>1993</v>
      </c>
      <c r="D1639" s="2">
        <v>3</v>
      </c>
      <c r="E1639" s="2">
        <v>1</v>
      </c>
      <c r="F1639" s="2">
        <v>2</v>
      </c>
      <c r="G1639" s="1" t="s">
        <v>7</v>
      </c>
    </row>
    <row r="1640" spans="1:7" hidden="1">
      <c r="A1640" t="s">
        <v>85</v>
      </c>
      <c r="B1640" s="1" t="s">
        <v>38</v>
      </c>
      <c r="C1640" s="2">
        <v>1993</v>
      </c>
      <c r="D1640" s="2">
        <v>195</v>
      </c>
      <c r="E1640" s="2">
        <v>102</v>
      </c>
      <c r="F1640" s="2">
        <v>93</v>
      </c>
      <c r="G1640" s="1" t="s">
        <v>7</v>
      </c>
    </row>
    <row r="1641" spans="1:7" hidden="1">
      <c r="A1641" t="s">
        <v>85</v>
      </c>
      <c r="B1641" s="1" t="s">
        <v>39</v>
      </c>
      <c r="C1641" s="2">
        <v>1994</v>
      </c>
      <c r="D1641" s="2">
        <v>231</v>
      </c>
      <c r="E1641" s="2">
        <v>133</v>
      </c>
      <c r="F1641" s="2">
        <v>98</v>
      </c>
      <c r="G1641" s="1" t="s">
        <v>7</v>
      </c>
    </row>
    <row r="1642" spans="1:7" hidden="1">
      <c r="A1642" t="s">
        <v>85</v>
      </c>
      <c r="B1642" s="1" t="s">
        <v>40</v>
      </c>
      <c r="C1642" s="2">
        <v>1995</v>
      </c>
      <c r="D1642" s="2">
        <v>205</v>
      </c>
      <c r="E1642" s="2">
        <v>114</v>
      </c>
      <c r="F1642" s="2">
        <v>91</v>
      </c>
      <c r="G1642" s="1" t="s">
        <v>7</v>
      </c>
    </row>
    <row r="1643" spans="1:7" hidden="1">
      <c r="A1643" t="s">
        <v>85</v>
      </c>
      <c r="B1643" s="1" t="s">
        <v>40</v>
      </c>
      <c r="C1643" s="2">
        <v>1996</v>
      </c>
      <c r="D1643" s="2">
        <v>3</v>
      </c>
      <c r="E1643" s="2">
        <v>1</v>
      </c>
      <c r="F1643" s="2">
        <v>2</v>
      </c>
      <c r="G1643" s="1" t="s">
        <v>7</v>
      </c>
    </row>
    <row r="1644" spans="1:7" hidden="1">
      <c r="A1644" t="s">
        <v>85</v>
      </c>
      <c r="B1644" s="1" t="s">
        <v>41</v>
      </c>
      <c r="C1644" s="2">
        <v>1996</v>
      </c>
      <c r="D1644" s="2">
        <v>200</v>
      </c>
      <c r="E1644" s="2">
        <v>121</v>
      </c>
      <c r="F1644" s="2">
        <v>79</v>
      </c>
      <c r="G1644" s="1" t="s">
        <v>7</v>
      </c>
    </row>
    <row r="1645" spans="1:7" hidden="1">
      <c r="A1645" t="s">
        <v>85</v>
      </c>
      <c r="B1645" s="1" t="s">
        <v>42</v>
      </c>
      <c r="C1645" s="2">
        <v>1997</v>
      </c>
      <c r="D1645" s="2">
        <v>234</v>
      </c>
      <c r="E1645" s="2">
        <v>126</v>
      </c>
      <c r="F1645" s="2">
        <v>108</v>
      </c>
      <c r="G1645" s="1" t="s">
        <v>7</v>
      </c>
    </row>
    <row r="1646" spans="1:7" hidden="1">
      <c r="A1646" t="s">
        <v>85</v>
      </c>
      <c r="B1646" s="1" t="s">
        <v>42</v>
      </c>
      <c r="C1646" s="2">
        <v>1998</v>
      </c>
      <c r="D1646" s="2">
        <v>1</v>
      </c>
      <c r="E1646" s="2">
        <v>1</v>
      </c>
      <c r="F1646" s="1" t="s">
        <v>7</v>
      </c>
      <c r="G1646" s="1" t="s">
        <v>7</v>
      </c>
    </row>
    <row r="1647" spans="1:7" hidden="1">
      <c r="A1647" t="s">
        <v>85</v>
      </c>
      <c r="B1647" s="1" t="s">
        <v>42</v>
      </c>
      <c r="C1647" s="2">
        <v>2003</v>
      </c>
      <c r="D1647" s="2">
        <v>1</v>
      </c>
      <c r="E1647" s="1" t="s">
        <v>7</v>
      </c>
      <c r="F1647" s="2">
        <v>1</v>
      </c>
      <c r="G1647" s="1" t="s">
        <v>7</v>
      </c>
    </row>
    <row r="1648" spans="1:7" hidden="1">
      <c r="A1648" t="s">
        <v>85</v>
      </c>
      <c r="B1648" s="1" t="s">
        <v>43</v>
      </c>
      <c r="C1648" s="2">
        <v>1998</v>
      </c>
      <c r="D1648" s="2">
        <v>187</v>
      </c>
      <c r="E1648" s="2">
        <v>102</v>
      </c>
      <c r="F1648" s="2">
        <v>85</v>
      </c>
      <c r="G1648" s="1" t="s">
        <v>7</v>
      </c>
    </row>
    <row r="1649" spans="1:7" hidden="1">
      <c r="A1649" t="s">
        <v>85</v>
      </c>
      <c r="B1649" s="1" t="s">
        <v>43</v>
      </c>
      <c r="C1649" s="2">
        <v>1999</v>
      </c>
      <c r="D1649" s="2">
        <v>1</v>
      </c>
      <c r="E1649" s="2">
        <v>1</v>
      </c>
      <c r="F1649" s="1" t="s">
        <v>7</v>
      </c>
      <c r="G1649" s="1" t="s">
        <v>7</v>
      </c>
    </row>
    <row r="1650" spans="1:7" hidden="1">
      <c r="A1650" t="s">
        <v>85</v>
      </c>
      <c r="B1650" s="1" t="s">
        <v>44</v>
      </c>
      <c r="C1650" s="2">
        <v>1999</v>
      </c>
      <c r="D1650" s="2">
        <v>198</v>
      </c>
      <c r="E1650" s="2">
        <v>111</v>
      </c>
      <c r="F1650" s="2">
        <v>87</v>
      </c>
      <c r="G1650" s="1" t="s">
        <v>7</v>
      </c>
    </row>
    <row r="1651" spans="1:7" hidden="1">
      <c r="A1651" t="s">
        <v>85</v>
      </c>
      <c r="B1651" s="1" t="s">
        <v>45</v>
      </c>
      <c r="C1651" s="2">
        <v>2000</v>
      </c>
      <c r="D1651" s="2">
        <v>216</v>
      </c>
      <c r="E1651" s="2">
        <v>115</v>
      </c>
      <c r="F1651" s="2">
        <v>101</v>
      </c>
      <c r="G1651" s="1" t="s">
        <v>7</v>
      </c>
    </row>
    <row r="1652" spans="1:7" hidden="1">
      <c r="A1652" t="s">
        <v>85</v>
      </c>
      <c r="B1652" s="1" t="s">
        <v>45</v>
      </c>
      <c r="C1652" s="2">
        <v>2001</v>
      </c>
      <c r="D1652" s="2">
        <v>2</v>
      </c>
      <c r="E1652" s="2">
        <v>2</v>
      </c>
      <c r="F1652" s="1" t="s">
        <v>7</v>
      </c>
      <c r="G1652" s="1" t="s">
        <v>7</v>
      </c>
    </row>
    <row r="1653" spans="1:7" hidden="1">
      <c r="A1653" t="s">
        <v>85</v>
      </c>
      <c r="B1653" s="1" t="s">
        <v>46</v>
      </c>
      <c r="C1653" s="2">
        <v>2001</v>
      </c>
      <c r="D1653" s="2">
        <v>258</v>
      </c>
      <c r="E1653" s="2">
        <v>145</v>
      </c>
      <c r="F1653" s="2">
        <v>113</v>
      </c>
      <c r="G1653" s="1" t="s">
        <v>7</v>
      </c>
    </row>
    <row r="1654" spans="1:7" hidden="1">
      <c r="A1654" t="s">
        <v>85</v>
      </c>
      <c r="B1654" s="1" t="s">
        <v>46</v>
      </c>
      <c r="C1654" s="2">
        <v>2002</v>
      </c>
      <c r="D1654" s="2">
        <v>3</v>
      </c>
      <c r="E1654" s="2">
        <v>3</v>
      </c>
      <c r="F1654" s="1" t="s">
        <v>7</v>
      </c>
      <c r="G1654" s="1" t="s">
        <v>7</v>
      </c>
    </row>
    <row r="1655" spans="1:7" hidden="1">
      <c r="A1655" t="s">
        <v>85</v>
      </c>
      <c r="B1655" s="1" t="s">
        <v>47</v>
      </c>
      <c r="C1655" s="2">
        <v>2002</v>
      </c>
      <c r="D1655" s="2">
        <v>220</v>
      </c>
      <c r="E1655" s="2">
        <v>136</v>
      </c>
      <c r="F1655" s="2">
        <v>84</v>
      </c>
      <c r="G1655" s="1" t="s">
        <v>7</v>
      </c>
    </row>
    <row r="1656" spans="1:7" hidden="1">
      <c r="A1656" t="s">
        <v>85</v>
      </c>
      <c r="B1656" s="1" t="s">
        <v>47</v>
      </c>
      <c r="C1656" s="2">
        <v>2003</v>
      </c>
      <c r="D1656" s="2">
        <v>2</v>
      </c>
      <c r="E1656" s="2">
        <v>2</v>
      </c>
      <c r="F1656" s="1" t="s">
        <v>7</v>
      </c>
      <c r="G1656" s="1" t="s">
        <v>7</v>
      </c>
    </row>
    <row r="1657" spans="1:7" hidden="1">
      <c r="A1657" t="s">
        <v>85</v>
      </c>
      <c r="B1657" s="1" t="s">
        <v>48</v>
      </c>
      <c r="C1657" s="2">
        <v>2003</v>
      </c>
      <c r="D1657" s="2">
        <v>225</v>
      </c>
      <c r="E1657" s="2">
        <v>136</v>
      </c>
      <c r="F1657" s="2">
        <v>89</v>
      </c>
      <c r="G1657" s="1" t="s">
        <v>7</v>
      </c>
    </row>
    <row r="1658" spans="1:7" hidden="1">
      <c r="A1658" t="s">
        <v>85</v>
      </c>
      <c r="B1658" s="1" t="s">
        <v>49</v>
      </c>
      <c r="C1658" s="2">
        <v>2004</v>
      </c>
      <c r="D1658" s="2">
        <v>243</v>
      </c>
      <c r="E1658" s="2">
        <v>141</v>
      </c>
      <c r="F1658" s="2">
        <v>102</v>
      </c>
      <c r="G1658" s="1" t="s">
        <v>7</v>
      </c>
    </row>
    <row r="1659" spans="1:7" hidden="1">
      <c r="A1659" t="s">
        <v>85</v>
      </c>
      <c r="B1659" s="1" t="s">
        <v>49</v>
      </c>
      <c r="C1659" s="2">
        <v>2005</v>
      </c>
      <c r="D1659" s="2">
        <v>2</v>
      </c>
      <c r="E1659" s="2">
        <v>1</v>
      </c>
      <c r="F1659" s="2">
        <v>1</v>
      </c>
      <c r="G1659" s="1" t="s">
        <v>7</v>
      </c>
    </row>
    <row r="1660" spans="1:7" hidden="1">
      <c r="A1660" t="s">
        <v>85</v>
      </c>
      <c r="B1660" s="1" t="s">
        <v>50</v>
      </c>
      <c r="C1660" s="2">
        <v>2005</v>
      </c>
      <c r="D1660" s="2">
        <v>234</v>
      </c>
      <c r="E1660" s="2">
        <v>119</v>
      </c>
      <c r="F1660" s="2">
        <v>115</v>
      </c>
      <c r="G1660" s="1" t="s">
        <v>7</v>
      </c>
    </row>
    <row r="1661" spans="1:7" hidden="1">
      <c r="A1661" t="s">
        <v>85</v>
      </c>
      <c r="B1661" s="1" t="s">
        <v>50</v>
      </c>
      <c r="C1661" s="2">
        <v>2006</v>
      </c>
      <c r="D1661" s="2">
        <v>1</v>
      </c>
      <c r="E1661" s="2">
        <v>1</v>
      </c>
      <c r="F1661" s="1" t="s">
        <v>7</v>
      </c>
      <c r="G1661" s="1" t="s">
        <v>7</v>
      </c>
    </row>
    <row r="1662" spans="1:7" hidden="1">
      <c r="A1662" t="s">
        <v>85</v>
      </c>
      <c r="B1662" s="1" t="s">
        <v>50</v>
      </c>
      <c r="C1662" s="2">
        <v>2019</v>
      </c>
      <c r="D1662" s="2">
        <v>1</v>
      </c>
      <c r="E1662" s="2">
        <v>1</v>
      </c>
      <c r="F1662" s="1" t="s">
        <v>7</v>
      </c>
      <c r="G1662" s="1" t="s">
        <v>7</v>
      </c>
    </row>
    <row r="1663" spans="1:7" hidden="1">
      <c r="A1663" t="s">
        <v>85</v>
      </c>
      <c r="B1663" s="1" t="s">
        <v>51</v>
      </c>
      <c r="C1663" s="2">
        <v>2006</v>
      </c>
      <c r="D1663" s="2">
        <v>213</v>
      </c>
      <c r="E1663" s="2">
        <v>111</v>
      </c>
      <c r="F1663" s="2">
        <v>102</v>
      </c>
      <c r="G1663" s="1" t="s">
        <v>7</v>
      </c>
    </row>
    <row r="1664" spans="1:7" hidden="1">
      <c r="A1664" t="s">
        <v>85</v>
      </c>
      <c r="B1664" s="1" t="s">
        <v>51</v>
      </c>
      <c r="C1664" s="2">
        <v>2007</v>
      </c>
      <c r="D1664" s="2">
        <v>2</v>
      </c>
      <c r="E1664" s="2">
        <v>2</v>
      </c>
      <c r="F1664" s="1" t="s">
        <v>7</v>
      </c>
      <c r="G1664" s="1" t="s">
        <v>7</v>
      </c>
    </row>
    <row r="1665" spans="1:7" hidden="1">
      <c r="A1665" t="s">
        <v>85</v>
      </c>
      <c r="B1665" s="1" t="s">
        <v>52</v>
      </c>
      <c r="C1665" s="2">
        <v>2007</v>
      </c>
      <c r="D1665" s="2">
        <v>241</v>
      </c>
      <c r="E1665" s="2">
        <v>125</v>
      </c>
      <c r="F1665" s="2">
        <v>116</v>
      </c>
      <c r="G1665" s="1" t="s">
        <v>7</v>
      </c>
    </row>
    <row r="1666" spans="1:7" hidden="1">
      <c r="A1666" t="s">
        <v>85</v>
      </c>
      <c r="B1666" s="1" t="s">
        <v>52</v>
      </c>
      <c r="C1666" s="2">
        <v>2008</v>
      </c>
      <c r="D1666" s="2">
        <v>1</v>
      </c>
      <c r="E1666" s="2">
        <v>1</v>
      </c>
      <c r="F1666" s="1" t="s">
        <v>7</v>
      </c>
      <c r="G1666" s="1" t="s">
        <v>7</v>
      </c>
    </row>
    <row r="1667" spans="1:7" hidden="1">
      <c r="A1667" t="s">
        <v>85</v>
      </c>
      <c r="B1667" s="1" t="s">
        <v>52</v>
      </c>
      <c r="C1667" s="2">
        <v>2022</v>
      </c>
      <c r="D1667" s="2">
        <v>1</v>
      </c>
      <c r="E1667" s="2">
        <v>1</v>
      </c>
      <c r="F1667" s="1" t="s">
        <v>7</v>
      </c>
      <c r="G1667" s="1" t="s">
        <v>7</v>
      </c>
    </row>
    <row r="1668" spans="1:7" hidden="1">
      <c r="A1668" t="s">
        <v>85</v>
      </c>
      <c r="B1668" s="1" t="s">
        <v>53</v>
      </c>
      <c r="C1668" s="2">
        <v>2008</v>
      </c>
      <c r="D1668" s="2">
        <v>289</v>
      </c>
      <c r="E1668" s="2">
        <v>165</v>
      </c>
      <c r="F1668" s="2">
        <v>124</v>
      </c>
      <c r="G1668" s="1" t="s">
        <v>7</v>
      </c>
    </row>
    <row r="1669" spans="1:7" hidden="1">
      <c r="A1669" t="s">
        <v>85</v>
      </c>
      <c r="B1669" s="1" t="s">
        <v>53</v>
      </c>
      <c r="C1669" s="2">
        <v>2009</v>
      </c>
      <c r="D1669" s="2">
        <v>1</v>
      </c>
      <c r="E1669" s="2">
        <v>1</v>
      </c>
      <c r="F1669" s="1" t="s">
        <v>7</v>
      </c>
      <c r="G1669" s="1" t="s">
        <v>7</v>
      </c>
    </row>
    <row r="1670" spans="1:7" hidden="1">
      <c r="A1670" t="s">
        <v>85</v>
      </c>
      <c r="B1670" s="1" t="s">
        <v>54</v>
      </c>
      <c r="C1670" s="2">
        <v>2009</v>
      </c>
      <c r="D1670" s="2">
        <v>278</v>
      </c>
      <c r="E1670" s="2">
        <v>164</v>
      </c>
      <c r="F1670" s="2">
        <v>114</v>
      </c>
      <c r="G1670" s="1" t="s">
        <v>7</v>
      </c>
    </row>
    <row r="1671" spans="1:7" hidden="1">
      <c r="A1671" t="s">
        <v>85</v>
      </c>
      <c r="B1671" s="1" t="s">
        <v>55</v>
      </c>
      <c r="C1671" s="2">
        <v>2010</v>
      </c>
      <c r="D1671" s="2">
        <v>283</v>
      </c>
      <c r="E1671" s="2">
        <v>162</v>
      </c>
      <c r="F1671" s="2">
        <v>121</v>
      </c>
      <c r="G1671" s="1" t="s">
        <v>7</v>
      </c>
    </row>
    <row r="1672" spans="1:7" hidden="1">
      <c r="A1672" t="s">
        <v>85</v>
      </c>
      <c r="B1672" s="1" t="s">
        <v>55</v>
      </c>
      <c r="C1672" s="2">
        <v>2011</v>
      </c>
      <c r="D1672" s="2">
        <v>1</v>
      </c>
      <c r="E1672" s="2">
        <v>1</v>
      </c>
      <c r="F1672" s="1" t="s">
        <v>7</v>
      </c>
      <c r="G1672" s="1" t="s">
        <v>7</v>
      </c>
    </row>
    <row r="1673" spans="1:7" hidden="1">
      <c r="A1673" t="s">
        <v>85</v>
      </c>
      <c r="B1673" s="1" t="s">
        <v>56</v>
      </c>
      <c r="C1673" s="2">
        <v>2011</v>
      </c>
      <c r="D1673" s="2">
        <v>326</v>
      </c>
      <c r="E1673" s="2">
        <v>170</v>
      </c>
      <c r="F1673" s="2">
        <v>156</v>
      </c>
      <c r="G1673" s="1" t="s">
        <v>7</v>
      </c>
    </row>
    <row r="1674" spans="1:7" hidden="1">
      <c r="A1674" t="s">
        <v>85</v>
      </c>
      <c r="B1674" s="1" t="s">
        <v>56</v>
      </c>
      <c r="C1674" s="2">
        <v>2012</v>
      </c>
      <c r="D1674" s="2">
        <v>3</v>
      </c>
      <c r="E1674" s="2">
        <v>2</v>
      </c>
      <c r="F1674" s="2">
        <v>1</v>
      </c>
      <c r="G1674" s="1" t="s">
        <v>7</v>
      </c>
    </row>
    <row r="1675" spans="1:7" hidden="1">
      <c r="A1675" t="s">
        <v>85</v>
      </c>
      <c r="B1675" s="1" t="s">
        <v>57</v>
      </c>
      <c r="C1675" s="2">
        <v>2012</v>
      </c>
      <c r="D1675" s="2">
        <v>351</v>
      </c>
      <c r="E1675" s="2">
        <v>185</v>
      </c>
      <c r="F1675" s="2">
        <v>166</v>
      </c>
      <c r="G1675" s="1" t="s">
        <v>7</v>
      </c>
    </row>
    <row r="1676" spans="1:7" hidden="1">
      <c r="A1676" t="s">
        <v>85</v>
      </c>
      <c r="B1676" s="1" t="s">
        <v>57</v>
      </c>
      <c r="C1676" s="2">
        <v>2013</v>
      </c>
      <c r="D1676" s="2">
        <v>4</v>
      </c>
      <c r="E1676" s="2">
        <v>2</v>
      </c>
      <c r="F1676" s="2">
        <v>2</v>
      </c>
      <c r="G1676" s="1" t="s">
        <v>7</v>
      </c>
    </row>
    <row r="1677" spans="1:7" hidden="1">
      <c r="A1677" t="s">
        <v>85</v>
      </c>
      <c r="B1677" s="1" t="s">
        <v>58</v>
      </c>
      <c r="C1677" s="2">
        <v>2013</v>
      </c>
      <c r="D1677" s="2">
        <v>339</v>
      </c>
      <c r="E1677" s="2">
        <v>187</v>
      </c>
      <c r="F1677" s="2">
        <v>152</v>
      </c>
      <c r="G1677" s="1" t="s">
        <v>7</v>
      </c>
    </row>
    <row r="1678" spans="1:7" hidden="1">
      <c r="A1678" t="s">
        <v>85</v>
      </c>
      <c r="B1678" s="1" t="s">
        <v>58</v>
      </c>
      <c r="C1678" s="2">
        <v>2014</v>
      </c>
      <c r="D1678" s="2">
        <v>1</v>
      </c>
      <c r="E1678" s="1" t="s">
        <v>7</v>
      </c>
      <c r="F1678" s="2">
        <v>1</v>
      </c>
      <c r="G1678" s="1" t="s">
        <v>7</v>
      </c>
    </row>
    <row r="1679" spans="1:7" hidden="1">
      <c r="A1679" t="s">
        <v>85</v>
      </c>
      <c r="B1679" s="1" t="s">
        <v>59</v>
      </c>
      <c r="C1679" s="2">
        <v>2014</v>
      </c>
      <c r="D1679" s="2">
        <v>327</v>
      </c>
      <c r="E1679" s="2">
        <v>190</v>
      </c>
      <c r="F1679" s="2">
        <v>137</v>
      </c>
      <c r="G1679" s="1" t="s">
        <v>7</v>
      </c>
    </row>
    <row r="1680" spans="1:7" hidden="1">
      <c r="A1680" t="s">
        <v>85</v>
      </c>
      <c r="B1680" s="1" t="s">
        <v>59</v>
      </c>
      <c r="C1680" s="2">
        <v>2015</v>
      </c>
      <c r="D1680" s="2">
        <v>4</v>
      </c>
      <c r="E1680" s="2">
        <v>2</v>
      </c>
      <c r="F1680" s="2">
        <v>2</v>
      </c>
      <c r="G1680" s="1" t="s">
        <v>7</v>
      </c>
    </row>
    <row r="1681" spans="1:7" hidden="1">
      <c r="A1681" t="s">
        <v>85</v>
      </c>
      <c r="B1681" s="1" t="s">
        <v>60</v>
      </c>
      <c r="C1681" s="2">
        <v>2015</v>
      </c>
      <c r="D1681" s="2">
        <v>408</v>
      </c>
      <c r="E1681" s="2">
        <v>237</v>
      </c>
      <c r="F1681" s="2">
        <v>171</v>
      </c>
      <c r="G1681" s="1" t="s">
        <v>7</v>
      </c>
    </row>
    <row r="1682" spans="1:7" hidden="1">
      <c r="A1682" t="s">
        <v>85</v>
      </c>
      <c r="B1682" s="1" t="s">
        <v>60</v>
      </c>
      <c r="C1682" s="2">
        <v>2016</v>
      </c>
      <c r="D1682" s="2">
        <v>2</v>
      </c>
      <c r="E1682" s="2">
        <v>1</v>
      </c>
      <c r="F1682" s="2">
        <v>1</v>
      </c>
      <c r="G1682" s="1" t="s">
        <v>7</v>
      </c>
    </row>
    <row r="1683" spans="1:7" hidden="1">
      <c r="A1683" t="s">
        <v>85</v>
      </c>
      <c r="B1683" s="1" t="s">
        <v>61</v>
      </c>
      <c r="C1683" s="2">
        <v>2016</v>
      </c>
      <c r="D1683" s="2">
        <v>370</v>
      </c>
      <c r="E1683" s="2">
        <v>216</v>
      </c>
      <c r="F1683" s="2">
        <v>154</v>
      </c>
      <c r="G1683" s="1" t="s">
        <v>7</v>
      </c>
    </row>
    <row r="1684" spans="1:7" hidden="1">
      <c r="A1684" t="s">
        <v>85</v>
      </c>
      <c r="B1684" s="1" t="s">
        <v>61</v>
      </c>
      <c r="C1684" s="2">
        <v>2017</v>
      </c>
      <c r="D1684" s="2">
        <v>2</v>
      </c>
      <c r="E1684" s="2">
        <v>2</v>
      </c>
      <c r="F1684" s="1" t="s">
        <v>7</v>
      </c>
      <c r="G1684" s="1" t="s">
        <v>7</v>
      </c>
    </row>
    <row r="1685" spans="1:7" hidden="1">
      <c r="A1685" t="s">
        <v>85</v>
      </c>
      <c r="B1685" s="1" t="s">
        <v>62</v>
      </c>
      <c r="C1685" s="2">
        <v>2017</v>
      </c>
      <c r="D1685" s="2">
        <v>386</v>
      </c>
      <c r="E1685" s="2">
        <v>227</v>
      </c>
      <c r="F1685" s="2">
        <v>159</v>
      </c>
      <c r="G1685" s="1" t="s">
        <v>7</v>
      </c>
    </row>
    <row r="1686" spans="1:7" hidden="1">
      <c r="A1686" t="s">
        <v>85</v>
      </c>
      <c r="B1686" s="1" t="s">
        <v>62</v>
      </c>
      <c r="C1686" s="2">
        <v>2018</v>
      </c>
      <c r="D1686" s="2">
        <v>1</v>
      </c>
      <c r="E1686" s="2">
        <v>1</v>
      </c>
      <c r="F1686" s="1" t="s">
        <v>7</v>
      </c>
      <c r="G1686" s="1" t="s">
        <v>7</v>
      </c>
    </row>
    <row r="1687" spans="1:7" hidden="1">
      <c r="A1687" t="s">
        <v>85</v>
      </c>
      <c r="B1687" s="1" t="s">
        <v>63</v>
      </c>
      <c r="C1687" s="2">
        <v>2018</v>
      </c>
      <c r="D1687" s="2">
        <v>395</v>
      </c>
      <c r="E1687" s="2">
        <v>225</v>
      </c>
      <c r="F1687" s="2">
        <v>170</v>
      </c>
      <c r="G1687" s="1" t="s">
        <v>7</v>
      </c>
    </row>
    <row r="1688" spans="1:7" hidden="1">
      <c r="A1688" t="s">
        <v>85</v>
      </c>
      <c r="B1688" s="1" t="s">
        <v>63</v>
      </c>
      <c r="C1688" s="2">
        <v>2019</v>
      </c>
      <c r="D1688" s="2">
        <v>1</v>
      </c>
      <c r="E1688" s="2">
        <v>1</v>
      </c>
      <c r="F1688" s="1" t="s">
        <v>7</v>
      </c>
      <c r="G1688" s="1" t="s">
        <v>7</v>
      </c>
    </row>
    <row r="1689" spans="1:7" hidden="1">
      <c r="A1689" t="s">
        <v>85</v>
      </c>
      <c r="B1689" s="1" t="s">
        <v>64</v>
      </c>
      <c r="C1689" s="2">
        <v>2019</v>
      </c>
      <c r="D1689" s="2">
        <v>369</v>
      </c>
      <c r="E1689" s="2">
        <v>216</v>
      </c>
      <c r="F1689" s="2">
        <v>153</v>
      </c>
      <c r="G1689" s="1" t="s">
        <v>7</v>
      </c>
    </row>
    <row r="1690" spans="1:7" hidden="1">
      <c r="A1690" t="s">
        <v>85</v>
      </c>
      <c r="B1690" s="1" t="s">
        <v>64</v>
      </c>
      <c r="C1690" s="2">
        <v>2020</v>
      </c>
      <c r="D1690" s="2">
        <v>1</v>
      </c>
      <c r="E1690" s="1" t="s">
        <v>7</v>
      </c>
      <c r="F1690" s="2">
        <v>1</v>
      </c>
      <c r="G1690" s="1" t="s">
        <v>7</v>
      </c>
    </row>
    <row r="1691" spans="1:7" hidden="1">
      <c r="A1691" t="s">
        <v>85</v>
      </c>
      <c r="B1691" s="1" t="s">
        <v>65</v>
      </c>
      <c r="C1691" s="2">
        <v>2020</v>
      </c>
      <c r="D1691" s="2">
        <v>631</v>
      </c>
      <c r="E1691" s="2">
        <v>374</v>
      </c>
      <c r="F1691" s="2">
        <v>257</v>
      </c>
      <c r="G1691" s="1" t="s">
        <v>7</v>
      </c>
    </row>
    <row r="1692" spans="1:7" hidden="1">
      <c r="A1692" t="s">
        <v>85</v>
      </c>
      <c r="B1692" s="1" t="s">
        <v>65</v>
      </c>
      <c r="C1692" s="2">
        <v>2021</v>
      </c>
      <c r="D1692" s="2">
        <v>3</v>
      </c>
      <c r="E1692" s="1" t="s">
        <v>7</v>
      </c>
      <c r="F1692" s="2">
        <v>3</v>
      </c>
      <c r="G1692" s="1" t="s">
        <v>7</v>
      </c>
    </row>
    <row r="1693" spans="1:7" hidden="1">
      <c r="A1693" t="s">
        <v>85</v>
      </c>
      <c r="B1693" s="1" t="s">
        <v>66</v>
      </c>
      <c r="C1693" s="2">
        <v>2021</v>
      </c>
      <c r="D1693" s="2">
        <v>743</v>
      </c>
      <c r="E1693" s="2">
        <v>419</v>
      </c>
      <c r="F1693" s="2">
        <v>324</v>
      </c>
      <c r="G1693" s="1" t="s">
        <v>7</v>
      </c>
    </row>
    <row r="1694" spans="1:7" hidden="1">
      <c r="A1694" t="s">
        <v>85</v>
      </c>
      <c r="B1694" s="1" t="s">
        <v>66</v>
      </c>
      <c r="C1694" s="2">
        <v>2022</v>
      </c>
      <c r="D1694" s="2">
        <v>4</v>
      </c>
      <c r="E1694" s="2">
        <v>2</v>
      </c>
      <c r="F1694" s="2">
        <v>2</v>
      </c>
      <c r="G1694" s="1" t="s">
        <v>7</v>
      </c>
    </row>
    <row r="1695" spans="1:7" hidden="1">
      <c r="A1695" t="s">
        <v>85</v>
      </c>
      <c r="B1695" s="1" t="s">
        <v>67</v>
      </c>
      <c r="C1695" s="2">
        <v>2022</v>
      </c>
      <c r="D1695" s="2">
        <v>523</v>
      </c>
      <c r="E1695" s="2">
        <v>323</v>
      </c>
      <c r="F1695" s="2">
        <v>200</v>
      </c>
      <c r="G1695" s="1" t="s">
        <v>7</v>
      </c>
    </row>
    <row r="1696" spans="1:7" hidden="1">
      <c r="A1696" t="s">
        <v>85</v>
      </c>
      <c r="B1696" s="1" t="s">
        <v>67</v>
      </c>
      <c r="C1696" s="2">
        <v>2023</v>
      </c>
      <c r="D1696" s="2">
        <v>1</v>
      </c>
      <c r="E1696" s="1" t="s">
        <v>7</v>
      </c>
      <c r="F1696" s="2">
        <v>1</v>
      </c>
      <c r="G1696" s="1" t="s">
        <v>7</v>
      </c>
    </row>
    <row r="1697" spans="1:7" hidden="1">
      <c r="A1697" t="s">
        <v>85</v>
      </c>
      <c r="B1697" s="1" t="s">
        <v>68</v>
      </c>
      <c r="C1697" s="2">
        <v>2023</v>
      </c>
      <c r="D1697" s="2">
        <v>525</v>
      </c>
      <c r="E1697" s="2">
        <v>301</v>
      </c>
      <c r="F1697" s="2">
        <v>224</v>
      </c>
      <c r="G1697" s="1" t="s">
        <v>7</v>
      </c>
    </row>
    <row r="1698" spans="1:7" hidden="1">
      <c r="A1698" t="s">
        <v>85</v>
      </c>
      <c r="B1698" s="1" t="s">
        <v>68</v>
      </c>
      <c r="C1698" s="2">
        <v>2024</v>
      </c>
      <c r="D1698" s="2">
        <v>1</v>
      </c>
      <c r="E1698" s="2">
        <v>1</v>
      </c>
      <c r="F1698" s="1" t="s">
        <v>7</v>
      </c>
      <c r="G1698" s="1" t="s">
        <v>7</v>
      </c>
    </row>
    <row r="1699" spans="1:7" hidden="1">
      <c r="A1699" t="s">
        <v>85</v>
      </c>
      <c r="B1699" s="1" t="s">
        <v>69</v>
      </c>
      <c r="C1699" s="2">
        <v>2024</v>
      </c>
      <c r="D1699" s="2">
        <v>520</v>
      </c>
      <c r="E1699" s="2">
        <v>296</v>
      </c>
      <c r="F1699" s="2">
        <v>224</v>
      </c>
      <c r="G1699" s="1" t="s">
        <v>7</v>
      </c>
    </row>
    <row r="1700" spans="1:7" hidden="1">
      <c r="A1700" t="s">
        <v>85</v>
      </c>
      <c r="B1700" s="1" t="s">
        <v>6</v>
      </c>
      <c r="C1700" s="2">
        <v>1990</v>
      </c>
      <c r="D1700" s="2">
        <v>2</v>
      </c>
      <c r="E1700" s="2">
        <v>1</v>
      </c>
      <c r="F1700" s="2">
        <v>1</v>
      </c>
      <c r="G1700" s="1" t="s">
        <v>7</v>
      </c>
    </row>
    <row r="1701" spans="1:7" hidden="1">
      <c r="A1701" t="s">
        <v>85</v>
      </c>
      <c r="B1701" s="1" t="s">
        <v>6</v>
      </c>
      <c r="C1701" s="2">
        <v>1992</v>
      </c>
      <c r="D1701" s="2">
        <v>3</v>
      </c>
      <c r="E1701" s="2">
        <v>2</v>
      </c>
      <c r="F1701" s="2">
        <v>1</v>
      </c>
      <c r="G1701" s="1" t="s">
        <v>7</v>
      </c>
    </row>
    <row r="1702" spans="1:7" hidden="1">
      <c r="A1702" t="s">
        <v>85</v>
      </c>
      <c r="B1702" s="1" t="s">
        <v>6</v>
      </c>
      <c r="C1702" s="2">
        <v>1993</v>
      </c>
      <c r="D1702" s="2">
        <v>1</v>
      </c>
      <c r="E1702" s="2">
        <v>1</v>
      </c>
      <c r="F1702" s="1" t="s">
        <v>7</v>
      </c>
      <c r="G1702" s="1" t="s">
        <v>7</v>
      </c>
    </row>
    <row r="1703" spans="1:7" hidden="1">
      <c r="A1703" t="s">
        <v>85</v>
      </c>
      <c r="B1703" s="1" t="s">
        <v>6</v>
      </c>
      <c r="C1703" s="2">
        <v>1994</v>
      </c>
      <c r="D1703" s="2">
        <v>1</v>
      </c>
      <c r="E1703" s="1" t="s">
        <v>7</v>
      </c>
      <c r="F1703" s="2">
        <v>1</v>
      </c>
      <c r="G1703" s="1" t="s">
        <v>7</v>
      </c>
    </row>
    <row r="1704" spans="1:7" hidden="1">
      <c r="A1704" t="s">
        <v>85</v>
      </c>
      <c r="B1704" s="1" t="s">
        <v>6</v>
      </c>
      <c r="C1704" s="2">
        <v>2022</v>
      </c>
      <c r="D1704" s="2">
        <v>1</v>
      </c>
      <c r="E1704" s="1" t="s">
        <v>7</v>
      </c>
      <c r="F1704" s="2">
        <v>1</v>
      </c>
      <c r="G1704" s="1" t="s">
        <v>7</v>
      </c>
    </row>
    <row r="1705" spans="1:7" hidden="1">
      <c r="A1705" t="s">
        <v>85</v>
      </c>
      <c r="B1705" s="1" t="s">
        <v>6</v>
      </c>
      <c r="C1705" s="2">
        <v>2024</v>
      </c>
      <c r="D1705" s="2">
        <v>1</v>
      </c>
      <c r="E1705" s="2">
        <v>1</v>
      </c>
      <c r="F1705" s="1" t="s">
        <v>7</v>
      </c>
      <c r="G1705" s="1" t="s">
        <v>7</v>
      </c>
    </row>
    <row r="1706" spans="1:7" hidden="1">
      <c r="A1706" t="s">
        <v>86</v>
      </c>
      <c r="B1706" s="1" t="s">
        <v>3</v>
      </c>
      <c r="C1706" s="2">
        <v>1990</v>
      </c>
      <c r="D1706" s="2">
        <v>225</v>
      </c>
      <c r="E1706" s="2">
        <v>119</v>
      </c>
      <c r="F1706" s="2">
        <v>106</v>
      </c>
      <c r="G1706" s="1" t="s">
        <v>7</v>
      </c>
    </row>
    <row r="1707" spans="1:7" hidden="1">
      <c r="A1707" t="s">
        <v>86</v>
      </c>
      <c r="B1707" s="1" t="s">
        <v>3</v>
      </c>
      <c r="C1707" s="2">
        <v>1991</v>
      </c>
      <c r="D1707" s="2">
        <v>194</v>
      </c>
      <c r="E1707" s="2">
        <v>93</v>
      </c>
      <c r="F1707" s="2">
        <v>101</v>
      </c>
      <c r="G1707" s="1" t="s">
        <v>7</v>
      </c>
    </row>
    <row r="1708" spans="1:7" hidden="1">
      <c r="A1708" t="s">
        <v>86</v>
      </c>
      <c r="B1708" s="1" t="s">
        <v>3</v>
      </c>
      <c r="C1708" s="2">
        <v>1992</v>
      </c>
      <c r="D1708" s="2">
        <v>206</v>
      </c>
      <c r="E1708" s="2">
        <v>112</v>
      </c>
      <c r="F1708" s="2">
        <v>94</v>
      </c>
      <c r="G1708" s="1" t="s">
        <v>7</v>
      </c>
    </row>
    <row r="1709" spans="1:7" hidden="1">
      <c r="A1709" t="s">
        <v>86</v>
      </c>
      <c r="B1709" s="1" t="s">
        <v>3</v>
      </c>
      <c r="C1709" s="2">
        <v>1993</v>
      </c>
      <c r="D1709" s="2">
        <v>210</v>
      </c>
      <c r="E1709" s="2">
        <v>111</v>
      </c>
      <c r="F1709" s="2">
        <v>99</v>
      </c>
      <c r="G1709" s="1" t="s">
        <v>7</v>
      </c>
    </row>
    <row r="1710" spans="1:7" hidden="1">
      <c r="A1710" t="s">
        <v>86</v>
      </c>
      <c r="B1710" s="1" t="s">
        <v>3</v>
      </c>
      <c r="C1710" s="2">
        <v>1994</v>
      </c>
      <c r="D1710" s="2">
        <v>185</v>
      </c>
      <c r="E1710" s="2">
        <v>93</v>
      </c>
      <c r="F1710" s="2">
        <v>92</v>
      </c>
      <c r="G1710" s="1" t="s">
        <v>7</v>
      </c>
    </row>
    <row r="1711" spans="1:7" hidden="1">
      <c r="A1711" t="s">
        <v>86</v>
      </c>
      <c r="B1711" s="1" t="s">
        <v>3</v>
      </c>
      <c r="C1711" s="2">
        <v>1995</v>
      </c>
      <c r="D1711" s="2">
        <v>205</v>
      </c>
      <c r="E1711" s="2">
        <v>114</v>
      </c>
      <c r="F1711" s="2">
        <v>91</v>
      </c>
      <c r="G1711" s="1" t="s">
        <v>7</v>
      </c>
    </row>
    <row r="1712" spans="1:7" hidden="1">
      <c r="A1712" t="s">
        <v>86</v>
      </c>
      <c r="B1712" s="1" t="s">
        <v>3</v>
      </c>
      <c r="C1712" s="2">
        <v>1996</v>
      </c>
      <c r="D1712" s="2">
        <v>231</v>
      </c>
      <c r="E1712" s="2">
        <v>107</v>
      </c>
      <c r="F1712" s="2">
        <v>124</v>
      </c>
      <c r="G1712" s="1" t="s">
        <v>7</v>
      </c>
    </row>
    <row r="1713" spans="1:7" hidden="1">
      <c r="A1713" t="s">
        <v>86</v>
      </c>
      <c r="B1713" s="1" t="s">
        <v>3</v>
      </c>
      <c r="C1713" s="2">
        <v>1997</v>
      </c>
      <c r="D1713" s="2">
        <v>224</v>
      </c>
      <c r="E1713" s="2">
        <v>123</v>
      </c>
      <c r="F1713" s="2">
        <v>101</v>
      </c>
      <c r="G1713" s="1" t="s">
        <v>7</v>
      </c>
    </row>
    <row r="1714" spans="1:7" hidden="1">
      <c r="A1714" t="s">
        <v>86</v>
      </c>
      <c r="B1714" s="1" t="s">
        <v>3</v>
      </c>
      <c r="C1714" s="2">
        <v>1998</v>
      </c>
      <c r="D1714" s="2">
        <v>248</v>
      </c>
      <c r="E1714" s="2">
        <v>146</v>
      </c>
      <c r="F1714" s="2">
        <v>102</v>
      </c>
      <c r="G1714" s="1" t="s">
        <v>7</v>
      </c>
    </row>
    <row r="1715" spans="1:7" hidden="1">
      <c r="A1715" t="s">
        <v>86</v>
      </c>
      <c r="B1715" s="1" t="s">
        <v>3</v>
      </c>
      <c r="C1715" s="2">
        <v>1999</v>
      </c>
      <c r="D1715" s="2">
        <v>232</v>
      </c>
      <c r="E1715" s="2">
        <v>116</v>
      </c>
      <c r="F1715" s="2">
        <v>116</v>
      </c>
      <c r="G1715" s="1" t="s">
        <v>7</v>
      </c>
    </row>
    <row r="1716" spans="1:7" hidden="1">
      <c r="A1716" t="s">
        <v>86</v>
      </c>
      <c r="B1716" s="1" t="s">
        <v>3</v>
      </c>
      <c r="C1716" s="2">
        <v>2000</v>
      </c>
      <c r="D1716" s="2">
        <v>262</v>
      </c>
      <c r="E1716" s="2">
        <v>140</v>
      </c>
      <c r="F1716" s="2">
        <v>122</v>
      </c>
      <c r="G1716" s="1" t="s">
        <v>7</v>
      </c>
    </row>
    <row r="1717" spans="1:7" hidden="1">
      <c r="A1717" t="s">
        <v>86</v>
      </c>
      <c r="B1717" s="1" t="s">
        <v>3</v>
      </c>
      <c r="C1717" s="2">
        <v>2001</v>
      </c>
      <c r="D1717" s="2">
        <v>252</v>
      </c>
      <c r="E1717" s="2">
        <v>140</v>
      </c>
      <c r="F1717" s="2">
        <v>111</v>
      </c>
      <c r="G1717" s="2">
        <v>1</v>
      </c>
    </row>
    <row r="1718" spans="1:7" hidden="1">
      <c r="A1718" t="s">
        <v>86</v>
      </c>
      <c r="B1718" s="1" t="s">
        <v>3</v>
      </c>
      <c r="C1718" s="2">
        <v>2002</v>
      </c>
      <c r="D1718" s="2">
        <v>257</v>
      </c>
      <c r="E1718" s="2">
        <v>143</v>
      </c>
      <c r="F1718" s="2">
        <v>114</v>
      </c>
      <c r="G1718" s="1" t="s">
        <v>7</v>
      </c>
    </row>
    <row r="1719" spans="1:7" hidden="1">
      <c r="A1719" t="s">
        <v>86</v>
      </c>
      <c r="B1719" s="1" t="s">
        <v>3</v>
      </c>
      <c r="C1719" s="2">
        <v>2003</v>
      </c>
      <c r="D1719" s="2">
        <v>231</v>
      </c>
      <c r="E1719" s="2">
        <v>130</v>
      </c>
      <c r="F1719" s="2">
        <v>101</v>
      </c>
      <c r="G1719" s="1" t="s">
        <v>7</v>
      </c>
    </row>
    <row r="1720" spans="1:7" hidden="1">
      <c r="A1720" t="s">
        <v>86</v>
      </c>
      <c r="B1720" s="1" t="s">
        <v>3</v>
      </c>
      <c r="C1720" s="2">
        <v>2004</v>
      </c>
      <c r="D1720" s="2">
        <v>242</v>
      </c>
      <c r="E1720" s="2">
        <v>135</v>
      </c>
      <c r="F1720" s="2">
        <v>106</v>
      </c>
      <c r="G1720" s="2">
        <v>1</v>
      </c>
    </row>
    <row r="1721" spans="1:7" hidden="1">
      <c r="A1721" t="s">
        <v>86</v>
      </c>
      <c r="B1721" s="1" t="s">
        <v>3</v>
      </c>
      <c r="C1721" s="2">
        <v>2005</v>
      </c>
      <c r="D1721" s="2">
        <v>272</v>
      </c>
      <c r="E1721" s="2">
        <v>152</v>
      </c>
      <c r="F1721" s="2">
        <v>120</v>
      </c>
      <c r="G1721" s="1" t="s">
        <v>7</v>
      </c>
    </row>
    <row r="1722" spans="1:7" hidden="1">
      <c r="A1722" t="s">
        <v>86</v>
      </c>
      <c r="B1722" s="1" t="s">
        <v>3</v>
      </c>
      <c r="C1722" s="2">
        <v>2006</v>
      </c>
      <c r="D1722" s="2">
        <v>290</v>
      </c>
      <c r="E1722" s="2">
        <v>169</v>
      </c>
      <c r="F1722" s="2">
        <v>121</v>
      </c>
      <c r="G1722" s="1" t="s">
        <v>7</v>
      </c>
    </row>
    <row r="1723" spans="1:7" hidden="1">
      <c r="A1723" t="s">
        <v>86</v>
      </c>
      <c r="B1723" s="1" t="s">
        <v>3</v>
      </c>
      <c r="C1723" s="2">
        <v>2007</v>
      </c>
      <c r="D1723" s="2">
        <v>290</v>
      </c>
      <c r="E1723" s="2">
        <v>153</v>
      </c>
      <c r="F1723" s="2">
        <v>137</v>
      </c>
      <c r="G1723" s="1" t="s">
        <v>7</v>
      </c>
    </row>
    <row r="1724" spans="1:7" hidden="1">
      <c r="A1724" t="s">
        <v>86</v>
      </c>
      <c r="B1724" s="1" t="s">
        <v>3</v>
      </c>
      <c r="C1724" s="2">
        <v>2008</v>
      </c>
      <c r="D1724" s="2">
        <v>324</v>
      </c>
      <c r="E1724" s="2">
        <v>181</v>
      </c>
      <c r="F1724" s="2">
        <v>143</v>
      </c>
      <c r="G1724" s="1" t="s">
        <v>7</v>
      </c>
    </row>
    <row r="1725" spans="1:7" hidden="1">
      <c r="A1725" t="s">
        <v>86</v>
      </c>
      <c r="B1725" s="1" t="s">
        <v>3</v>
      </c>
      <c r="C1725" s="2">
        <v>2009</v>
      </c>
      <c r="D1725" s="2">
        <v>314</v>
      </c>
      <c r="E1725" s="2">
        <v>181</v>
      </c>
      <c r="F1725" s="2">
        <v>133</v>
      </c>
      <c r="G1725" s="1" t="s">
        <v>7</v>
      </c>
    </row>
    <row r="1726" spans="1:7">
      <c r="A1726" t="s">
        <v>86</v>
      </c>
      <c r="B1726" s="1" t="s">
        <v>3</v>
      </c>
      <c r="C1726" s="2">
        <v>2010</v>
      </c>
      <c r="D1726" s="2">
        <v>323</v>
      </c>
      <c r="E1726" s="2">
        <v>170</v>
      </c>
      <c r="F1726" s="2">
        <v>153</v>
      </c>
      <c r="G1726" s="1" t="s">
        <v>7</v>
      </c>
    </row>
    <row r="1727" spans="1:7" hidden="1">
      <c r="A1727" t="s">
        <v>86</v>
      </c>
      <c r="B1727" s="1" t="s">
        <v>3</v>
      </c>
      <c r="C1727" s="2">
        <v>2011</v>
      </c>
      <c r="D1727" s="2">
        <v>351</v>
      </c>
      <c r="E1727" s="2">
        <v>174</v>
      </c>
      <c r="F1727" s="2">
        <v>177</v>
      </c>
      <c r="G1727" s="1" t="s">
        <v>7</v>
      </c>
    </row>
    <row r="1728" spans="1:7" hidden="1">
      <c r="A1728" t="s">
        <v>86</v>
      </c>
      <c r="B1728" s="1" t="s">
        <v>3</v>
      </c>
      <c r="C1728" s="2">
        <v>2012</v>
      </c>
      <c r="D1728" s="2">
        <v>329</v>
      </c>
      <c r="E1728" s="2">
        <v>193</v>
      </c>
      <c r="F1728" s="2">
        <v>136</v>
      </c>
      <c r="G1728" s="1" t="s">
        <v>7</v>
      </c>
    </row>
    <row r="1729" spans="1:7" hidden="1">
      <c r="A1729" t="s">
        <v>86</v>
      </c>
      <c r="B1729" s="1" t="s">
        <v>3</v>
      </c>
      <c r="C1729" s="2">
        <v>2013</v>
      </c>
      <c r="D1729" s="2">
        <v>357</v>
      </c>
      <c r="E1729" s="2">
        <v>192</v>
      </c>
      <c r="F1729" s="2">
        <v>165</v>
      </c>
      <c r="G1729" s="1" t="s">
        <v>7</v>
      </c>
    </row>
    <row r="1730" spans="1:7" hidden="1">
      <c r="A1730" t="s">
        <v>86</v>
      </c>
      <c r="B1730" s="1" t="s">
        <v>3</v>
      </c>
      <c r="C1730" s="2">
        <v>2014</v>
      </c>
      <c r="D1730" s="2">
        <v>374</v>
      </c>
      <c r="E1730" s="2">
        <v>222</v>
      </c>
      <c r="F1730" s="2">
        <v>152</v>
      </c>
      <c r="G1730" s="1" t="s">
        <v>7</v>
      </c>
    </row>
    <row r="1731" spans="1:7" hidden="1">
      <c r="A1731" t="s">
        <v>86</v>
      </c>
      <c r="B1731" s="1" t="s">
        <v>3</v>
      </c>
      <c r="C1731" s="2">
        <v>2015</v>
      </c>
      <c r="D1731" s="2">
        <v>451</v>
      </c>
      <c r="E1731" s="2">
        <v>238</v>
      </c>
      <c r="F1731" s="2">
        <v>213</v>
      </c>
      <c r="G1731" s="1" t="s">
        <v>7</v>
      </c>
    </row>
    <row r="1732" spans="1:7" hidden="1">
      <c r="A1732" t="s">
        <v>86</v>
      </c>
      <c r="B1732" s="1" t="s">
        <v>3</v>
      </c>
      <c r="C1732" s="2">
        <v>2016</v>
      </c>
      <c r="D1732" s="2">
        <v>414</v>
      </c>
      <c r="E1732" s="2">
        <v>228</v>
      </c>
      <c r="F1732" s="2">
        <v>186</v>
      </c>
      <c r="G1732" s="1" t="s">
        <v>7</v>
      </c>
    </row>
    <row r="1733" spans="1:7" hidden="1">
      <c r="A1733" t="s">
        <v>86</v>
      </c>
      <c r="B1733" s="1" t="s">
        <v>3</v>
      </c>
      <c r="C1733" s="2">
        <v>2017</v>
      </c>
      <c r="D1733" s="2">
        <v>420</v>
      </c>
      <c r="E1733" s="2">
        <v>233</v>
      </c>
      <c r="F1733" s="2">
        <v>187</v>
      </c>
      <c r="G1733" s="1" t="s">
        <v>7</v>
      </c>
    </row>
    <row r="1734" spans="1:7" hidden="1">
      <c r="A1734" t="s">
        <v>86</v>
      </c>
      <c r="B1734" s="1" t="s">
        <v>3</v>
      </c>
      <c r="C1734" s="2">
        <v>2018</v>
      </c>
      <c r="D1734" s="2">
        <v>403</v>
      </c>
      <c r="E1734" s="2">
        <v>208</v>
      </c>
      <c r="F1734" s="2">
        <v>195</v>
      </c>
      <c r="G1734" s="1" t="s">
        <v>7</v>
      </c>
    </row>
    <row r="1735" spans="1:7">
      <c r="A1735" t="s">
        <v>86</v>
      </c>
      <c r="B1735" s="1" t="s">
        <v>3</v>
      </c>
      <c r="C1735" s="2">
        <v>2019</v>
      </c>
      <c r="D1735" s="2">
        <v>432</v>
      </c>
      <c r="E1735" s="2">
        <v>235</v>
      </c>
      <c r="F1735" s="2">
        <v>197</v>
      </c>
      <c r="G1735" s="1" t="s">
        <v>7</v>
      </c>
    </row>
    <row r="1736" spans="1:7" hidden="1">
      <c r="A1736" t="s">
        <v>86</v>
      </c>
      <c r="B1736" s="1" t="s">
        <v>3</v>
      </c>
      <c r="C1736" s="2">
        <v>2020</v>
      </c>
      <c r="D1736" s="2">
        <v>582</v>
      </c>
      <c r="E1736" s="2">
        <v>323</v>
      </c>
      <c r="F1736" s="2">
        <v>259</v>
      </c>
      <c r="G1736" s="1" t="s">
        <v>7</v>
      </c>
    </row>
    <row r="1737" spans="1:7">
      <c r="A1737" t="s">
        <v>86</v>
      </c>
      <c r="B1737" s="1" t="s">
        <v>3</v>
      </c>
      <c r="C1737" s="2">
        <v>2021</v>
      </c>
      <c r="D1737" s="2">
        <v>705</v>
      </c>
      <c r="E1737" s="2">
        <v>388</v>
      </c>
      <c r="F1737" s="2">
        <v>317</v>
      </c>
      <c r="G1737" s="1" t="s">
        <v>7</v>
      </c>
    </row>
    <row r="1738" spans="1:7" hidden="1">
      <c r="A1738" t="s">
        <v>86</v>
      </c>
      <c r="B1738" s="1" t="s">
        <v>3</v>
      </c>
      <c r="C1738" s="2">
        <v>2022</v>
      </c>
      <c r="D1738" s="2">
        <v>558</v>
      </c>
      <c r="E1738" s="2">
        <v>282</v>
      </c>
      <c r="F1738" s="2">
        <v>276</v>
      </c>
      <c r="G1738" s="1" t="s">
        <v>7</v>
      </c>
    </row>
    <row r="1739" spans="1:7" hidden="1">
      <c r="A1739" t="s">
        <v>86</v>
      </c>
      <c r="B1739" s="1" t="s">
        <v>3</v>
      </c>
      <c r="C1739" s="2">
        <v>2023</v>
      </c>
      <c r="D1739" s="2">
        <v>551</v>
      </c>
      <c r="E1739" s="2">
        <v>295</v>
      </c>
      <c r="F1739" s="2">
        <v>256</v>
      </c>
      <c r="G1739" s="1" t="s">
        <v>7</v>
      </c>
    </row>
    <row r="1740" spans="1:7" hidden="1">
      <c r="A1740" t="s">
        <v>86</v>
      </c>
      <c r="B1740" s="1" t="s">
        <v>3</v>
      </c>
      <c r="C1740" s="2">
        <v>2024</v>
      </c>
      <c r="D1740" s="2">
        <v>539</v>
      </c>
      <c r="E1740" s="2">
        <v>307</v>
      </c>
      <c r="F1740" s="2">
        <v>232</v>
      </c>
      <c r="G1740" s="1" t="s">
        <v>7</v>
      </c>
    </row>
    <row r="1741" spans="1:7" hidden="1">
      <c r="A1741" t="s">
        <v>86</v>
      </c>
      <c r="B1741" s="1" t="s">
        <v>28</v>
      </c>
      <c r="C1741" s="2">
        <v>1994</v>
      </c>
      <c r="D1741" s="2">
        <v>1</v>
      </c>
      <c r="E1741" s="1" t="s">
        <v>7</v>
      </c>
      <c r="F1741" s="2">
        <v>1</v>
      </c>
      <c r="G1741" s="1" t="s">
        <v>7</v>
      </c>
    </row>
    <row r="1742" spans="1:7" hidden="1">
      <c r="A1742" t="s">
        <v>86</v>
      </c>
      <c r="B1742" s="1" t="s">
        <v>35</v>
      </c>
      <c r="C1742" s="2">
        <v>1990</v>
      </c>
      <c r="D1742" s="2">
        <v>220</v>
      </c>
      <c r="E1742" s="2">
        <v>114</v>
      </c>
      <c r="F1742" s="2">
        <v>106</v>
      </c>
      <c r="G1742" s="1" t="s">
        <v>7</v>
      </c>
    </row>
    <row r="1743" spans="1:7" hidden="1">
      <c r="A1743" t="s">
        <v>86</v>
      </c>
      <c r="B1743" s="1" t="s">
        <v>35</v>
      </c>
      <c r="C1743" s="2">
        <v>2004</v>
      </c>
      <c r="D1743" s="2">
        <v>1</v>
      </c>
      <c r="E1743" s="2">
        <v>1</v>
      </c>
      <c r="F1743" s="1" t="s">
        <v>7</v>
      </c>
      <c r="G1743" s="1" t="s">
        <v>7</v>
      </c>
    </row>
    <row r="1744" spans="1:7" hidden="1">
      <c r="A1744" t="s">
        <v>86</v>
      </c>
      <c r="B1744" s="1" t="s">
        <v>36</v>
      </c>
      <c r="C1744" s="2">
        <v>1991</v>
      </c>
      <c r="D1744" s="2">
        <v>194</v>
      </c>
      <c r="E1744" s="2">
        <v>93</v>
      </c>
      <c r="F1744" s="2">
        <v>101</v>
      </c>
      <c r="G1744" s="1" t="s">
        <v>7</v>
      </c>
    </row>
    <row r="1745" spans="1:7" hidden="1">
      <c r="A1745" t="s">
        <v>86</v>
      </c>
      <c r="B1745" s="1" t="s">
        <v>37</v>
      </c>
      <c r="C1745" s="2">
        <v>1992</v>
      </c>
      <c r="D1745" s="2">
        <v>201</v>
      </c>
      <c r="E1745" s="2">
        <v>108</v>
      </c>
      <c r="F1745" s="2">
        <v>93</v>
      </c>
      <c r="G1745" s="1" t="s">
        <v>7</v>
      </c>
    </row>
    <row r="1746" spans="1:7" hidden="1">
      <c r="A1746" t="s">
        <v>86</v>
      </c>
      <c r="B1746" s="1" t="s">
        <v>37</v>
      </c>
      <c r="C1746" s="2">
        <v>1993</v>
      </c>
      <c r="D1746" s="2">
        <v>2</v>
      </c>
      <c r="E1746" s="2">
        <v>1</v>
      </c>
      <c r="F1746" s="2">
        <v>1</v>
      </c>
      <c r="G1746" s="1" t="s">
        <v>7</v>
      </c>
    </row>
    <row r="1747" spans="1:7" hidden="1">
      <c r="A1747" t="s">
        <v>86</v>
      </c>
      <c r="B1747" s="1" t="s">
        <v>38</v>
      </c>
      <c r="C1747" s="2">
        <v>1993</v>
      </c>
      <c r="D1747" s="2">
        <v>207</v>
      </c>
      <c r="E1747" s="2">
        <v>109</v>
      </c>
      <c r="F1747" s="2">
        <v>98</v>
      </c>
      <c r="G1747" s="1" t="s">
        <v>7</v>
      </c>
    </row>
    <row r="1748" spans="1:7" hidden="1">
      <c r="A1748" t="s">
        <v>86</v>
      </c>
      <c r="B1748" s="1" t="s">
        <v>39</v>
      </c>
      <c r="C1748" s="2">
        <v>1994</v>
      </c>
      <c r="D1748" s="2">
        <v>184</v>
      </c>
      <c r="E1748" s="2">
        <v>93</v>
      </c>
      <c r="F1748" s="2">
        <v>91</v>
      </c>
      <c r="G1748" s="1" t="s">
        <v>7</v>
      </c>
    </row>
    <row r="1749" spans="1:7" hidden="1">
      <c r="A1749" t="s">
        <v>86</v>
      </c>
      <c r="B1749" s="1" t="s">
        <v>40</v>
      </c>
      <c r="C1749" s="2">
        <v>1995</v>
      </c>
      <c r="D1749" s="2">
        <v>205</v>
      </c>
      <c r="E1749" s="2">
        <v>114</v>
      </c>
      <c r="F1749" s="2">
        <v>91</v>
      </c>
      <c r="G1749" s="1" t="s">
        <v>7</v>
      </c>
    </row>
    <row r="1750" spans="1:7" hidden="1">
      <c r="A1750" t="s">
        <v>86</v>
      </c>
      <c r="B1750" s="1" t="s">
        <v>40</v>
      </c>
      <c r="C1750" s="2">
        <v>1999</v>
      </c>
      <c r="D1750" s="2">
        <v>1</v>
      </c>
      <c r="E1750" s="2">
        <v>1</v>
      </c>
      <c r="F1750" s="1" t="s">
        <v>7</v>
      </c>
      <c r="G1750" s="1" t="s">
        <v>7</v>
      </c>
    </row>
    <row r="1751" spans="1:7" hidden="1">
      <c r="A1751" t="s">
        <v>86</v>
      </c>
      <c r="B1751" s="1" t="s">
        <v>41</v>
      </c>
      <c r="C1751" s="2">
        <v>1996</v>
      </c>
      <c r="D1751" s="2">
        <v>231</v>
      </c>
      <c r="E1751" s="2">
        <v>107</v>
      </c>
      <c r="F1751" s="2">
        <v>124</v>
      </c>
      <c r="G1751" s="1" t="s">
        <v>7</v>
      </c>
    </row>
    <row r="1752" spans="1:7" hidden="1">
      <c r="A1752" t="s">
        <v>86</v>
      </c>
      <c r="B1752" s="1" t="s">
        <v>42</v>
      </c>
      <c r="C1752" s="2">
        <v>1997</v>
      </c>
      <c r="D1752" s="2">
        <v>224</v>
      </c>
      <c r="E1752" s="2">
        <v>123</v>
      </c>
      <c r="F1752" s="2">
        <v>101</v>
      </c>
      <c r="G1752" s="1" t="s">
        <v>7</v>
      </c>
    </row>
    <row r="1753" spans="1:7" hidden="1">
      <c r="A1753" t="s">
        <v>86</v>
      </c>
      <c r="B1753" s="1" t="s">
        <v>42</v>
      </c>
      <c r="C1753" s="2">
        <v>1998</v>
      </c>
      <c r="D1753" s="2">
        <v>1</v>
      </c>
      <c r="E1753" s="2">
        <v>1</v>
      </c>
      <c r="F1753" s="1" t="s">
        <v>7</v>
      </c>
      <c r="G1753" s="1" t="s">
        <v>7</v>
      </c>
    </row>
    <row r="1754" spans="1:7" hidden="1">
      <c r="A1754" t="s">
        <v>86</v>
      </c>
      <c r="B1754" s="1" t="s">
        <v>42</v>
      </c>
      <c r="C1754" s="2">
        <v>2006</v>
      </c>
      <c r="D1754" s="2">
        <v>1</v>
      </c>
      <c r="E1754" s="2">
        <v>1</v>
      </c>
      <c r="F1754" s="1" t="s">
        <v>7</v>
      </c>
      <c r="G1754" s="1" t="s">
        <v>7</v>
      </c>
    </row>
    <row r="1755" spans="1:7" hidden="1">
      <c r="A1755" t="s">
        <v>86</v>
      </c>
      <c r="B1755" s="1" t="s">
        <v>42</v>
      </c>
      <c r="C1755" s="2">
        <v>2014</v>
      </c>
      <c r="D1755" s="2">
        <v>1</v>
      </c>
      <c r="E1755" s="2">
        <v>1</v>
      </c>
      <c r="F1755" s="1" t="s">
        <v>7</v>
      </c>
      <c r="G1755" s="1" t="s">
        <v>7</v>
      </c>
    </row>
    <row r="1756" spans="1:7" hidden="1">
      <c r="A1756" t="s">
        <v>86</v>
      </c>
      <c r="B1756" s="1" t="s">
        <v>43</v>
      </c>
      <c r="C1756" s="2">
        <v>1998</v>
      </c>
      <c r="D1756" s="2">
        <v>247</v>
      </c>
      <c r="E1756" s="2">
        <v>145</v>
      </c>
      <c r="F1756" s="2">
        <v>102</v>
      </c>
      <c r="G1756" s="1" t="s">
        <v>7</v>
      </c>
    </row>
    <row r="1757" spans="1:7" hidden="1">
      <c r="A1757" t="s">
        <v>86</v>
      </c>
      <c r="B1757" s="1" t="s">
        <v>44</v>
      </c>
      <c r="C1757" s="2">
        <v>1999</v>
      </c>
      <c r="D1757" s="2">
        <v>231</v>
      </c>
      <c r="E1757" s="2">
        <v>115</v>
      </c>
      <c r="F1757" s="2">
        <v>116</v>
      </c>
      <c r="G1757" s="1" t="s">
        <v>7</v>
      </c>
    </row>
    <row r="1758" spans="1:7" hidden="1">
      <c r="A1758" t="s">
        <v>86</v>
      </c>
      <c r="B1758" s="1" t="s">
        <v>44</v>
      </c>
      <c r="C1758" s="2">
        <v>2000</v>
      </c>
      <c r="D1758" s="2">
        <v>2</v>
      </c>
      <c r="E1758" s="2">
        <v>1</v>
      </c>
      <c r="F1758" s="2">
        <v>1</v>
      </c>
      <c r="G1758" s="1" t="s">
        <v>7</v>
      </c>
    </row>
    <row r="1759" spans="1:7" hidden="1">
      <c r="A1759" t="s">
        <v>86</v>
      </c>
      <c r="B1759" s="1" t="s">
        <v>45</v>
      </c>
      <c r="C1759" s="2">
        <v>2000</v>
      </c>
      <c r="D1759" s="2">
        <v>260</v>
      </c>
      <c r="E1759" s="2">
        <v>139</v>
      </c>
      <c r="F1759" s="2">
        <v>121</v>
      </c>
      <c r="G1759" s="1" t="s">
        <v>7</v>
      </c>
    </row>
    <row r="1760" spans="1:7" hidden="1">
      <c r="A1760" t="s">
        <v>86</v>
      </c>
      <c r="B1760" s="1" t="s">
        <v>45</v>
      </c>
      <c r="C1760" s="2">
        <v>2001</v>
      </c>
      <c r="D1760" s="2">
        <v>1</v>
      </c>
      <c r="E1760" s="1" t="s">
        <v>7</v>
      </c>
      <c r="F1760" s="2">
        <v>1</v>
      </c>
      <c r="G1760" s="1" t="s">
        <v>7</v>
      </c>
    </row>
    <row r="1761" spans="1:7" hidden="1">
      <c r="A1761" t="s">
        <v>86</v>
      </c>
      <c r="B1761" s="1" t="s">
        <v>45</v>
      </c>
      <c r="C1761" s="2">
        <v>2011</v>
      </c>
      <c r="D1761" s="2">
        <v>1</v>
      </c>
      <c r="E1761" s="2">
        <v>1</v>
      </c>
      <c r="F1761" s="1" t="s">
        <v>7</v>
      </c>
      <c r="G1761" s="1" t="s">
        <v>7</v>
      </c>
    </row>
    <row r="1762" spans="1:7" hidden="1">
      <c r="A1762" t="s">
        <v>86</v>
      </c>
      <c r="B1762" s="1" t="s">
        <v>46</v>
      </c>
      <c r="C1762" s="2">
        <v>2001</v>
      </c>
      <c r="D1762" s="2">
        <v>251</v>
      </c>
      <c r="E1762" s="2">
        <v>140</v>
      </c>
      <c r="F1762" s="2">
        <v>110</v>
      </c>
      <c r="G1762" s="2">
        <v>1</v>
      </c>
    </row>
    <row r="1763" spans="1:7" hidden="1">
      <c r="A1763" t="s">
        <v>86</v>
      </c>
      <c r="B1763" s="1" t="s">
        <v>46</v>
      </c>
      <c r="C1763" s="2">
        <v>2002</v>
      </c>
      <c r="D1763" s="2">
        <v>1</v>
      </c>
      <c r="E1763" s="1" t="s">
        <v>7</v>
      </c>
      <c r="F1763" s="2">
        <v>1</v>
      </c>
      <c r="G1763" s="1" t="s">
        <v>7</v>
      </c>
    </row>
    <row r="1764" spans="1:7" hidden="1">
      <c r="A1764" t="s">
        <v>86</v>
      </c>
      <c r="B1764" s="1" t="s">
        <v>47</v>
      </c>
      <c r="C1764" s="2">
        <v>2002</v>
      </c>
      <c r="D1764" s="2">
        <v>256</v>
      </c>
      <c r="E1764" s="2">
        <v>143</v>
      </c>
      <c r="F1764" s="2">
        <v>113</v>
      </c>
      <c r="G1764" s="1" t="s">
        <v>7</v>
      </c>
    </row>
    <row r="1765" spans="1:7" hidden="1">
      <c r="A1765" t="s">
        <v>86</v>
      </c>
      <c r="B1765" s="1" t="s">
        <v>47</v>
      </c>
      <c r="C1765" s="2">
        <v>2003</v>
      </c>
      <c r="D1765" s="2">
        <v>1</v>
      </c>
      <c r="E1765" s="2">
        <v>1</v>
      </c>
      <c r="F1765" s="1" t="s">
        <v>7</v>
      </c>
      <c r="G1765" s="1" t="s">
        <v>7</v>
      </c>
    </row>
    <row r="1766" spans="1:7" hidden="1">
      <c r="A1766" t="s">
        <v>86</v>
      </c>
      <c r="B1766" s="1" t="s">
        <v>48</v>
      </c>
      <c r="C1766" s="2">
        <v>2003</v>
      </c>
      <c r="D1766" s="2">
        <v>230</v>
      </c>
      <c r="E1766" s="2">
        <v>129</v>
      </c>
      <c r="F1766" s="2">
        <v>101</v>
      </c>
      <c r="G1766" s="1" t="s">
        <v>7</v>
      </c>
    </row>
    <row r="1767" spans="1:7" hidden="1">
      <c r="A1767" t="s">
        <v>86</v>
      </c>
      <c r="B1767" s="1" t="s">
        <v>48</v>
      </c>
      <c r="C1767" s="2">
        <v>2004</v>
      </c>
      <c r="D1767" s="2">
        <v>4</v>
      </c>
      <c r="E1767" s="2">
        <v>2</v>
      </c>
      <c r="F1767" s="2">
        <v>2</v>
      </c>
      <c r="G1767" s="1" t="s">
        <v>7</v>
      </c>
    </row>
    <row r="1768" spans="1:7" hidden="1">
      <c r="A1768" t="s">
        <v>86</v>
      </c>
      <c r="B1768" s="1" t="s">
        <v>49</v>
      </c>
      <c r="C1768" s="2">
        <v>2004</v>
      </c>
      <c r="D1768" s="2">
        <v>237</v>
      </c>
      <c r="E1768" s="2">
        <v>132</v>
      </c>
      <c r="F1768" s="2">
        <v>104</v>
      </c>
      <c r="G1768" s="2">
        <v>1</v>
      </c>
    </row>
    <row r="1769" spans="1:7" hidden="1">
      <c r="A1769" t="s">
        <v>86</v>
      </c>
      <c r="B1769" s="1" t="s">
        <v>49</v>
      </c>
      <c r="C1769" s="2">
        <v>2005</v>
      </c>
      <c r="D1769" s="2">
        <v>1</v>
      </c>
      <c r="E1769" s="1" t="s">
        <v>7</v>
      </c>
      <c r="F1769" s="2">
        <v>1</v>
      </c>
      <c r="G1769" s="1" t="s">
        <v>7</v>
      </c>
    </row>
    <row r="1770" spans="1:7" hidden="1">
      <c r="A1770" t="s">
        <v>86</v>
      </c>
      <c r="B1770" s="1" t="s">
        <v>50</v>
      </c>
      <c r="C1770" s="2">
        <v>2005</v>
      </c>
      <c r="D1770" s="2">
        <v>271</v>
      </c>
      <c r="E1770" s="2">
        <v>152</v>
      </c>
      <c r="F1770" s="2">
        <v>119</v>
      </c>
      <c r="G1770" s="1" t="s">
        <v>7</v>
      </c>
    </row>
    <row r="1771" spans="1:7" hidden="1">
      <c r="A1771" t="s">
        <v>86</v>
      </c>
      <c r="B1771" s="1" t="s">
        <v>50</v>
      </c>
      <c r="C1771" s="2">
        <v>2006</v>
      </c>
      <c r="D1771" s="2">
        <v>3</v>
      </c>
      <c r="E1771" s="2">
        <v>2</v>
      </c>
      <c r="F1771" s="2">
        <v>1</v>
      </c>
      <c r="G1771" s="1" t="s">
        <v>7</v>
      </c>
    </row>
    <row r="1772" spans="1:7" hidden="1">
      <c r="A1772" t="s">
        <v>86</v>
      </c>
      <c r="B1772" s="1" t="s">
        <v>51</v>
      </c>
      <c r="C1772" s="2">
        <v>2006</v>
      </c>
      <c r="D1772" s="2">
        <v>286</v>
      </c>
      <c r="E1772" s="2">
        <v>166</v>
      </c>
      <c r="F1772" s="2">
        <v>120</v>
      </c>
      <c r="G1772" s="1" t="s">
        <v>7</v>
      </c>
    </row>
    <row r="1773" spans="1:7" hidden="1">
      <c r="A1773" t="s">
        <v>86</v>
      </c>
      <c r="B1773" s="1" t="s">
        <v>51</v>
      </c>
      <c r="C1773" s="2">
        <v>2007</v>
      </c>
      <c r="D1773" s="2">
        <v>1</v>
      </c>
      <c r="E1773" s="2">
        <v>1</v>
      </c>
      <c r="F1773" s="1" t="s">
        <v>7</v>
      </c>
      <c r="G1773" s="1" t="s">
        <v>7</v>
      </c>
    </row>
    <row r="1774" spans="1:7" hidden="1">
      <c r="A1774" t="s">
        <v>86</v>
      </c>
      <c r="B1774" s="1" t="s">
        <v>52</v>
      </c>
      <c r="C1774" s="2">
        <v>2007</v>
      </c>
      <c r="D1774" s="2">
        <v>289</v>
      </c>
      <c r="E1774" s="2">
        <v>152</v>
      </c>
      <c r="F1774" s="2">
        <v>137</v>
      </c>
      <c r="G1774" s="1" t="s">
        <v>7</v>
      </c>
    </row>
    <row r="1775" spans="1:7" hidden="1">
      <c r="A1775" t="s">
        <v>86</v>
      </c>
      <c r="B1775" s="1" t="s">
        <v>52</v>
      </c>
      <c r="C1775" s="2">
        <v>2008</v>
      </c>
      <c r="D1775" s="2">
        <v>1</v>
      </c>
      <c r="E1775" s="2">
        <v>1</v>
      </c>
      <c r="F1775" s="1" t="s">
        <v>7</v>
      </c>
      <c r="G1775" s="1" t="s">
        <v>7</v>
      </c>
    </row>
    <row r="1776" spans="1:7" hidden="1">
      <c r="A1776" t="s">
        <v>86</v>
      </c>
      <c r="B1776" s="1" t="s">
        <v>52</v>
      </c>
      <c r="C1776" s="2">
        <v>2009</v>
      </c>
      <c r="D1776" s="2">
        <v>1</v>
      </c>
      <c r="E1776" s="2">
        <v>1</v>
      </c>
      <c r="F1776" s="1" t="s">
        <v>7</v>
      </c>
      <c r="G1776" s="1" t="s">
        <v>7</v>
      </c>
    </row>
    <row r="1777" spans="1:7" hidden="1">
      <c r="A1777" t="s">
        <v>86</v>
      </c>
      <c r="B1777" s="1" t="s">
        <v>53</v>
      </c>
      <c r="C1777" s="2">
        <v>2008</v>
      </c>
      <c r="D1777" s="2">
        <v>323</v>
      </c>
      <c r="E1777" s="2">
        <v>180</v>
      </c>
      <c r="F1777" s="2">
        <v>143</v>
      </c>
      <c r="G1777" s="1" t="s">
        <v>7</v>
      </c>
    </row>
    <row r="1778" spans="1:7" hidden="1">
      <c r="A1778" t="s">
        <v>86</v>
      </c>
      <c r="B1778" s="1" t="s">
        <v>53</v>
      </c>
      <c r="C1778" s="2">
        <v>2009</v>
      </c>
      <c r="D1778" s="2">
        <v>1</v>
      </c>
      <c r="E1778" s="1" t="s">
        <v>7</v>
      </c>
      <c r="F1778" s="2">
        <v>1</v>
      </c>
      <c r="G1778" s="1" t="s">
        <v>7</v>
      </c>
    </row>
    <row r="1779" spans="1:7" hidden="1">
      <c r="A1779" t="s">
        <v>86</v>
      </c>
      <c r="B1779" s="1" t="s">
        <v>54</v>
      </c>
      <c r="C1779" s="2">
        <v>2009</v>
      </c>
      <c r="D1779" s="2">
        <v>312</v>
      </c>
      <c r="E1779" s="2">
        <v>180</v>
      </c>
      <c r="F1779" s="2">
        <v>132</v>
      </c>
      <c r="G1779" s="1" t="s">
        <v>7</v>
      </c>
    </row>
    <row r="1780" spans="1:7" hidden="1">
      <c r="A1780" t="s">
        <v>86</v>
      </c>
      <c r="B1780" s="1" t="s">
        <v>54</v>
      </c>
      <c r="C1780" s="2">
        <v>2010</v>
      </c>
      <c r="D1780" s="2">
        <v>1</v>
      </c>
      <c r="E1780" s="1" t="s">
        <v>7</v>
      </c>
      <c r="F1780" s="2">
        <v>1</v>
      </c>
      <c r="G1780" s="1" t="s">
        <v>7</v>
      </c>
    </row>
    <row r="1781" spans="1:7" hidden="1">
      <c r="A1781" t="s">
        <v>86</v>
      </c>
      <c r="B1781" s="1" t="s">
        <v>55</v>
      </c>
      <c r="C1781" s="2">
        <v>2010</v>
      </c>
      <c r="D1781" s="2">
        <v>322</v>
      </c>
      <c r="E1781" s="2">
        <v>170</v>
      </c>
      <c r="F1781" s="2">
        <v>152</v>
      </c>
      <c r="G1781" s="1" t="s">
        <v>7</v>
      </c>
    </row>
    <row r="1782" spans="1:7" hidden="1">
      <c r="A1782" t="s">
        <v>86</v>
      </c>
      <c r="B1782" s="1" t="s">
        <v>55</v>
      </c>
      <c r="C1782" s="2">
        <v>2011</v>
      </c>
      <c r="D1782" s="2">
        <v>1</v>
      </c>
      <c r="E1782" s="2">
        <v>1</v>
      </c>
      <c r="F1782" s="1" t="s">
        <v>7</v>
      </c>
      <c r="G1782" s="1" t="s">
        <v>7</v>
      </c>
    </row>
    <row r="1783" spans="1:7" hidden="1">
      <c r="A1783" t="s">
        <v>86</v>
      </c>
      <c r="B1783" s="1" t="s">
        <v>56</v>
      </c>
      <c r="C1783" s="2">
        <v>2011</v>
      </c>
      <c r="D1783" s="2">
        <v>349</v>
      </c>
      <c r="E1783" s="2">
        <v>172</v>
      </c>
      <c r="F1783" s="2">
        <v>177</v>
      </c>
      <c r="G1783" s="1" t="s">
        <v>7</v>
      </c>
    </row>
    <row r="1784" spans="1:7" hidden="1">
      <c r="A1784" t="s">
        <v>86</v>
      </c>
      <c r="B1784" s="1" t="s">
        <v>56</v>
      </c>
      <c r="C1784" s="2">
        <v>2012</v>
      </c>
      <c r="D1784" s="2">
        <v>2</v>
      </c>
      <c r="E1784" s="2">
        <v>2</v>
      </c>
      <c r="F1784" s="1" t="s">
        <v>7</v>
      </c>
      <c r="G1784" s="1" t="s">
        <v>7</v>
      </c>
    </row>
    <row r="1785" spans="1:7" hidden="1">
      <c r="A1785" t="s">
        <v>86</v>
      </c>
      <c r="B1785" s="1" t="s">
        <v>57</v>
      </c>
      <c r="C1785" s="2">
        <v>2012</v>
      </c>
      <c r="D1785" s="2">
        <v>327</v>
      </c>
      <c r="E1785" s="2">
        <v>191</v>
      </c>
      <c r="F1785" s="2">
        <v>136</v>
      </c>
      <c r="G1785" s="1" t="s">
        <v>7</v>
      </c>
    </row>
    <row r="1786" spans="1:7" hidden="1">
      <c r="A1786" t="s">
        <v>86</v>
      </c>
      <c r="B1786" s="1" t="s">
        <v>57</v>
      </c>
      <c r="C1786" s="2">
        <v>2013</v>
      </c>
      <c r="D1786" s="2">
        <v>2</v>
      </c>
      <c r="E1786" s="2">
        <v>1</v>
      </c>
      <c r="F1786" s="2">
        <v>1</v>
      </c>
      <c r="G1786" s="1" t="s">
        <v>7</v>
      </c>
    </row>
    <row r="1787" spans="1:7" hidden="1">
      <c r="A1787" t="s">
        <v>86</v>
      </c>
      <c r="B1787" s="1" t="s">
        <v>58</v>
      </c>
      <c r="C1787" s="2">
        <v>2013</v>
      </c>
      <c r="D1787" s="2">
        <v>355</v>
      </c>
      <c r="E1787" s="2">
        <v>191</v>
      </c>
      <c r="F1787" s="2">
        <v>164</v>
      </c>
      <c r="G1787" s="1" t="s">
        <v>7</v>
      </c>
    </row>
    <row r="1788" spans="1:7" hidden="1">
      <c r="A1788" t="s">
        <v>86</v>
      </c>
      <c r="B1788" s="1" t="s">
        <v>58</v>
      </c>
      <c r="C1788" s="2">
        <v>2014</v>
      </c>
      <c r="D1788" s="2">
        <v>2</v>
      </c>
      <c r="E1788" s="2">
        <v>2</v>
      </c>
      <c r="F1788" s="1" t="s">
        <v>7</v>
      </c>
      <c r="G1788" s="1" t="s">
        <v>7</v>
      </c>
    </row>
    <row r="1789" spans="1:7" hidden="1">
      <c r="A1789" t="s">
        <v>86</v>
      </c>
      <c r="B1789" s="1" t="s">
        <v>59</v>
      </c>
      <c r="C1789" s="2">
        <v>2014</v>
      </c>
      <c r="D1789" s="2">
        <v>371</v>
      </c>
      <c r="E1789" s="2">
        <v>219</v>
      </c>
      <c r="F1789" s="2">
        <v>152</v>
      </c>
      <c r="G1789" s="1" t="s">
        <v>7</v>
      </c>
    </row>
    <row r="1790" spans="1:7" hidden="1">
      <c r="A1790" t="s">
        <v>86</v>
      </c>
      <c r="B1790" s="1" t="s">
        <v>59</v>
      </c>
      <c r="C1790" s="2">
        <v>2015</v>
      </c>
      <c r="D1790" s="2">
        <v>3</v>
      </c>
      <c r="E1790" s="2">
        <v>3</v>
      </c>
      <c r="F1790" s="1" t="s">
        <v>7</v>
      </c>
      <c r="G1790" s="1" t="s">
        <v>7</v>
      </c>
    </row>
    <row r="1791" spans="1:7" hidden="1">
      <c r="A1791" t="s">
        <v>86</v>
      </c>
      <c r="B1791" s="1" t="s">
        <v>60</v>
      </c>
      <c r="C1791" s="2">
        <v>2015</v>
      </c>
      <c r="D1791" s="2">
        <v>448</v>
      </c>
      <c r="E1791" s="2">
        <v>235</v>
      </c>
      <c r="F1791" s="2">
        <v>213</v>
      </c>
      <c r="G1791" s="1" t="s">
        <v>7</v>
      </c>
    </row>
    <row r="1792" spans="1:7" hidden="1">
      <c r="A1792" t="s">
        <v>86</v>
      </c>
      <c r="B1792" s="1" t="s">
        <v>60</v>
      </c>
      <c r="C1792" s="2">
        <v>2016</v>
      </c>
      <c r="D1792" s="2">
        <v>2</v>
      </c>
      <c r="E1792" s="2">
        <v>2</v>
      </c>
      <c r="F1792" s="1" t="s">
        <v>7</v>
      </c>
      <c r="G1792" s="1" t="s">
        <v>7</v>
      </c>
    </row>
    <row r="1793" spans="1:7" hidden="1">
      <c r="A1793" t="s">
        <v>86</v>
      </c>
      <c r="B1793" s="1" t="s">
        <v>61</v>
      </c>
      <c r="C1793" s="2">
        <v>2016</v>
      </c>
      <c r="D1793" s="2">
        <v>412</v>
      </c>
      <c r="E1793" s="2">
        <v>226</v>
      </c>
      <c r="F1793" s="2">
        <v>186</v>
      </c>
      <c r="G1793" s="1" t="s">
        <v>7</v>
      </c>
    </row>
    <row r="1794" spans="1:7" hidden="1">
      <c r="A1794" t="s">
        <v>86</v>
      </c>
      <c r="B1794" s="1" t="s">
        <v>62</v>
      </c>
      <c r="C1794" s="2">
        <v>2017</v>
      </c>
      <c r="D1794" s="2">
        <v>420</v>
      </c>
      <c r="E1794" s="2">
        <v>233</v>
      </c>
      <c r="F1794" s="2">
        <v>187</v>
      </c>
      <c r="G1794" s="1" t="s">
        <v>7</v>
      </c>
    </row>
    <row r="1795" spans="1:7" hidden="1">
      <c r="A1795" t="s">
        <v>86</v>
      </c>
      <c r="B1795" s="1" t="s">
        <v>62</v>
      </c>
      <c r="C1795" s="2">
        <v>2018</v>
      </c>
      <c r="D1795" s="2">
        <v>2</v>
      </c>
      <c r="E1795" s="2">
        <v>1</v>
      </c>
      <c r="F1795" s="2">
        <v>1</v>
      </c>
      <c r="G1795" s="1" t="s">
        <v>7</v>
      </c>
    </row>
    <row r="1796" spans="1:7" hidden="1">
      <c r="A1796" t="s">
        <v>86</v>
      </c>
      <c r="B1796" s="1" t="s">
        <v>63</v>
      </c>
      <c r="C1796" s="2">
        <v>2018</v>
      </c>
      <c r="D1796" s="2">
        <v>401</v>
      </c>
      <c r="E1796" s="2">
        <v>207</v>
      </c>
      <c r="F1796" s="2">
        <v>194</v>
      </c>
      <c r="G1796" s="1" t="s">
        <v>7</v>
      </c>
    </row>
    <row r="1797" spans="1:7" hidden="1">
      <c r="A1797" t="s">
        <v>86</v>
      </c>
      <c r="B1797" s="1" t="s">
        <v>64</v>
      </c>
      <c r="C1797" s="2">
        <v>2019</v>
      </c>
      <c r="D1797" s="2">
        <v>432</v>
      </c>
      <c r="E1797" s="2">
        <v>235</v>
      </c>
      <c r="F1797" s="2">
        <v>197</v>
      </c>
      <c r="G1797" s="1" t="s">
        <v>7</v>
      </c>
    </row>
    <row r="1798" spans="1:7" hidden="1">
      <c r="A1798" t="s">
        <v>86</v>
      </c>
      <c r="B1798" s="1" t="s">
        <v>64</v>
      </c>
      <c r="C1798" s="2">
        <v>2020</v>
      </c>
      <c r="D1798" s="2">
        <v>3</v>
      </c>
      <c r="E1798" s="2">
        <v>3</v>
      </c>
      <c r="F1798" s="1" t="s">
        <v>7</v>
      </c>
      <c r="G1798" s="1" t="s">
        <v>7</v>
      </c>
    </row>
    <row r="1799" spans="1:7" hidden="1">
      <c r="A1799" t="s">
        <v>86</v>
      </c>
      <c r="B1799" s="1" t="s">
        <v>65</v>
      </c>
      <c r="C1799" s="2">
        <v>2020</v>
      </c>
      <c r="D1799" s="2">
        <v>579</v>
      </c>
      <c r="E1799" s="2">
        <v>320</v>
      </c>
      <c r="F1799" s="2">
        <v>259</v>
      </c>
      <c r="G1799" s="1" t="s">
        <v>7</v>
      </c>
    </row>
    <row r="1800" spans="1:7" hidden="1">
      <c r="A1800" t="s">
        <v>86</v>
      </c>
      <c r="B1800" s="1" t="s">
        <v>65</v>
      </c>
      <c r="C1800" s="2">
        <v>2021</v>
      </c>
      <c r="D1800" s="2">
        <v>1</v>
      </c>
      <c r="E1800" s="2">
        <v>1</v>
      </c>
      <c r="F1800" s="1" t="s">
        <v>7</v>
      </c>
      <c r="G1800" s="1" t="s">
        <v>7</v>
      </c>
    </row>
    <row r="1801" spans="1:7" hidden="1">
      <c r="A1801" t="s">
        <v>86</v>
      </c>
      <c r="B1801" s="1" t="s">
        <v>66</v>
      </c>
      <c r="C1801" s="2">
        <v>2021</v>
      </c>
      <c r="D1801" s="2">
        <v>704</v>
      </c>
      <c r="E1801" s="2">
        <v>387</v>
      </c>
      <c r="F1801" s="2">
        <v>317</v>
      </c>
      <c r="G1801" s="1" t="s">
        <v>7</v>
      </c>
    </row>
    <row r="1802" spans="1:7" hidden="1">
      <c r="A1802" t="s">
        <v>86</v>
      </c>
      <c r="B1802" s="1" t="s">
        <v>66</v>
      </c>
      <c r="C1802" s="2">
        <v>2022</v>
      </c>
      <c r="D1802" s="2">
        <v>2</v>
      </c>
      <c r="E1802" s="2">
        <v>1</v>
      </c>
      <c r="F1802" s="2">
        <v>1</v>
      </c>
      <c r="G1802" s="1" t="s">
        <v>7</v>
      </c>
    </row>
    <row r="1803" spans="1:7" hidden="1">
      <c r="A1803" t="s">
        <v>86</v>
      </c>
      <c r="B1803" s="1" t="s">
        <v>67</v>
      </c>
      <c r="C1803" s="2">
        <v>2022</v>
      </c>
      <c r="D1803" s="2">
        <v>556</v>
      </c>
      <c r="E1803" s="2">
        <v>281</v>
      </c>
      <c r="F1803" s="2">
        <v>275</v>
      </c>
      <c r="G1803" s="1" t="s">
        <v>7</v>
      </c>
    </row>
    <row r="1804" spans="1:7" hidden="1">
      <c r="A1804" t="s">
        <v>86</v>
      </c>
      <c r="B1804" s="1" t="s">
        <v>67</v>
      </c>
      <c r="C1804" s="2">
        <v>2023</v>
      </c>
      <c r="D1804" s="2">
        <v>1</v>
      </c>
      <c r="E1804" s="1" t="s">
        <v>7</v>
      </c>
      <c r="F1804" s="2">
        <v>1</v>
      </c>
      <c r="G1804" s="1" t="s">
        <v>7</v>
      </c>
    </row>
    <row r="1805" spans="1:7" hidden="1">
      <c r="A1805" t="s">
        <v>86</v>
      </c>
      <c r="B1805" s="1" t="s">
        <v>68</v>
      </c>
      <c r="C1805" s="2">
        <v>2023</v>
      </c>
      <c r="D1805" s="2">
        <v>549</v>
      </c>
      <c r="E1805" s="2">
        <v>295</v>
      </c>
      <c r="F1805" s="2">
        <v>254</v>
      </c>
      <c r="G1805" s="1" t="s">
        <v>7</v>
      </c>
    </row>
    <row r="1806" spans="1:7" hidden="1">
      <c r="A1806" t="s">
        <v>86</v>
      </c>
      <c r="B1806" s="1" t="s">
        <v>68</v>
      </c>
      <c r="C1806" s="2">
        <v>2024</v>
      </c>
      <c r="D1806" s="2">
        <v>1</v>
      </c>
      <c r="E1806" s="2">
        <v>1</v>
      </c>
      <c r="F1806" s="1" t="s">
        <v>7</v>
      </c>
      <c r="G1806" s="1" t="s">
        <v>7</v>
      </c>
    </row>
    <row r="1807" spans="1:7" hidden="1">
      <c r="A1807" t="s">
        <v>86</v>
      </c>
      <c r="B1807" s="1" t="s">
        <v>69</v>
      </c>
      <c r="C1807" s="2">
        <v>2024</v>
      </c>
      <c r="D1807" s="2">
        <v>538</v>
      </c>
      <c r="E1807" s="2">
        <v>306</v>
      </c>
      <c r="F1807" s="2">
        <v>232</v>
      </c>
      <c r="G1807" s="1" t="s">
        <v>7</v>
      </c>
    </row>
    <row r="1808" spans="1:7" hidden="1">
      <c r="A1808" t="s">
        <v>86</v>
      </c>
      <c r="B1808" s="1" t="s">
        <v>6</v>
      </c>
      <c r="C1808" s="2">
        <v>1990</v>
      </c>
      <c r="D1808" s="2">
        <v>5</v>
      </c>
      <c r="E1808" s="2">
        <v>5</v>
      </c>
      <c r="F1808" s="1" t="s">
        <v>7</v>
      </c>
      <c r="G1808" s="1" t="s">
        <v>7</v>
      </c>
    </row>
    <row r="1809" spans="1:7" hidden="1">
      <c r="A1809" t="s">
        <v>86</v>
      </c>
      <c r="B1809" s="1" t="s">
        <v>6</v>
      </c>
      <c r="C1809" s="2">
        <v>1992</v>
      </c>
      <c r="D1809" s="2">
        <v>5</v>
      </c>
      <c r="E1809" s="2">
        <v>4</v>
      </c>
      <c r="F1809" s="2">
        <v>1</v>
      </c>
      <c r="G1809" s="1" t="s">
        <v>7</v>
      </c>
    </row>
    <row r="1810" spans="1:7" hidden="1">
      <c r="A1810" t="s">
        <v>86</v>
      </c>
      <c r="B1810" s="1" t="s">
        <v>6</v>
      </c>
      <c r="C1810" s="2">
        <v>1993</v>
      </c>
      <c r="D1810" s="2">
        <v>1</v>
      </c>
      <c r="E1810" s="2">
        <v>1</v>
      </c>
      <c r="F1810" s="1" t="s">
        <v>7</v>
      </c>
      <c r="G1810" s="1" t="s">
        <v>7</v>
      </c>
    </row>
    <row r="1811" spans="1:7" hidden="1">
      <c r="A1811" t="s">
        <v>86</v>
      </c>
      <c r="B1811" s="1" t="s">
        <v>6</v>
      </c>
      <c r="C1811" s="2">
        <v>2023</v>
      </c>
      <c r="D1811" s="2">
        <v>1</v>
      </c>
      <c r="E1811" s="1" t="s">
        <v>7</v>
      </c>
      <c r="F1811" s="2">
        <v>1</v>
      </c>
      <c r="G1811" s="1" t="s">
        <v>7</v>
      </c>
    </row>
    <row r="1812" spans="1:7" hidden="1">
      <c r="A1812" t="s">
        <v>87</v>
      </c>
      <c r="B1812" s="1" t="s">
        <v>3</v>
      </c>
      <c r="C1812" s="2">
        <v>1990</v>
      </c>
      <c r="D1812" s="2">
        <v>150</v>
      </c>
      <c r="E1812" s="2">
        <v>64</v>
      </c>
      <c r="F1812" s="2">
        <v>86</v>
      </c>
      <c r="G1812" s="1" t="s">
        <v>7</v>
      </c>
    </row>
    <row r="1813" spans="1:7" hidden="1">
      <c r="A1813" t="s">
        <v>87</v>
      </c>
      <c r="B1813" s="1" t="s">
        <v>3</v>
      </c>
      <c r="C1813" s="2">
        <v>1991</v>
      </c>
      <c r="D1813" s="2">
        <v>192</v>
      </c>
      <c r="E1813" s="2">
        <v>94</v>
      </c>
      <c r="F1813" s="2">
        <v>98</v>
      </c>
      <c r="G1813" s="1" t="s">
        <v>7</v>
      </c>
    </row>
    <row r="1814" spans="1:7" hidden="1">
      <c r="A1814" t="s">
        <v>87</v>
      </c>
      <c r="B1814" s="1" t="s">
        <v>3</v>
      </c>
      <c r="C1814" s="2">
        <v>1992</v>
      </c>
      <c r="D1814" s="2">
        <v>199</v>
      </c>
      <c r="E1814" s="2">
        <v>98</v>
      </c>
      <c r="F1814" s="2">
        <v>101</v>
      </c>
      <c r="G1814" s="1" t="s">
        <v>7</v>
      </c>
    </row>
    <row r="1815" spans="1:7" hidden="1">
      <c r="A1815" t="s">
        <v>87</v>
      </c>
      <c r="B1815" s="1" t="s">
        <v>3</v>
      </c>
      <c r="C1815" s="2">
        <v>1993</v>
      </c>
      <c r="D1815" s="2">
        <v>201</v>
      </c>
      <c r="E1815" s="2">
        <v>106</v>
      </c>
      <c r="F1815" s="2">
        <v>95</v>
      </c>
      <c r="G1815" s="1" t="s">
        <v>7</v>
      </c>
    </row>
    <row r="1816" spans="1:7" hidden="1">
      <c r="A1816" t="s">
        <v>87</v>
      </c>
      <c r="B1816" s="1" t="s">
        <v>3</v>
      </c>
      <c r="C1816" s="2">
        <v>1994</v>
      </c>
      <c r="D1816" s="2">
        <v>228</v>
      </c>
      <c r="E1816" s="2">
        <v>112</v>
      </c>
      <c r="F1816" s="2">
        <v>116</v>
      </c>
      <c r="G1816" s="1" t="s">
        <v>7</v>
      </c>
    </row>
    <row r="1817" spans="1:7" hidden="1">
      <c r="A1817" t="s">
        <v>87</v>
      </c>
      <c r="B1817" s="1" t="s">
        <v>3</v>
      </c>
      <c r="C1817" s="2">
        <v>1995</v>
      </c>
      <c r="D1817" s="2">
        <v>208</v>
      </c>
      <c r="E1817" s="2">
        <v>101</v>
      </c>
      <c r="F1817" s="2">
        <v>107</v>
      </c>
      <c r="G1817" s="1" t="s">
        <v>7</v>
      </c>
    </row>
    <row r="1818" spans="1:7" hidden="1">
      <c r="A1818" t="s">
        <v>87</v>
      </c>
      <c r="B1818" s="1" t="s">
        <v>3</v>
      </c>
      <c r="C1818" s="2">
        <v>1996</v>
      </c>
      <c r="D1818" s="2">
        <v>198</v>
      </c>
      <c r="E1818" s="2">
        <v>100</v>
      </c>
      <c r="F1818" s="2">
        <v>98</v>
      </c>
      <c r="G1818" s="1" t="s">
        <v>7</v>
      </c>
    </row>
    <row r="1819" spans="1:7" hidden="1">
      <c r="A1819" t="s">
        <v>87</v>
      </c>
      <c r="B1819" s="1" t="s">
        <v>3</v>
      </c>
      <c r="C1819" s="2">
        <v>1997</v>
      </c>
      <c r="D1819" s="2">
        <v>246</v>
      </c>
      <c r="E1819" s="2">
        <v>133</v>
      </c>
      <c r="F1819" s="2">
        <v>113</v>
      </c>
      <c r="G1819" s="1" t="s">
        <v>7</v>
      </c>
    </row>
    <row r="1820" spans="1:7" hidden="1">
      <c r="A1820" t="s">
        <v>87</v>
      </c>
      <c r="B1820" s="1" t="s">
        <v>3</v>
      </c>
      <c r="C1820" s="2">
        <v>1998</v>
      </c>
      <c r="D1820" s="2">
        <v>241</v>
      </c>
      <c r="E1820" s="2">
        <v>127</v>
      </c>
      <c r="F1820" s="2">
        <v>114</v>
      </c>
      <c r="G1820" s="1" t="s">
        <v>7</v>
      </c>
    </row>
    <row r="1821" spans="1:7" hidden="1">
      <c r="A1821" t="s">
        <v>87</v>
      </c>
      <c r="B1821" s="1" t="s">
        <v>3</v>
      </c>
      <c r="C1821" s="2">
        <v>1999</v>
      </c>
      <c r="D1821" s="2">
        <v>222</v>
      </c>
      <c r="E1821" s="2">
        <v>122</v>
      </c>
      <c r="F1821" s="2">
        <v>100</v>
      </c>
      <c r="G1821" s="1" t="s">
        <v>7</v>
      </c>
    </row>
    <row r="1822" spans="1:7" hidden="1">
      <c r="A1822" t="s">
        <v>87</v>
      </c>
      <c r="B1822" s="1" t="s">
        <v>3</v>
      </c>
      <c r="C1822" s="2">
        <v>2000</v>
      </c>
      <c r="D1822" s="2">
        <v>235</v>
      </c>
      <c r="E1822" s="2">
        <v>117</v>
      </c>
      <c r="F1822" s="2">
        <v>118</v>
      </c>
      <c r="G1822" s="1" t="s">
        <v>7</v>
      </c>
    </row>
    <row r="1823" spans="1:7" hidden="1">
      <c r="A1823" t="s">
        <v>87</v>
      </c>
      <c r="B1823" s="1" t="s">
        <v>3</v>
      </c>
      <c r="C1823" s="2">
        <v>2001</v>
      </c>
      <c r="D1823" s="2">
        <v>224</v>
      </c>
      <c r="E1823" s="2">
        <v>105</v>
      </c>
      <c r="F1823" s="2">
        <v>119</v>
      </c>
      <c r="G1823" s="1" t="s">
        <v>7</v>
      </c>
    </row>
    <row r="1824" spans="1:7" hidden="1">
      <c r="A1824" t="s">
        <v>87</v>
      </c>
      <c r="B1824" s="1" t="s">
        <v>3</v>
      </c>
      <c r="C1824" s="2">
        <v>2002</v>
      </c>
      <c r="D1824" s="2">
        <v>260</v>
      </c>
      <c r="E1824" s="2">
        <v>122</v>
      </c>
      <c r="F1824" s="2">
        <v>138</v>
      </c>
      <c r="G1824" s="1" t="s">
        <v>7</v>
      </c>
    </row>
    <row r="1825" spans="1:7" hidden="1">
      <c r="A1825" t="s">
        <v>87</v>
      </c>
      <c r="B1825" s="1" t="s">
        <v>3</v>
      </c>
      <c r="C1825" s="2">
        <v>2003</v>
      </c>
      <c r="D1825" s="2">
        <v>250</v>
      </c>
      <c r="E1825" s="2">
        <v>118</v>
      </c>
      <c r="F1825" s="2">
        <v>132</v>
      </c>
      <c r="G1825" s="1" t="s">
        <v>7</v>
      </c>
    </row>
    <row r="1826" spans="1:7" hidden="1">
      <c r="A1826" t="s">
        <v>87</v>
      </c>
      <c r="B1826" s="1" t="s">
        <v>3</v>
      </c>
      <c r="C1826" s="2">
        <v>2004</v>
      </c>
      <c r="D1826" s="2">
        <v>267</v>
      </c>
      <c r="E1826" s="2">
        <v>131</v>
      </c>
      <c r="F1826" s="2">
        <v>136</v>
      </c>
      <c r="G1826" s="1" t="s">
        <v>7</v>
      </c>
    </row>
    <row r="1827" spans="1:7" hidden="1">
      <c r="A1827" t="s">
        <v>87</v>
      </c>
      <c r="B1827" s="1" t="s">
        <v>3</v>
      </c>
      <c r="C1827" s="2">
        <v>2005</v>
      </c>
      <c r="D1827" s="2">
        <v>322</v>
      </c>
      <c r="E1827" s="2">
        <v>171</v>
      </c>
      <c r="F1827" s="2">
        <v>151</v>
      </c>
      <c r="G1827" s="1" t="s">
        <v>7</v>
      </c>
    </row>
    <row r="1828" spans="1:7" hidden="1">
      <c r="A1828" t="s">
        <v>87</v>
      </c>
      <c r="B1828" s="1" t="s">
        <v>3</v>
      </c>
      <c r="C1828" s="2">
        <v>2006</v>
      </c>
      <c r="D1828" s="2">
        <v>311</v>
      </c>
      <c r="E1828" s="2">
        <v>150</v>
      </c>
      <c r="F1828" s="2">
        <v>160</v>
      </c>
      <c r="G1828" s="2">
        <v>1</v>
      </c>
    </row>
    <row r="1829" spans="1:7" hidden="1">
      <c r="A1829" t="s">
        <v>87</v>
      </c>
      <c r="B1829" s="1" t="s">
        <v>3</v>
      </c>
      <c r="C1829" s="2">
        <v>2007</v>
      </c>
      <c r="D1829" s="2">
        <v>281</v>
      </c>
      <c r="E1829" s="2">
        <v>153</v>
      </c>
      <c r="F1829" s="2">
        <v>128</v>
      </c>
      <c r="G1829" s="1" t="s">
        <v>7</v>
      </c>
    </row>
    <row r="1830" spans="1:7" hidden="1">
      <c r="A1830" t="s">
        <v>87</v>
      </c>
      <c r="B1830" s="1" t="s">
        <v>3</v>
      </c>
      <c r="C1830" s="2">
        <v>2008</v>
      </c>
      <c r="D1830" s="2">
        <v>301</v>
      </c>
      <c r="E1830" s="2">
        <v>145</v>
      </c>
      <c r="F1830" s="2">
        <v>156</v>
      </c>
      <c r="G1830" s="1" t="s">
        <v>7</v>
      </c>
    </row>
    <row r="1831" spans="1:7" hidden="1">
      <c r="A1831" t="s">
        <v>87</v>
      </c>
      <c r="B1831" s="1" t="s">
        <v>3</v>
      </c>
      <c r="C1831" s="2">
        <v>2009</v>
      </c>
      <c r="D1831" s="2">
        <v>286</v>
      </c>
      <c r="E1831" s="2">
        <v>146</v>
      </c>
      <c r="F1831" s="2">
        <v>140</v>
      </c>
      <c r="G1831" s="1" t="s">
        <v>7</v>
      </c>
    </row>
    <row r="1832" spans="1:7">
      <c r="A1832" t="s">
        <v>87</v>
      </c>
      <c r="B1832" s="1" t="s">
        <v>3</v>
      </c>
      <c r="C1832" s="2">
        <v>2010</v>
      </c>
      <c r="D1832" s="2">
        <v>302</v>
      </c>
      <c r="E1832" s="2">
        <v>158</v>
      </c>
      <c r="F1832" s="2">
        <v>144</v>
      </c>
      <c r="G1832" s="1" t="s">
        <v>7</v>
      </c>
    </row>
    <row r="1833" spans="1:7" hidden="1">
      <c r="A1833" t="s">
        <v>87</v>
      </c>
      <c r="B1833" s="1" t="s">
        <v>3</v>
      </c>
      <c r="C1833" s="2">
        <v>2011</v>
      </c>
      <c r="D1833" s="2">
        <v>326</v>
      </c>
      <c r="E1833" s="2">
        <v>165</v>
      </c>
      <c r="F1833" s="2">
        <v>161</v>
      </c>
      <c r="G1833" s="1" t="s">
        <v>7</v>
      </c>
    </row>
    <row r="1834" spans="1:7" hidden="1">
      <c r="A1834" t="s">
        <v>87</v>
      </c>
      <c r="B1834" s="1" t="s">
        <v>3</v>
      </c>
      <c r="C1834" s="2">
        <v>2012</v>
      </c>
      <c r="D1834" s="2">
        <v>350</v>
      </c>
      <c r="E1834" s="2">
        <v>188</v>
      </c>
      <c r="F1834" s="2">
        <v>162</v>
      </c>
      <c r="G1834" s="1" t="s">
        <v>7</v>
      </c>
    </row>
    <row r="1835" spans="1:7" hidden="1">
      <c r="A1835" t="s">
        <v>87</v>
      </c>
      <c r="B1835" s="1" t="s">
        <v>3</v>
      </c>
      <c r="C1835" s="2">
        <v>2013</v>
      </c>
      <c r="D1835" s="2">
        <v>375</v>
      </c>
      <c r="E1835" s="2">
        <v>203</v>
      </c>
      <c r="F1835" s="2">
        <v>172</v>
      </c>
      <c r="G1835" s="1" t="s">
        <v>7</v>
      </c>
    </row>
    <row r="1836" spans="1:7" hidden="1">
      <c r="A1836" t="s">
        <v>87</v>
      </c>
      <c r="B1836" s="1" t="s">
        <v>3</v>
      </c>
      <c r="C1836" s="2">
        <v>2014</v>
      </c>
      <c r="D1836" s="2">
        <v>406</v>
      </c>
      <c r="E1836" s="2">
        <v>210</v>
      </c>
      <c r="F1836" s="2">
        <v>196</v>
      </c>
      <c r="G1836" s="1" t="s">
        <v>7</v>
      </c>
    </row>
    <row r="1837" spans="1:7" hidden="1">
      <c r="A1837" t="s">
        <v>87</v>
      </c>
      <c r="B1837" s="1" t="s">
        <v>3</v>
      </c>
      <c r="C1837" s="2">
        <v>2015</v>
      </c>
      <c r="D1837" s="2">
        <v>477</v>
      </c>
      <c r="E1837" s="2">
        <v>263</v>
      </c>
      <c r="F1837" s="2">
        <v>214</v>
      </c>
      <c r="G1837" s="1" t="s">
        <v>7</v>
      </c>
    </row>
    <row r="1838" spans="1:7" hidden="1">
      <c r="A1838" t="s">
        <v>87</v>
      </c>
      <c r="B1838" s="1" t="s">
        <v>3</v>
      </c>
      <c r="C1838" s="2">
        <v>2016</v>
      </c>
      <c r="D1838" s="2">
        <v>401</v>
      </c>
      <c r="E1838" s="2">
        <v>213</v>
      </c>
      <c r="F1838" s="2">
        <v>188</v>
      </c>
      <c r="G1838" s="1" t="s">
        <v>7</v>
      </c>
    </row>
    <row r="1839" spans="1:7" hidden="1">
      <c r="A1839" t="s">
        <v>87</v>
      </c>
      <c r="B1839" s="1" t="s">
        <v>3</v>
      </c>
      <c r="C1839" s="2">
        <v>2017</v>
      </c>
      <c r="D1839" s="2">
        <v>388</v>
      </c>
      <c r="E1839" s="2">
        <v>202</v>
      </c>
      <c r="F1839" s="2">
        <v>186</v>
      </c>
      <c r="G1839" s="1" t="s">
        <v>7</v>
      </c>
    </row>
    <row r="1840" spans="1:7" hidden="1">
      <c r="A1840" t="s">
        <v>87</v>
      </c>
      <c r="B1840" s="1" t="s">
        <v>3</v>
      </c>
      <c r="C1840" s="2">
        <v>2018</v>
      </c>
      <c r="D1840" s="2">
        <v>389</v>
      </c>
      <c r="E1840" s="2">
        <v>211</v>
      </c>
      <c r="F1840" s="2">
        <v>178</v>
      </c>
      <c r="G1840" s="1" t="s">
        <v>7</v>
      </c>
    </row>
    <row r="1841" spans="1:7">
      <c r="A1841" t="s">
        <v>87</v>
      </c>
      <c r="B1841" s="1" t="s">
        <v>3</v>
      </c>
      <c r="C1841" s="2">
        <v>2019</v>
      </c>
      <c r="D1841" s="2">
        <v>390</v>
      </c>
      <c r="E1841" s="2">
        <v>185</v>
      </c>
      <c r="F1841" s="2">
        <v>205</v>
      </c>
      <c r="G1841" s="1" t="s">
        <v>7</v>
      </c>
    </row>
    <row r="1842" spans="1:7" hidden="1">
      <c r="A1842" t="s">
        <v>87</v>
      </c>
      <c r="B1842" s="1" t="s">
        <v>3</v>
      </c>
      <c r="C1842" s="2">
        <v>2020</v>
      </c>
      <c r="D1842" s="2">
        <v>637</v>
      </c>
      <c r="E1842" s="2">
        <v>344</v>
      </c>
      <c r="F1842" s="2">
        <v>293</v>
      </c>
      <c r="G1842" s="1" t="s">
        <v>7</v>
      </c>
    </row>
    <row r="1843" spans="1:7">
      <c r="A1843" t="s">
        <v>87</v>
      </c>
      <c r="B1843" s="1" t="s">
        <v>3</v>
      </c>
      <c r="C1843" s="2">
        <v>2021</v>
      </c>
      <c r="D1843" s="2">
        <v>671</v>
      </c>
      <c r="E1843" s="2">
        <v>359</v>
      </c>
      <c r="F1843" s="2">
        <v>312</v>
      </c>
      <c r="G1843" s="1" t="s">
        <v>7</v>
      </c>
    </row>
    <row r="1844" spans="1:7" hidden="1">
      <c r="A1844" t="s">
        <v>87</v>
      </c>
      <c r="B1844" s="1" t="s">
        <v>3</v>
      </c>
      <c r="C1844" s="2">
        <v>2022</v>
      </c>
      <c r="D1844" s="2">
        <v>543</v>
      </c>
      <c r="E1844" s="2">
        <v>291</v>
      </c>
      <c r="F1844" s="2">
        <v>252</v>
      </c>
      <c r="G1844" s="1" t="s">
        <v>7</v>
      </c>
    </row>
    <row r="1845" spans="1:7" hidden="1">
      <c r="A1845" t="s">
        <v>87</v>
      </c>
      <c r="B1845" s="1" t="s">
        <v>3</v>
      </c>
      <c r="C1845" s="2">
        <v>2023</v>
      </c>
      <c r="D1845" s="2">
        <v>546</v>
      </c>
      <c r="E1845" s="2">
        <v>268</v>
      </c>
      <c r="F1845" s="2">
        <v>278</v>
      </c>
      <c r="G1845" s="1" t="s">
        <v>7</v>
      </c>
    </row>
    <row r="1846" spans="1:7" hidden="1">
      <c r="A1846" t="s">
        <v>87</v>
      </c>
      <c r="B1846" s="1" t="s">
        <v>3</v>
      </c>
      <c r="C1846" s="2">
        <v>2024</v>
      </c>
      <c r="D1846" s="2">
        <v>536</v>
      </c>
      <c r="E1846" s="2">
        <v>287</v>
      </c>
      <c r="F1846" s="2">
        <v>249</v>
      </c>
      <c r="G1846" s="1" t="s">
        <v>7</v>
      </c>
    </row>
    <row r="1847" spans="1:7" hidden="1">
      <c r="A1847" t="s">
        <v>87</v>
      </c>
      <c r="B1847" s="1" t="s">
        <v>14</v>
      </c>
      <c r="C1847" s="2">
        <v>2003</v>
      </c>
      <c r="D1847" s="2">
        <v>1</v>
      </c>
      <c r="E1847" s="2">
        <v>1</v>
      </c>
      <c r="F1847" s="1" t="s">
        <v>7</v>
      </c>
      <c r="G1847" s="1" t="s">
        <v>7</v>
      </c>
    </row>
    <row r="1848" spans="1:7" hidden="1">
      <c r="A1848" t="s">
        <v>87</v>
      </c>
      <c r="B1848" s="1" t="s">
        <v>15</v>
      </c>
      <c r="C1848" s="2">
        <v>2004</v>
      </c>
      <c r="D1848" s="2">
        <v>1</v>
      </c>
      <c r="E1848" s="1" t="s">
        <v>7</v>
      </c>
      <c r="F1848" s="2">
        <v>1</v>
      </c>
      <c r="G1848" s="1" t="s">
        <v>7</v>
      </c>
    </row>
    <row r="1849" spans="1:7" hidden="1">
      <c r="A1849" t="s">
        <v>87</v>
      </c>
      <c r="B1849" s="1" t="s">
        <v>21</v>
      </c>
      <c r="C1849" s="2">
        <v>2003</v>
      </c>
      <c r="D1849" s="2">
        <v>1</v>
      </c>
      <c r="E1849" s="1" t="s">
        <v>7</v>
      </c>
      <c r="F1849" s="2">
        <v>1</v>
      </c>
      <c r="G1849" s="1" t="s">
        <v>7</v>
      </c>
    </row>
    <row r="1850" spans="1:7" hidden="1">
      <c r="A1850" t="s">
        <v>87</v>
      </c>
      <c r="B1850" s="1" t="s">
        <v>35</v>
      </c>
      <c r="C1850" s="2">
        <v>1990</v>
      </c>
      <c r="D1850" s="2">
        <v>148</v>
      </c>
      <c r="E1850" s="2">
        <v>63</v>
      </c>
      <c r="F1850" s="2">
        <v>85</v>
      </c>
      <c r="G1850" s="1" t="s">
        <v>7</v>
      </c>
    </row>
    <row r="1851" spans="1:7" hidden="1">
      <c r="A1851" t="s">
        <v>87</v>
      </c>
      <c r="B1851" s="1" t="s">
        <v>36</v>
      </c>
      <c r="C1851" s="2">
        <v>1991</v>
      </c>
      <c r="D1851" s="2">
        <v>191</v>
      </c>
      <c r="E1851" s="2">
        <v>93</v>
      </c>
      <c r="F1851" s="2">
        <v>98</v>
      </c>
      <c r="G1851" s="1" t="s">
        <v>7</v>
      </c>
    </row>
    <row r="1852" spans="1:7" hidden="1">
      <c r="A1852" t="s">
        <v>87</v>
      </c>
      <c r="B1852" s="1" t="s">
        <v>37</v>
      </c>
      <c r="C1852" s="2">
        <v>1992</v>
      </c>
      <c r="D1852" s="2">
        <v>197</v>
      </c>
      <c r="E1852" s="2">
        <v>97</v>
      </c>
      <c r="F1852" s="2">
        <v>100</v>
      </c>
      <c r="G1852" s="1" t="s">
        <v>7</v>
      </c>
    </row>
    <row r="1853" spans="1:7" hidden="1">
      <c r="A1853" t="s">
        <v>87</v>
      </c>
      <c r="B1853" s="1" t="s">
        <v>37</v>
      </c>
      <c r="C1853" s="2">
        <v>1993</v>
      </c>
      <c r="D1853" s="2">
        <v>1</v>
      </c>
      <c r="E1853" s="1" t="s">
        <v>7</v>
      </c>
      <c r="F1853" s="2">
        <v>1</v>
      </c>
      <c r="G1853" s="1" t="s">
        <v>7</v>
      </c>
    </row>
    <row r="1854" spans="1:7" hidden="1">
      <c r="A1854" t="s">
        <v>87</v>
      </c>
      <c r="B1854" s="1" t="s">
        <v>38</v>
      </c>
      <c r="C1854" s="2">
        <v>1993</v>
      </c>
      <c r="D1854" s="2">
        <v>199</v>
      </c>
      <c r="E1854" s="2">
        <v>105</v>
      </c>
      <c r="F1854" s="2">
        <v>94</v>
      </c>
      <c r="G1854" s="1" t="s">
        <v>7</v>
      </c>
    </row>
    <row r="1855" spans="1:7" hidden="1">
      <c r="A1855" t="s">
        <v>87</v>
      </c>
      <c r="B1855" s="1" t="s">
        <v>38</v>
      </c>
      <c r="C1855" s="2">
        <v>1995</v>
      </c>
      <c r="D1855" s="2">
        <v>1</v>
      </c>
      <c r="E1855" s="1" t="s">
        <v>7</v>
      </c>
      <c r="F1855" s="2">
        <v>1</v>
      </c>
      <c r="G1855" s="1" t="s">
        <v>7</v>
      </c>
    </row>
    <row r="1856" spans="1:7" hidden="1">
      <c r="A1856" t="s">
        <v>87</v>
      </c>
      <c r="B1856" s="1" t="s">
        <v>39</v>
      </c>
      <c r="C1856" s="2">
        <v>1994</v>
      </c>
      <c r="D1856" s="2">
        <v>228</v>
      </c>
      <c r="E1856" s="2">
        <v>112</v>
      </c>
      <c r="F1856" s="2">
        <v>116</v>
      </c>
      <c r="G1856" s="1" t="s">
        <v>7</v>
      </c>
    </row>
    <row r="1857" spans="1:7" hidden="1">
      <c r="A1857" t="s">
        <v>87</v>
      </c>
      <c r="B1857" s="1" t="s">
        <v>39</v>
      </c>
      <c r="C1857" s="2">
        <v>1995</v>
      </c>
      <c r="D1857" s="2">
        <v>1</v>
      </c>
      <c r="E1857" s="1" t="s">
        <v>7</v>
      </c>
      <c r="F1857" s="2">
        <v>1</v>
      </c>
      <c r="G1857" s="1" t="s">
        <v>7</v>
      </c>
    </row>
    <row r="1858" spans="1:7" hidden="1">
      <c r="A1858" t="s">
        <v>87</v>
      </c>
      <c r="B1858" s="1" t="s">
        <v>40</v>
      </c>
      <c r="C1858" s="2">
        <v>1995</v>
      </c>
      <c r="D1858" s="2">
        <v>206</v>
      </c>
      <c r="E1858" s="2">
        <v>101</v>
      </c>
      <c r="F1858" s="2">
        <v>105</v>
      </c>
      <c r="G1858" s="1" t="s">
        <v>7</v>
      </c>
    </row>
    <row r="1859" spans="1:7" hidden="1">
      <c r="A1859" t="s">
        <v>87</v>
      </c>
      <c r="B1859" s="1" t="s">
        <v>41</v>
      </c>
      <c r="C1859" s="2">
        <v>1996</v>
      </c>
      <c r="D1859" s="2">
        <v>198</v>
      </c>
      <c r="E1859" s="2">
        <v>100</v>
      </c>
      <c r="F1859" s="2">
        <v>98</v>
      </c>
      <c r="G1859" s="1" t="s">
        <v>7</v>
      </c>
    </row>
    <row r="1860" spans="1:7" hidden="1">
      <c r="A1860" t="s">
        <v>87</v>
      </c>
      <c r="B1860" s="1" t="s">
        <v>41</v>
      </c>
      <c r="C1860" s="2">
        <v>1997</v>
      </c>
      <c r="D1860" s="2">
        <v>1</v>
      </c>
      <c r="E1860" s="1" t="s">
        <v>7</v>
      </c>
      <c r="F1860" s="2">
        <v>1</v>
      </c>
      <c r="G1860" s="1" t="s">
        <v>7</v>
      </c>
    </row>
    <row r="1861" spans="1:7" hidden="1">
      <c r="A1861" t="s">
        <v>87</v>
      </c>
      <c r="B1861" s="1" t="s">
        <v>42</v>
      </c>
      <c r="C1861" s="2">
        <v>1997</v>
      </c>
      <c r="D1861" s="2">
        <v>245</v>
      </c>
      <c r="E1861" s="2">
        <v>133</v>
      </c>
      <c r="F1861" s="2">
        <v>112</v>
      </c>
      <c r="G1861" s="1" t="s">
        <v>7</v>
      </c>
    </row>
    <row r="1862" spans="1:7" hidden="1">
      <c r="A1862" t="s">
        <v>87</v>
      </c>
      <c r="B1862" s="1" t="s">
        <v>43</v>
      </c>
      <c r="C1862" s="2">
        <v>1998</v>
      </c>
      <c r="D1862" s="2">
        <v>241</v>
      </c>
      <c r="E1862" s="2">
        <v>127</v>
      </c>
      <c r="F1862" s="2">
        <v>114</v>
      </c>
      <c r="G1862" s="1" t="s">
        <v>7</v>
      </c>
    </row>
    <row r="1863" spans="1:7" hidden="1">
      <c r="A1863" t="s">
        <v>87</v>
      </c>
      <c r="B1863" s="1" t="s">
        <v>43</v>
      </c>
      <c r="C1863" s="2">
        <v>1999</v>
      </c>
      <c r="D1863" s="2">
        <v>3</v>
      </c>
      <c r="E1863" s="2">
        <v>3</v>
      </c>
      <c r="F1863" s="1" t="s">
        <v>7</v>
      </c>
      <c r="G1863" s="1" t="s">
        <v>7</v>
      </c>
    </row>
    <row r="1864" spans="1:7" hidden="1">
      <c r="A1864" t="s">
        <v>87</v>
      </c>
      <c r="B1864" s="1" t="s">
        <v>44</v>
      </c>
      <c r="C1864" s="2">
        <v>1999</v>
      </c>
      <c r="D1864" s="2">
        <v>219</v>
      </c>
      <c r="E1864" s="2">
        <v>119</v>
      </c>
      <c r="F1864" s="2">
        <v>100</v>
      </c>
      <c r="G1864" s="1" t="s">
        <v>7</v>
      </c>
    </row>
    <row r="1865" spans="1:7" hidden="1">
      <c r="A1865" t="s">
        <v>87</v>
      </c>
      <c r="B1865" s="1" t="s">
        <v>44</v>
      </c>
      <c r="C1865" s="2">
        <v>2000</v>
      </c>
      <c r="D1865" s="2">
        <v>1</v>
      </c>
      <c r="E1865" s="2">
        <v>1</v>
      </c>
      <c r="F1865" s="1" t="s">
        <v>7</v>
      </c>
      <c r="G1865" s="1" t="s">
        <v>7</v>
      </c>
    </row>
    <row r="1866" spans="1:7" hidden="1">
      <c r="A1866" t="s">
        <v>87</v>
      </c>
      <c r="B1866" s="1" t="s">
        <v>45</v>
      </c>
      <c r="C1866" s="2">
        <v>2000</v>
      </c>
      <c r="D1866" s="2">
        <v>234</v>
      </c>
      <c r="E1866" s="2">
        <v>116</v>
      </c>
      <c r="F1866" s="2">
        <v>118</v>
      </c>
      <c r="G1866" s="1" t="s">
        <v>7</v>
      </c>
    </row>
    <row r="1867" spans="1:7" hidden="1">
      <c r="A1867" t="s">
        <v>87</v>
      </c>
      <c r="B1867" s="1" t="s">
        <v>45</v>
      </c>
      <c r="C1867" s="2">
        <v>2001</v>
      </c>
      <c r="D1867" s="2">
        <v>1</v>
      </c>
      <c r="E1867" s="1" t="s">
        <v>7</v>
      </c>
      <c r="F1867" s="2">
        <v>1</v>
      </c>
      <c r="G1867" s="1" t="s">
        <v>7</v>
      </c>
    </row>
    <row r="1868" spans="1:7" hidden="1">
      <c r="A1868" t="s">
        <v>87</v>
      </c>
      <c r="B1868" s="1" t="s">
        <v>46</v>
      </c>
      <c r="C1868" s="2">
        <v>2001</v>
      </c>
      <c r="D1868" s="2">
        <v>223</v>
      </c>
      <c r="E1868" s="2">
        <v>105</v>
      </c>
      <c r="F1868" s="2">
        <v>118</v>
      </c>
      <c r="G1868" s="1" t="s">
        <v>7</v>
      </c>
    </row>
    <row r="1869" spans="1:7" hidden="1">
      <c r="A1869" t="s">
        <v>87</v>
      </c>
      <c r="B1869" s="1" t="s">
        <v>46</v>
      </c>
      <c r="C1869" s="2">
        <v>2002</v>
      </c>
      <c r="D1869" s="2">
        <v>1</v>
      </c>
      <c r="E1869" s="1" t="s">
        <v>7</v>
      </c>
      <c r="F1869" s="2">
        <v>1</v>
      </c>
      <c r="G1869" s="1" t="s">
        <v>7</v>
      </c>
    </row>
    <row r="1870" spans="1:7" hidden="1">
      <c r="A1870" t="s">
        <v>87</v>
      </c>
      <c r="B1870" s="1" t="s">
        <v>47</v>
      </c>
      <c r="C1870" s="2">
        <v>2002</v>
      </c>
      <c r="D1870" s="2">
        <v>259</v>
      </c>
      <c r="E1870" s="2">
        <v>122</v>
      </c>
      <c r="F1870" s="2">
        <v>137</v>
      </c>
      <c r="G1870" s="1" t="s">
        <v>7</v>
      </c>
    </row>
    <row r="1871" spans="1:7" hidden="1">
      <c r="A1871" t="s">
        <v>87</v>
      </c>
      <c r="B1871" s="1" t="s">
        <v>48</v>
      </c>
      <c r="C1871" s="2">
        <v>2003</v>
      </c>
      <c r="D1871" s="2">
        <v>248</v>
      </c>
      <c r="E1871" s="2">
        <v>117</v>
      </c>
      <c r="F1871" s="2">
        <v>131</v>
      </c>
      <c r="G1871" s="1" t="s">
        <v>7</v>
      </c>
    </row>
    <row r="1872" spans="1:7" hidden="1">
      <c r="A1872" t="s">
        <v>87</v>
      </c>
      <c r="B1872" s="1" t="s">
        <v>48</v>
      </c>
      <c r="C1872" s="2">
        <v>2005</v>
      </c>
      <c r="D1872" s="2">
        <v>1</v>
      </c>
      <c r="E1872" s="2">
        <v>1</v>
      </c>
      <c r="F1872" s="1" t="s">
        <v>7</v>
      </c>
      <c r="G1872" s="1" t="s">
        <v>7</v>
      </c>
    </row>
    <row r="1873" spans="1:7" hidden="1">
      <c r="A1873" t="s">
        <v>87</v>
      </c>
      <c r="B1873" s="1" t="s">
        <v>49</v>
      </c>
      <c r="C1873" s="2">
        <v>2004</v>
      </c>
      <c r="D1873" s="2">
        <v>266</v>
      </c>
      <c r="E1873" s="2">
        <v>131</v>
      </c>
      <c r="F1873" s="2">
        <v>135</v>
      </c>
      <c r="G1873" s="1" t="s">
        <v>7</v>
      </c>
    </row>
    <row r="1874" spans="1:7" hidden="1">
      <c r="A1874" t="s">
        <v>87</v>
      </c>
      <c r="B1874" s="1" t="s">
        <v>49</v>
      </c>
      <c r="C1874" s="2">
        <v>2005</v>
      </c>
      <c r="D1874" s="2">
        <v>2</v>
      </c>
      <c r="E1874" s="2">
        <v>1</v>
      </c>
      <c r="F1874" s="2">
        <v>1</v>
      </c>
      <c r="G1874" s="1" t="s">
        <v>7</v>
      </c>
    </row>
    <row r="1875" spans="1:7" hidden="1">
      <c r="A1875" t="s">
        <v>87</v>
      </c>
      <c r="B1875" s="1" t="s">
        <v>50</v>
      </c>
      <c r="C1875" s="2">
        <v>2005</v>
      </c>
      <c r="D1875" s="2">
        <v>319</v>
      </c>
      <c r="E1875" s="2">
        <v>169</v>
      </c>
      <c r="F1875" s="2">
        <v>150</v>
      </c>
      <c r="G1875" s="1" t="s">
        <v>7</v>
      </c>
    </row>
    <row r="1876" spans="1:7" hidden="1">
      <c r="A1876" t="s">
        <v>87</v>
      </c>
      <c r="B1876" s="1" t="s">
        <v>50</v>
      </c>
      <c r="C1876" s="2">
        <v>2006</v>
      </c>
      <c r="D1876" s="2">
        <v>1</v>
      </c>
      <c r="E1876" s="2">
        <v>1</v>
      </c>
      <c r="F1876" s="1" t="s">
        <v>7</v>
      </c>
      <c r="G1876" s="1" t="s">
        <v>7</v>
      </c>
    </row>
    <row r="1877" spans="1:7" hidden="1">
      <c r="A1877" t="s">
        <v>87</v>
      </c>
      <c r="B1877" s="1" t="s">
        <v>51</v>
      </c>
      <c r="C1877" s="2">
        <v>2006</v>
      </c>
      <c r="D1877" s="2">
        <v>310</v>
      </c>
      <c r="E1877" s="2">
        <v>149</v>
      </c>
      <c r="F1877" s="2">
        <v>160</v>
      </c>
      <c r="G1877" s="2">
        <v>1</v>
      </c>
    </row>
    <row r="1878" spans="1:7" hidden="1">
      <c r="A1878" t="s">
        <v>87</v>
      </c>
      <c r="B1878" s="1" t="s">
        <v>51</v>
      </c>
      <c r="C1878" s="2">
        <v>2007</v>
      </c>
      <c r="D1878" s="2">
        <v>3</v>
      </c>
      <c r="E1878" s="2">
        <v>2</v>
      </c>
      <c r="F1878" s="2">
        <v>1</v>
      </c>
      <c r="G1878" s="1" t="s">
        <v>7</v>
      </c>
    </row>
    <row r="1879" spans="1:7" hidden="1">
      <c r="A1879" t="s">
        <v>87</v>
      </c>
      <c r="B1879" s="1" t="s">
        <v>52</v>
      </c>
      <c r="C1879" s="2">
        <v>2007</v>
      </c>
      <c r="D1879" s="2">
        <v>278</v>
      </c>
      <c r="E1879" s="2">
        <v>151</v>
      </c>
      <c r="F1879" s="2">
        <v>127</v>
      </c>
      <c r="G1879" s="1" t="s">
        <v>7</v>
      </c>
    </row>
    <row r="1880" spans="1:7" hidden="1">
      <c r="A1880" t="s">
        <v>87</v>
      </c>
      <c r="B1880" s="1" t="s">
        <v>52</v>
      </c>
      <c r="C1880" s="2">
        <v>2008</v>
      </c>
      <c r="D1880" s="2">
        <v>1</v>
      </c>
      <c r="E1880" s="1" t="s">
        <v>7</v>
      </c>
      <c r="F1880" s="2">
        <v>1</v>
      </c>
      <c r="G1880" s="1" t="s">
        <v>7</v>
      </c>
    </row>
    <row r="1881" spans="1:7" hidden="1">
      <c r="A1881" t="s">
        <v>87</v>
      </c>
      <c r="B1881" s="1" t="s">
        <v>53</v>
      </c>
      <c r="C1881" s="2">
        <v>2008</v>
      </c>
      <c r="D1881" s="2">
        <v>300</v>
      </c>
      <c r="E1881" s="2">
        <v>145</v>
      </c>
      <c r="F1881" s="2">
        <v>155</v>
      </c>
      <c r="G1881" s="1" t="s">
        <v>7</v>
      </c>
    </row>
    <row r="1882" spans="1:7" hidden="1">
      <c r="A1882" t="s">
        <v>87</v>
      </c>
      <c r="B1882" s="1" t="s">
        <v>54</v>
      </c>
      <c r="C1882" s="2">
        <v>2009</v>
      </c>
      <c r="D1882" s="2">
        <v>286</v>
      </c>
      <c r="E1882" s="2">
        <v>146</v>
      </c>
      <c r="F1882" s="2">
        <v>140</v>
      </c>
      <c r="G1882" s="1" t="s">
        <v>7</v>
      </c>
    </row>
    <row r="1883" spans="1:7" hidden="1">
      <c r="A1883" t="s">
        <v>87</v>
      </c>
      <c r="B1883" s="1" t="s">
        <v>54</v>
      </c>
      <c r="C1883" s="2">
        <v>2010</v>
      </c>
      <c r="D1883" s="2">
        <v>2</v>
      </c>
      <c r="E1883" s="2">
        <v>2</v>
      </c>
      <c r="F1883" s="1" t="s">
        <v>7</v>
      </c>
      <c r="G1883" s="1" t="s">
        <v>7</v>
      </c>
    </row>
    <row r="1884" spans="1:7" hidden="1">
      <c r="A1884" t="s">
        <v>87</v>
      </c>
      <c r="B1884" s="1" t="s">
        <v>55</v>
      </c>
      <c r="C1884" s="2">
        <v>2010</v>
      </c>
      <c r="D1884" s="2">
        <v>300</v>
      </c>
      <c r="E1884" s="2">
        <v>156</v>
      </c>
      <c r="F1884" s="2">
        <v>144</v>
      </c>
      <c r="G1884" s="1" t="s">
        <v>7</v>
      </c>
    </row>
    <row r="1885" spans="1:7" hidden="1">
      <c r="A1885" t="s">
        <v>87</v>
      </c>
      <c r="B1885" s="1" t="s">
        <v>55</v>
      </c>
      <c r="C1885" s="2">
        <v>2011</v>
      </c>
      <c r="D1885" s="2">
        <v>2</v>
      </c>
      <c r="E1885" s="2">
        <v>1</v>
      </c>
      <c r="F1885" s="2">
        <v>1</v>
      </c>
      <c r="G1885" s="1" t="s">
        <v>7</v>
      </c>
    </row>
    <row r="1886" spans="1:7" hidden="1">
      <c r="A1886" t="s">
        <v>87</v>
      </c>
      <c r="B1886" s="1" t="s">
        <v>56</v>
      </c>
      <c r="C1886" s="2">
        <v>2011</v>
      </c>
      <c r="D1886" s="2">
        <v>324</v>
      </c>
      <c r="E1886" s="2">
        <v>164</v>
      </c>
      <c r="F1886" s="2">
        <v>160</v>
      </c>
      <c r="G1886" s="1" t="s">
        <v>7</v>
      </c>
    </row>
    <row r="1887" spans="1:7" hidden="1">
      <c r="A1887" t="s">
        <v>87</v>
      </c>
      <c r="B1887" s="1" t="s">
        <v>57</v>
      </c>
      <c r="C1887" s="2">
        <v>2012</v>
      </c>
      <c r="D1887" s="2">
        <v>350</v>
      </c>
      <c r="E1887" s="2">
        <v>188</v>
      </c>
      <c r="F1887" s="2">
        <v>162</v>
      </c>
      <c r="G1887" s="1" t="s">
        <v>7</v>
      </c>
    </row>
    <row r="1888" spans="1:7" hidden="1">
      <c r="A1888" t="s">
        <v>87</v>
      </c>
      <c r="B1888" s="1" t="s">
        <v>57</v>
      </c>
      <c r="C1888" s="2">
        <v>2013</v>
      </c>
      <c r="D1888" s="2">
        <v>2</v>
      </c>
      <c r="E1888" s="2">
        <v>1</v>
      </c>
      <c r="F1888" s="2">
        <v>1</v>
      </c>
      <c r="G1888" s="1" t="s">
        <v>7</v>
      </c>
    </row>
    <row r="1889" spans="1:7" hidden="1">
      <c r="A1889" t="s">
        <v>87</v>
      </c>
      <c r="B1889" s="1" t="s">
        <v>58</v>
      </c>
      <c r="C1889" s="2">
        <v>2013</v>
      </c>
      <c r="D1889" s="2">
        <v>373</v>
      </c>
      <c r="E1889" s="2">
        <v>202</v>
      </c>
      <c r="F1889" s="2">
        <v>171</v>
      </c>
      <c r="G1889" s="1" t="s">
        <v>7</v>
      </c>
    </row>
    <row r="1890" spans="1:7" hidden="1">
      <c r="A1890" t="s">
        <v>87</v>
      </c>
      <c r="B1890" s="1" t="s">
        <v>58</v>
      </c>
      <c r="C1890" s="2">
        <v>2014</v>
      </c>
      <c r="D1890" s="2">
        <v>3</v>
      </c>
      <c r="E1890" s="1" t="s">
        <v>7</v>
      </c>
      <c r="F1890" s="2">
        <v>3</v>
      </c>
      <c r="G1890" s="1" t="s">
        <v>7</v>
      </c>
    </row>
    <row r="1891" spans="1:7" hidden="1">
      <c r="A1891" t="s">
        <v>87</v>
      </c>
      <c r="B1891" s="1" t="s">
        <v>59</v>
      </c>
      <c r="C1891" s="2">
        <v>2014</v>
      </c>
      <c r="D1891" s="2">
        <v>403</v>
      </c>
      <c r="E1891" s="2">
        <v>210</v>
      </c>
      <c r="F1891" s="2">
        <v>193</v>
      </c>
      <c r="G1891" s="1" t="s">
        <v>7</v>
      </c>
    </row>
    <row r="1892" spans="1:7" hidden="1">
      <c r="A1892" t="s">
        <v>87</v>
      </c>
      <c r="B1892" s="1" t="s">
        <v>59</v>
      </c>
      <c r="C1892" s="2">
        <v>2015</v>
      </c>
      <c r="D1892" s="2">
        <v>1</v>
      </c>
      <c r="E1892" s="2">
        <v>1</v>
      </c>
      <c r="F1892" s="1" t="s">
        <v>7</v>
      </c>
      <c r="G1892" s="1" t="s">
        <v>7</v>
      </c>
    </row>
    <row r="1893" spans="1:7" hidden="1">
      <c r="A1893" t="s">
        <v>87</v>
      </c>
      <c r="B1893" s="1" t="s">
        <v>60</v>
      </c>
      <c r="C1893" s="2">
        <v>2015</v>
      </c>
      <c r="D1893" s="2">
        <v>476</v>
      </c>
      <c r="E1893" s="2">
        <v>262</v>
      </c>
      <c r="F1893" s="2">
        <v>214</v>
      </c>
      <c r="G1893" s="1" t="s">
        <v>7</v>
      </c>
    </row>
    <row r="1894" spans="1:7" hidden="1">
      <c r="A1894" t="s">
        <v>87</v>
      </c>
      <c r="B1894" s="1" t="s">
        <v>61</v>
      </c>
      <c r="C1894" s="2">
        <v>2016</v>
      </c>
      <c r="D1894" s="2">
        <v>401</v>
      </c>
      <c r="E1894" s="2">
        <v>213</v>
      </c>
      <c r="F1894" s="2">
        <v>188</v>
      </c>
      <c r="G1894" s="1" t="s">
        <v>7</v>
      </c>
    </row>
    <row r="1895" spans="1:7" hidden="1">
      <c r="A1895" t="s">
        <v>87</v>
      </c>
      <c r="B1895" s="1" t="s">
        <v>62</v>
      </c>
      <c r="C1895" s="2">
        <v>2017</v>
      </c>
      <c r="D1895" s="2">
        <v>388</v>
      </c>
      <c r="E1895" s="2">
        <v>202</v>
      </c>
      <c r="F1895" s="2">
        <v>186</v>
      </c>
      <c r="G1895" s="1" t="s">
        <v>7</v>
      </c>
    </row>
    <row r="1896" spans="1:7" hidden="1">
      <c r="A1896" t="s">
        <v>87</v>
      </c>
      <c r="B1896" s="1" t="s">
        <v>62</v>
      </c>
      <c r="C1896" s="2">
        <v>2018</v>
      </c>
      <c r="D1896" s="2">
        <v>1</v>
      </c>
      <c r="E1896" s="1" t="s">
        <v>7</v>
      </c>
      <c r="F1896" s="2">
        <v>1</v>
      </c>
      <c r="G1896" s="1" t="s">
        <v>7</v>
      </c>
    </row>
    <row r="1897" spans="1:7" hidden="1">
      <c r="A1897" t="s">
        <v>87</v>
      </c>
      <c r="B1897" s="1" t="s">
        <v>63</v>
      </c>
      <c r="C1897" s="2">
        <v>2018</v>
      </c>
      <c r="D1897" s="2">
        <v>388</v>
      </c>
      <c r="E1897" s="2">
        <v>211</v>
      </c>
      <c r="F1897" s="2">
        <v>177</v>
      </c>
      <c r="G1897" s="1" t="s">
        <v>7</v>
      </c>
    </row>
    <row r="1898" spans="1:7" hidden="1">
      <c r="A1898" t="s">
        <v>87</v>
      </c>
      <c r="B1898" s="1" t="s">
        <v>64</v>
      </c>
      <c r="C1898" s="2">
        <v>2019</v>
      </c>
      <c r="D1898" s="2">
        <v>390</v>
      </c>
      <c r="E1898" s="2">
        <v>185</v>
      </c>
      <c r="F1898" s="2">
        <v>205</v>
      </c>
      <c r="G1898" s="1" t="s">
        <v>7</v>
      </c>
    </row>
    <row r="1899" spans="1:7" hidden="1">
      <c r="A1899" t="s">
        <v>87</v>
      </c>
      <c r="B1899" s="1" t="s">
        <v>64</v>
      </c>
      <c r="C1899" s="2">
        <v>2020</v>
      </c>
      <c r="D1899" s="2">
        <v>1</v>
      </c>
      <c r="E1899" s="2">
        <v>1</v>
      </c>
      <c r="F1899" s="1" t="s">
        <v>7</v>
      </c>
      <c r="G1899" s="1" t="s">
        <v>7</v>
      </c>
    </row>
    <row r="1900" spans="1:7" hidden="1">
      <c r="A1900" t="s">
        <v>87</v>
      </c>
      <c r="B1900" s="1" t="s">
        <v>65</v>
      </c>
      <c r="C1900" s="2">
        <v>2020</v>
      </c>
      <c r="D1900" s="2">
        <v>636</v>
      </c>
      <c r="E1900" s="2">
        <v>343</v>
      </c>
      <c r="F1900" s="2">
        <v>293</v>
      </c>
      <c r="G1900" s="1" t="s">
        <v>7</v>
      </c>
    </row>
    <row r="1901" spans="1:7" hidden="1">
      <c r="A1901" t="s">
        <v>87</v>
      </c>
      <c r="B1901" s="1" t="s">
        <v>65</v>
      </c>
      <c r="C1901" s="2">
        <v>2021</v>
      </c>
      <c r="D1901" s="2">
        <v>2</v>
      </c>
      <c r="E1901" s="2">
        <v>1</v>
      </c>
      <c r="F1901" s="2">
        <v>1</v>
      </c>
      <c r="G1901" s="1" t="s">
        <v>7</v>
      </c>
    </row>
    <row r="1902" spans="1:7" hidden="1">
      <c r="A1902" t="s">
        <v>87</v>
      </c>
      <c r="B1902" s="1" t="s">
        <v>66</v>
      </c>
      <c r="C1902" s="2">
        <v>2021</v>
      </c>
      <c r="D1902" s="2">
        <v>669</v>
      </c>
      <c r="E1902" s="2">
        <v>358</v>
      </c>
      <c r="F1902" s="2">
        <v>311</v>
      </c>
      <c r="G1902" s="1" t="s">
        <v>7</v>
      </c>
    </row>
    <row r="1903" spans="1:7" hidden="1">
      <c r="A1903" t="s">
        <v>87</v>
      </c>
      <c r="B1903" s="1" t="s">
        <v>66</v>
      </c>
      <c r="C1903" s="2">
        <v>2022</v>
      </c>
      <c r="D1903" s="2">
        <v>1</v>
      </c>
      <c r="E1903" s="1" t="s">
        <v>7</v>
      </c>
      <c r="F1903" s="2">
        <v>1</v>
      </c>
      <c r="G1903" s="1" t="s">
        <v>7</v>
      </c>
    </row>
    <row r="1904" spans="1:7" hidden="1">
      <c r="A1904" t="s">
        <v>87</v>
      </c>
      <c r="B1904" s="1" t="s">
        <v>67</v>
      </c>
      <c r="C1904" s="2">
        <v>2022</v>
      </c>
      <c r="D1904" s="2">
        <v>541</v>
      </c>
      <c r="E1904" s="2">
        <v>290</v>
      </c>
      <c r="F1904" s="2">
        <v>251</v>
      </c>
      <c r="G1904" s="1" t="s">
        <v>7</v>
      </c>
    </row>
    <row r="1905" spans="1:7" hidden="1">
      <c r="A1905" t="s">
        <v>87</v>
      </c>
      <c r="B1905" s="1" t="s">
        <v>67</v>
      </c>
      <c r="C1905" s="2">
        <v>2023</v>
      </c>
      <c r="D1905" s="2">
        <v>1</v>
      </c>
      <c r="E1905" s="2">
        <v>1</v>
      </c>
      <c r="F1905" s="1" t="s">
        <v>7</v>
      </c>
      <c r="G1905" s="1" t="s">
        <v>7</v>
      </c>
    </row>
    <row r="1906" spans="1:7" hidden="1">
      <c r="A1906" t="s">
        <v>87</v>
      </c>
      <c r="B1906" s="1" t="s">
        <v>68</v>
      </c>
      <c r="C1906" s="2">
        <v>2023</v>
      </c>
      <c r="D1906" s="2">
        <v>545</v>
      </c>
      <c r="E1906" s="2">
        <v>267</v>
      </c>
      <c r="F1906" s="2">
        <v>278</v>
      </c>
      <c r="G1906" s="1" t="s">
        <v>7</v>
      </c>
    </row>
    <row r="1907" spans="1:7" hidden="1">
      <c r="A1907" t="s">
        <v>87</v>
      </c>
      <c r="B1907" s="1" t="s">
        <v>68</v>
      </c>
      <c r="C1907" s="2">
        <v>2024</v>
      </c>
      <c r="D1907" s="2">
        <v>4</v>
      </c>
      <c r="E1907" s="2">
        <v>3</v>
      </c>
      <c r="F1907" s="2">
        <v>1</v>
      </c>
      <c r="G1907" s="1" t="s">
        <v>7</v>
      </c>
    </row>
    <row r="1908" spans="1:7" hidden="1">
      <c r="A1908" t="s">
        <v>87</v>
      </c>
      <c r="B1908" s="1" t="s">
        <v>69</v>
      </c>
      <c r="C1908" s="2">
        <v>2024</v>
      </c>
      <c r="D1908" s="2">
        <v>532</v>
      </c>
      <c r="E1908" s="2">
        <v>284</v>
      </c>
      <c r="F1908" s="2">
        <v>248</v>
      </c>
      <c r="G1908" s="1" t="s">
        <v>7</v>
      </c>
    </row>
    <row r="1909" spans="1:7" hidden="1">
      <c r="A1909" t="s">
        <v>87</v>
      </c>
      <c r="B1909" s="1" t="s">
        <v>6</v>
      </c>
      <c r="C1909" s="2">
        <v>1990</v>
      </c>
      <c r="D1909" s="2">
        <v>2</v>
      </c>
      <c r="E1909" s="2">
        <v>1</v>
      </c>
      <c r="F1909" s="2">
        <v>1</v>
      </c>
      <c r="G1909" s="1" t="s">
        <v>7</v>
      </c>
    </row>
    <row r="1910" spans="1:7" hidden="1">
      <c r="A1910" t="s">
        <v>87</v>
      </c>
      <c r="B1910" s="1" t="s">
        <v>6</v>
      </c>
      <c r="C1910" s="2">
        <v>1991</v>
      </c>
      <c r="D1910" s="2">
        <v>1</v>
      </c>
      <c r="E1910" s="2">
        <v>1</v>
      </c>
      <c r="F1910" s="1" t="s">
        <v>7</v>
      </c>
      <c r="G1910" s="1" t="s">
        <v>7</v>
      </c>
    </row>
    <row r="1911" spans="1:7" hidden="1">
      <c r="A1911" t="s">
        <v>87</v>
      </c>
      <c r="B1911" s="1" t="s">
        <v>6</v>
      </c>
      <c r="C1911" s="2">
        <v>1992</v>
      </c>
      <c r="D1911" s="2">
        <v>2</v>
      </c>
      <c r="E1911" s="2">
        <v>1</v>
      </c>
      <c r="F1911" s="2">
        <v>1</v>
      </c>
      <c r="G1911" s="1" t="s">
        <v>7</v>
      </c>
    </row>
    <row r="1912" spans="1:7" hidden="1">
      <c r="A1912" t="s">
        <v>87</v>
      </c>
      <c r="B1912" s="1" t="s">
        <v>6</v>
      </c>
      <c r="C1912" s="2">
        <v>1993</v>
      </c>
      <c r="D1912" s="2">
        <v>1</v>
      </c>
      <c r="E1912" s="2">
        <v>1</v>
      </c>
      <c r="F1912" s="1" t="s">
        <v>7</v>
      </c>
      <c r="G1912" s="1" t="s">
        <v>7</v>
      </c>
    </row>
    <row r="1913" spans="1:7" hidden="1">
      <c r="A1913" t="s">
        <v>87</v>
      </c>
      <c r="B1913" s="1" t="s">
        <v>6</v>
      </c>
      <c r="C1913" s="2">
        <v>2022</v>
      </c>
      <c r="D1913" s="2">
        <v>1</v>
      </c>
      <c r="E1913" s="2">
        <v>1</v>
      </c>
      <c r="F1913" s="1" t="s">
        <v>7</v>
      </c>
      <c r="G1913" s="1" t="s">
        <v>7</v>
      </c>
    </row>
    <row r="1914" spans="1:7" hidden="1">
      <c r="A1914" t="s">
        <v>88</v>
      </c>
      <c r="B1914" s="1" t="s">
        <v>3</v>
      </c>
      <c r="C1914" s="2">
        <v>1990</v>
      </c>
      <c r="D1914" s="2">
        <v>295</v>
      </c>
      <c r="E1914" s="2">
        <v>115</v>
      </c>
      <c r="F1914" s="2">
        <v>179</v>
      </c>
      <c r="G1914" s="2">
        <v>1</v>
      </c>
    </row>
    <row r="1915" spans="1:7" hidden="1">
      <c r="A1915" t="s">
        <v>88</v>
      </c>
      <c r="B1915" s="1" t="s">
        <v>3</v>
      </c>
      <c r="C1915" s="2">
        <v>1991</v>
      </c>
      <c r="D1915" s="2">
        <v>307</v>
      </c>
      <c r="E1915" s="2">
        <v>127</v>
      </c>
      <c r="F1915" s="2">
        <v>180</v>
      </c>
      <c r="G1915" s="1" t="s">
        <v>7</v>
      </c>
    </row>
    <row r="1916" spans="1:7" hidden="1">
      <c r="A1916" t="s">
        <v>88</v>
      </c>
      <c r="B1916" s="1" t="s">
        <v>3</v>
      </c>
      <c r="C1916" s="2">
        <v>1992</v>
      </c>
      <c r="D1916" s="2">
        <v>316</v>
      </c>
      <c r="E1916" s="2">
        <v>148</v>
      </c>
      <c r="F1916" s="2">
        <v>168</v>
      </c>
      <c r="G1916" s="1" t="s">
        <v>7</v>
      </c>
    </row>
    <row r="1917" spans="1:7" hidden="1">
      <c r="A1917" t="s">
        <v>88</v>
      </c>
      <c r="B1917" s="1" t="s">
        <v>3</v>
      </c>
      <c r="C1917" s="2">
        <v>1993</v>
      </c>
      <c r="D1917" s="2">
        <v>316</v>
      </c>
      <c r="E1917" s="2">
        <v>148</v>
      </c>
      <c r="F1917" s="2">
        <v>168</v>
      </c>
      <c r="G1917" s="1" t="s">
        <v>7</v>
      </c>
    </row>
    <row r="1918" spans="1:7" hidden="1">
      <c r="A1918" t="s">
        <v>88</v>
      </c>
      <c r="B1918" s="1" t="s">
        <v>3</v>
      </c>
      <c r="C1918" s="2">
        <v>1994</v>
      </c>
      <c r="D1918" s="2">
        <v>305</v>
      </c>
      <c r="E1918" s="2">
        <v>136</v>
      </c>
      <c r="F1918" s="2">
        <v>169</v>
      </c>
      <c r="G1918" s="1" t="s">
        <v>7</v>
      </c>
    </row>
    <row r="1919" spans="1:7" hidden="1">
      <c r="A1919" t="s">
        <v>88</v>
      </c>
      <c r="B1919" s="1" t="s">
        <v>3</v>
      </c>
      <c r="C1919" s="2">
        <v>1995</v>
      </c>
      <c r="D1919" s="2">
        <v>351</v>
      </c>
      <c r="E1919" s="2">
        <v>146</v>
      </c>
      <c r="F1919" s="2">
        <v>205</v>
      </c>
      <c r="G1919" s="1" t="s">
        <v>7</v>
      </c>
    </row>
    <row r="1920" spans="1:7" hidden="1">
      <c r="A1920" t="s">
        <v>88</v>
      </c>
      <c r="B1920" s="1" t="s">
        <v>3</v>
      </c>
      <c r="C1920" s="2">
        <v>1996</v>
      </c>
      <c r="D1920" s="2">
        <v>396</v>
      </c>
      <c r="E1920" s="2">
        <v>175</v>
      </c>
      <c r="F1920" s="2">
        <v>221</v>
      </c>
      <c r="G1920" s="1" t="s">
        <v>7</v>
      </c>
    </row>
    <row r="1921" spans="1:7" hidden="1">
      <c r="A1921" t="s">
        <v>88</v>
      </c>
      <c r="B1921" s="1" t="s">
        <v>3</v>
      </c>
      <c r="C1921" s="2">
        <v>1997</v>
      </c>
      <c r="D1921" s="2">
        <v>390</v>
      </c>
      <c r="E1921" s="2">
        <v>184</v>
      </c>
      <c r="F1921" s="2">
        <v>206</v>
      </c>
      <c r="G1921" s="1" t="s">
        <v>7</v>
      </c>
    </row>
    <row r="1922" spans="1:7" hidden="1">
      <c r="A1922" t="s">
        <v>88</v>
      </c>
      <c r="B1922" s="1" t="s">
        <v>3</v>
      </c>
      <c r="C1922" s="2">
        <v>1998</v>
      </c>
      <c r="D1922" s="2">
        <v>394</v>
      </c>
      <c r="E1922" s="2">
        <v>177</v>
      </c>
      <c r="F1922" s="2">
        <v>217</v>
      </c>
      <c r="G1922" s="1" t="s">
        <v>7</v>
      </c>
    </row>
    <row r="1923" spans="1:7" hidden="1">
      <c r="A1923" t="s">
        <v>88</v>
      </c>
      <c r="B1923" s="1" t="s">
        <v>3</v>
      </c>
      <c r="C1923" s="2">
        <v>1999</v>
      </c>
      <c r="D1923" s="2">
        <v>424</v>
      </c>
      <c r="E1923" s="2">
        <v>186</v>
      </c>
      <c r="F1923" s="2">
        <v>238</v>
      </c>
      <c r="G1923" s="1" t="s">
        <v>7</v>
      </c>
    </row>
    <row r="1924" spans="1:7" hidden="1">
      <c r="A1924" t="s">
        <v>88</v>
      </c>
      <c r="B1924" s="1" t="s">
        <v>3</v>
      </c>
      <c r="C1924" s="2">
        <v>2000</v>
      </c>
      <c r="D1924" s="2">
        <v>383</v>
      </c>
      <c r="E1924" s="2">
        <v>173</v>
      </c>
      <c r="F1924" s="2">
        <v>210</v>
      </c>
      <c r="G1924" s="1" t="s">
        <v>7</v>
      </c>
    </row>
    <row r="1925" spans="1:7" hidden="1">
      <c r="A1925" t="s">
        <v>88</v>
      </c>
      <c r="B1925" s="1" t="s">
        <v>3</v>
      </c>
      <c r="C1925" s="2">
        <v>2001</v>
      </c>
      <c r="D1925" s="2">
        <v>435</v>
      </c>
      <c r="E1925" s="2">
        <v>186</v>
      </c>
      <c r="F1925" s="2">
        <v>249</v>
      </c>
      <c r="G1925" s="1" t="s">
        <v>7</v>
      </c>
    </row>
    <row r="1926" spans="1:7" hidden="1">
      <c r="A1926" t="s">
        <v>88</v>
      </c>
      <c r="B1926" s="1" t="s">
        <v>3</v>
      </c>
      <c r="C1926" s="2">
        <v>2002</v>
      </c>
      <c r="D1926" s="2">
        <v>446</v>
      </c>
      <c r="E1926" s="2">
        <v>206</v>
      </c>
      <c r="F1926" s="2">
        <v>240</v>
      </c>
      <c r="G1926" s="1" t="s">
        <v>7</v>
      </c>
    </row>
    <row r="1927" spans="1:7" hidden="1">
      <c r="A1927" t="s">
        <v>88</v>
      </c>
      <c r="B1927" s="1" t="s">
        <v>3</v>
      </c>
      <c r="C1927" s="2">
        <v>2003</v>
      </c>
      <c r="D1927" s="2">
        <v>486</v>
      </c>
      <c r="E1927" s="2">
        <v>198</v>
      </c>
      <c r="F1927" s="2">
        <v>288</v>
      </c>
      <c r="G1927" s="1" t="s">
        <v>7</v>
      </c>
    </row>
    <row r="1928" spans="1:7" hidden="1">
      <c r="A1928" t="s">
        <v>88</v>
      </c>
      <c r="B1928" s="1" t="s">
        <v>3</v>
      </c>
      <c r="C1928" s="2">
        <v>2004</v>
      </c>
      <c r="D1928" s="2">
        <v>491</v>
      </c>
      <c r="E1928" s="2">
        <v>198</v>
      </c>
      <c r="F1928" s="2">
        <v>293</v>
      </c>
      <c r="G1928" s="1" t="s">
        <v>7</v>
      </c>
    </row>
    <row r="1929" spans="1:7" hidden="1">
      <c r="A1929" t="s">
        <v>88</v>
      </c>
      <c r="B1929" s="1" t="s">
        <v>3</v>
      </c>
      <c r="C1929" s="2">
        <v>2005</v>
      </c>
      <c r="D1929" s="2">
        <v>527</v>
      </c>
      <c r="E1929" s="2">
        <v>255</v>
      </c>
      <c r="F1929" s="2">
        <v>272</v>
      </c>
      <c r="G1929" s="1" t="s">
        <v>7</v>
      </c>
    </row>
    <row r="1930" spans="1:7" hidden="1">
      <c r="A1930" t="s">
        <v>88</v>
      </c>
      <c r="B1930" s="1" t="s">
        <v>3</v>
      </c>
      <c r="C1930" s="2">
        <v>2006</v>
      </c>
      <c r="D1930" s="2">
        <v>559</v>
      </c>
      <c r="E1930" s="2">
        <v>279</v>
      </c>
      <c r="F1930" s="2">
        <v>280</v>
      </c>
      <c r="G1930" s="1" t="s">
        <v>7</v>
      </c>
    </row>
    <row r="1931" spans="1:7" hidden="1">
      <c r="A1931" t="s">
        <v>88</v>
      </c>
      <c r="B1931" s="1" t="s">
        <v>3</v>
      </c>
      <c r="C1931" s="2">
        <v>2007</v>
      </c>
      <c r="D1931" s="2">
        <v>551</v>
      </c>
      <c r="E1931" s="2">
        <v>267</v>
      </c>
      <c r="F1931" s="2">
        <v>284</v>
      </c>
      <c r="G1931" s="1" t="s">
        <v>7</v>
      </c>
    </row>
    <row r="1932" spans="1:7" hidden="1">
      <c r="A1932" t="s">
        <v>88</v>
      </c>
      <c r="B1932" s="1" t="s">
        <v>3</v>
      </c>
      <c r="C1932" s="2">
        <v>2008</v>
      </c>
      <c r="D1932" s="2">
        <v>589</v>
      </c>
      <c r="E1932" s="2">
        <v>275</v>
      </c>
      <c r="F1932" s="2">
        <v>314</v>
      </c>
      <c r="G1932" s="1" t="s">
        <v>7</v>
      </c>
    </row>
    <row r="1933" spans="1:7" hidden="1">
      <c r="A1933" t="s">
        <v>88</v>
      </c>
      <c r="B1933" s="1" t="s">
        <v>3</v>
      </c>
      <c r="C1933" s="2">
        <v>2009</v>
      </c>
      <c r="D1933" s="2">
        <v>612</v>
      </c>
      <c r="E1933" s="2">
        <v>274</v>
      </c>
      <c r="F1933" s="2">
        <v>338</v>
      </c>
      <c r="G1933" s="1" t="s">
        <v>7</v>
      </c>
    </row>
    <row r="1934" spans="1:7">
      <c r="A1934" t="s">
        <v>88</v>
      </c>
      <c r="B1934" s="1" t="s">
        <v>3</v>
      </c>
      <c r="C1934" s="2">
        <v>2010</v>
      </c>
      <c r="D1934" s="2">
        <v>629</v>
      </c>
      <c r="E1934" s="2">
        <v>283</v>
      </c>
      <c r="F1934" s="2">
        <v>346</v>
      </c>
      <c r="G1934" s="1" t="s">
        <v>7</v>
      </c>
    </row>
    <row r="1935" spans="1:7" hidden="1">
      <c r="A1935" t="s">
        <v>88</v>
      </c>
      <c r="B1935" s="1" t="s">
        <v>3</v>
      </c>
      <c r="C1935" s="2">
        <v>2011</v>
      </c>
      <c r="D1935" s="2">
        <v>672</v>
      </c>
      <c r="E1935" s="2">
        <v>313</v>
      </c>
      <c r="F1935" s="2">
        <v>359</v>
      </c>
      <c r="G1935" s="1" t="s">
        <v>7</v>
      </c>
    </row>
    <row r="1936" spans="1:7" hidden="1">
      <c r="A1936" t="s">
        <v>88</v>
      </c>
      <c r="B1936" s="1" t="s">
        <v>3</v>
      </c>
      <c r="C1936" s="2">
        <v>2012</v>
      </c>
      <c r="D1936" s="2">
        <v>669</v>
      </c>
      <c r="E1936" s="2">
        <v>306</v>
      </c>
      <c r="F1936" s="2">
        <v>363</v>
      </c>
      <c r="G1936" s="1" t="s">
        <v>7</v>
      </c>
    </row>
    <row r="1937" spans="1:7" hidden="1">
      <c r="A1937" t="s">
        <v>88</v>
      </c>
      <c r="B1937" s="1" t="s">
        <v>3</v>
      </c>
      <c r="C1937" s="2">
        <v>2013</v>
      </c>
      <c r="D1937" s="2">
        <v>743</v>
      </c>
      <c r="E1937" s="2">
        <v>335</v>
      </c>
      <c r="F1937" s="2">
        <v>408</v>
      </c>
      <c r="G1937" s="1" t="s">
        <v>7</v>
      </c>
    </row>
    <row r="1938" spans="1:7" hidden="1">
      <c r="A1938" t="s">
        <v>88</v>
      </c>
      <c r="B1938" s="1" t="s">
        <v>3</v>
      </c>
      <c r="C1938" s="2">
        <v>2014</v>
      </c>
      <c r="D1938" s="2">
        <v>734</v>
      </c>
      <c r="E1938" s="2">
        <v>343</v>
      </c>
      <c r="F1938" s="2">
        <v>391</v>
      </c>
      <c r="G1938" s="1" t="s">
        <v>7</v>
      </c>
    </row>
    <row r="1939" spans="1:7" hidden="1">
      <c r="A1939" t="s">
        <v>88</v>
      </c>
      <c r="B1939" s="1" t="s">
        <v>3</v>
      </c>
      <c r="C1939" s="2">
        <v>2015</v>
      </c>
      <c r="D1939" s="2">
        <v>915</v>
      </c>
      <c r="E1939" s="2">
        <v>435</v>
      </c>
      <c r="F1939" s="2">
        <v>480</v>
      </c>
      <c r="G1939" s="1" t="s">
        <v>7</v>
      </c>
    </row>
    <row r="1940" spans="1:7" hidden="1">
      <c r="A1940" t="s">
        <v>88</v>
      </c>
      <c r="B1940" s="1" t="s">
        <v>3</v>
      </c>
      <c r="C1940" s="2">
        <v>2016</v>
      </c>
      <c r="D1940" s="2">
        <v>728</v>
      </c>
      <c r="E1940" s="2">
        <v>330</v>
      </c>
      <c r="F1940" s="2">
        <v>398</v>
      </c>
      <c r="G1940" s="1" t="s">
        <v>7</v>
      </c>
    </row>
    <row r="1941" spans="1:7" hidden="1">
      <c r="A1941" t="s">
        <v>88</v>
      </c>
      <c r="B1941" s="1" t="s">
        <v>3</v>
      </c>
      <c r="C1941" s="2">
        <v>2017</v>
      </c>
      <c r="D1941" s="2">
        <v>747</v>
      </c>
      <c r="E1941" s="2">
        <v>341</v>
      </c>
      <c r="F1941" s="2">
        <v>406</v>
      </c>
      <c r="G1941" s="1" t="s">
        <v>7</v>
      </c>
    </row>
    <row r="1942" spans="1:7" hidden="1">
      <c r="A1942" t="s">
        <v>88</v>
      </c>
      <c r="B1942" s="1" t="s">
        <v>3</v>
      </c>
      <c r="C1942" s="2">
        <v>2018</v>
      </c>
      <c r="D1942" s="2">
        <v>726</v>
      </c>
      <c r="E1942" s="2">
        <v>309</v>
      </c>
      <c r="F1942" s="2">
        <v>417</v>
      </c>
      <c r="G1942" s="1" t="s">
        <v>7</v>
      </c>
    </row>
    <row r="1943" spans="1:7">
      <c r="A1943" t="s">
        <v>88</v>
      </c>
      <c r="B1943" s="1" t="s">
        <v>3</v>
      </c>
      <c r="C1943" s="2">
        <v>2019</v>
      </c>
      <c r="D1943" s="2">
        <v>797</v>
      </c>
      <c r="E1943" s="2">
        <v>359</v>
      </c>
      <c r="F1943" s="2">
        <v>438</v>
      </c>
      <c r="G1943" s="1" t="s">
        <v>7</v>
      </c>
    </row>
    <row r="1944" spans="1:7" hidden="1">
      <c r="A1944" t="s">
        <v>88</v>
      </c>
      <c r="B1944" s="1" t="s">
        <v>3</v>
      </c>
      <c r="C1944" s="2">
        <v>2020</v>
      </c>
      <c r="D1944" s="2">
        <v>919</v>
      </c>
      <c r="E1944" s="2">
        <v>432</v>
      </c>
      <c r="F1944" s="2">
        <v>487</v>
      </c>
      <c r="G1944" s="1" t="s">
        <v>7</v>
      </c>
    </row>
    <row r="1945" spans="1:7">
      <c r="A1945" t="s">
        <v>88</v>
      </c>
      <c r="B1945" s="1" t="s">
        <v>3</v>
      </c>
      <c r="C1945" s="2">
        <v>2021</v>
      </c>
      <c r="D1945" s="3">
        <v>1121</v>
      </c>
      <c r="E1945" s="2">
        <v>517</v>
      </c>
      <c r="F1945" s="2">
        <v>604</v>
      </c>
      <c r="G1945" s="1" t="s">
        <v>7</v>
      </c>
    </row>
    <row r="1946" spans="1:7" hidden="1">
      <c r="A1946" t="s">
        <v>88</v>
      </c>
      <c r="B1946" s="1" t="s">
        <v>3</v>
      </c>
      <c r="C1946" s="2">
        <v>2022</v>
      </c>
      <c r="D1946" s="2">
        <v>956</v>
      </c>
      <c r="E1946" s="2">
        <v>433</v>
      </c>
      <c r="F1946" s="2">
        <v>522</v>
      </c>
      <c r="G1946" s="2">
        <v>1</v>
      </c>
    </row>
    <row r="1947" spans="1:7" hidden="1">
      <c r="A1947" t="s">
        <v>88</v>
      </c>
      <c r="B1947" s="1" t="s">
        <v>3</v>
      </c>
      <c r="C1947" s="2">
        <v>2023</v>
      </c>
      <c r="D1947" s="2">
        <v>870</v>
      </c>
      <c r="E1947" s="2">
        <v>368</v>
      </c>
      <c r="F1947" s="2">
        <v>502</v>
      </c>
      <c r="G1947" s="1" t="s">
        <v>7</v>
      </c>
    </row>
    <row r="1948" spans="1:7" hidden="1">
      <c r="A1948" t="s">
        <v>88</v>
      </c>
      <c r="B1948" s="1" t="s">
        <v>3</v>
      </c>
      <c r="C1948" s="2">
        <v>2024</v>
      </c>
      <c r="D1948" s="2">
        <v>901</v>
      </c>
      <c r="E1948" s="2">
        <v>412</v>
      </c>
      <c r="F1948" s="2">
        <v>489</v>
      </c>
      <c r="G1948" s="1" t="s">
        <v>7</v>
      </c>
    </row>
    <row r="1949" spans="1:7" hidden="1">
      <c r="A1949" t="s">
        <v>88</v>
      </c>
      <c r="B1949" s="1" t="s">
        <v>11</v>
      </c>
      <c r="C1949" s="2">
        <v>1993</v>
      </c>
      <c r="D1949" s="2">
        <v>1</v>
      </c>
      <c r="E1949" s="2">
        <v>1</v>
      </c>
      <c r="F1949" s="1" t="s">
        <v>7</v>
      </c>
      <c r="G1949" s="1" t="s">
        <v>7</v>
      </c>
    </row>
    <row r="1950" spans="1:7" hidden="1">
      <c r="A1950" t="s">
        <v>88</v>
      </c>
      <c r="B1950" s="1" t="s">
        <v>13</v>
      </c>
      <c r="C1950" s="2">
        <v>1997</v>
      </c>
      <c r="D1950" s="2">
        <v>1</v>
      </c>
      <c r="E1950" s="2">
        <v>1</v>
      </c>
      <c r="F1950" s="1" t="s">
        <v>7</v>
      </c>
      <c r="G1950" s="1" t="s">
        <v>7</v>
      </c>
    </row>
    <row r="1951" spans="1:7" hidden="1">
      <c r="A1951" t="s">
        <v>88</v>
      </c>
      <c r="B1951" s="1" t="s">
        <v>22</v>
      </c>
      <c r="C1951" s="2">
        <v>2013</v>
      </c>
      <c r="D1951" s="2">
        <v>1</v>
      </c>
      <c r="E1951" s="1" t="s">
        <v>7</v>
      </c>
      <c r="F1951" s="2">
        <v>1</v>
      </c>
      <c r="G1951" s="1" t="s">
        <v>7</v>
      </c>
    </row>
    <row r="1952" spans="1:7" hidden="1">
      <c r="A1952" t="s">
        <v>88</v>
      </c>
      <c r="B1952" s="1" t="s">
        <v>23</v>
      </c>
      <c r="C1952" s="2">
        <v>2011</v>
      </c>
      <c r="D1952" s="2">
        <v>1</v>
      </c>
      <c r="E1952" s="2">
        <v>1</v>
      </c>
      <c r="F1952" s="1" t="s">
        <v>7</v>
      </c>
      <c r="G1952" s="1" t="s">
        <v>7</v>
      </c>
    </row>
    <row r="1953" spans="1:7" hidden="1">
      <c r="A1953" t="s">
        <v>88</v>
      </c>
      <c r="B1953" s="1" t="s">
        <v>31</v>
      </c>
      <c r="C1953" s="2">
        <v>1995</v>
      </c>
      <c r="D1953" s="2">
        <v>1</v>
      </c>
      <c r="E1953" s="1" t="s">
        <v>7</v>
      </c>
      <c r="F1953" s="2">
        <v>1</v>
      </c>
      <c r="G1953" s="1" t="s">
        <v>7</v>
      </c>
    </row>
    <row r="1954" spans="1:7" hidden="1">
      <c r="A1954" t="s">
        <v>88</v>
      </c>
      <c r="B1954" s="1" t="s">
        <v>35</v>
      </c>
      <c r="C1954" s="2">
        <v>1990</v>
      </c>
      <c r="D1954" s="2">
        <v>294</v>
      </c>
      <c r="E1954" s="2">
        <v>114</v>
      </c>
      <c r="F1954" s="2">
        <v>179</v>
      </c>
      <c r="G1954" s="2">
        <v>1</v>
      </c>
    </row>
    <row r="1955" spans="1:7" hidden="1">
      <c r="A1955" t="s">
        <v>88</v>
      </c>
      <c r="B1955" s="1" t="s">
        <v>35</v>
      </c>
      <c r="C1955" s="2">
        <v>1994</v>
      </c>
      <c r="D1955" s="2">
        <v>1</v>
      </c>
      <c r="E1955" s="2">
        <v>1</v>
      </c>
      <c r="F1955" s="1" t="s">
        <v>7</v>
      </c>
      <c r="G1955" s="1" t="s">
        <v>7</v>
      </c>
    </row>
    <row r="1956" spans="1:7" hidden="1">
      <c r="A1956" t="s">
        <v>88</v>
      </c>
      <c r="B1956" s="1" t="s">
        <v>35</v>
      </c>
      <c r="C1956" s="2">
        <v>1998</v>
      </c>
      <c r="D1956" s="2">
        <v>1</v>
      </c>
      <c r="E1956" s="1" t="s">
        <v>7</v>
      </c>
      <c r="F1956" s="2">
        <v>1</v>
      </c>
      <c r="G1956" s="1" t="s">
        <v>7</v>
      </c>
    </row>
    <row r="1957" spans="1:7" hidden="1">
      <c r="A1957" t="s">
        <v>88</v>
      </c>
      <c r="B1957" s="1" t="s">
        <v>36</v>
      </c>
      <c r="C1957" s="2">
        <v>1991</v>
      </c>
      <c r="D1957" s="2">
        <v>307</v>
      </c>
      <c r="E1957" s="2">
        <v>127</v>
      </c>
      <c r="F1957" s="2">
        <v>180</v>
      </c>
      <c r="G1957" s="1" t="s">
        <v>7</v>
      </c>
    </row>
    <row r="1958" spans="1:7" hidden="1">
      <c r="A1958" t="s">
        <v>88</v>
      </c>
      <c r="B1958" s="1" t="s">
        <v>36</v>
      </c>
      <c r="C1958" s="2">
        <v>1995</v>
      </c>
      <c r="D1958" s="2">
        <v>1</v>
      </c>
      <c r="E1958" s="2">
        <v>1</v>
      </c>
      <c r="F1958" s="1" t="s">
        <v>7</v>
      </c>
      <c r="G1958" s="1" t="s">
        <v>7</v>
      </c>
    </row>
    <row r="1959" spans="1:7" hidden="1">
      <c r="A1959" t="s">
        <v>88</v>
      </c>
      <c r="B1959" s="1" t="s">
        <v>37</v>
      </c>
      <c r="C1959" s="2">
        <v>1992</v>
      </c>
      <c r="D1959" s="2">
        <v>315</v>
      </c>
      <c r="E1959" s="2">
        <v>148</v>
      </c>
      <c r="F1959" s="2">
        <v>167</v>
      </c>
      <c r="G1959" s="1" t="s">
        <v>7</v>
      </c>
    </row>
    <row r="1960" spans="1:7" hidden="1">
      <c r="A1960" t="s">
        <v>88</v>
      </c>
      <c r="B1960" s="1" t="s">
        <v>37</v>
      </c>
      <c r="C1960" s="2">
        <v>1993</v>
      </c>
      <c r="D1960" s="2">
        <v>2</v>
      </c>
      <c r="E1960" s="1" t="s">
        <v>7</v>
      </c>
      <c r="F1960" s="2">
        <v>2</v>
      </c>
      <c r="G1960" s="1" t="s">
        <v>7</v>
      </c>
    </row>
    <row r="1961" spans="1:7" hidden="1">
      <c r="A1961" t="s">
        <v>88</v>
      </c>
      <c r="B1961" s="1" t="s">
        <v>37</v>
      </c>
      <c r="C1961" s="2">
        <v>1994</v>
      </c>
      <c r="D1961" s="2">
        <v>1</v>
      </c>
      <c r="E1961" s="1" t="s">
        <v>7</v>
      </c>
      <c r="F1961" s="2">
        <v>1</v>
      </c>
      <c r="G1961" s="1" t="s">
        <v>7</v>
      </c>
    </row>
    <row r="1962" spans="1:7" hidden="1">
      <c r="A1962" t="s">
        <v>88</v>
      </c>
      <c r="B1962" s="1" t="s">
        <v>38</v>
      </c>
      <c r="C1962" s="2">
        <v>1993</v>
      </c>
      <c r="D1962" s="2">
        <v>313</v>
      </c>
      <c r="E1962" s="2">
        <v>147</v>
      </c>
      <c r="F1962" s="2">
        <v>166</v>
      </c>
      <c r="G1962" s="1" t="s">
        <v>7</v>
      </c>
    </row>
    <row r="1963" spans="1:7" hidden="1">
      <c r="A1963" t="s">
        <v>88</v>
      </c>
      <c r="B1963" s="1" t="s">
        <v>38</v>
      </c>
      <c r="C1963" s="2">
        <v>1995</v>
      </c>
      <c r="D1963" s="2">
        <v>1</v>
      </c>
      <c r="E1963" s="2">
        <v>1</v>
      </c>
      <c r="F1963" s="1" t="s">
        <v>7</v>
      </c>
      <c r="G1963" s="1" t="s">
        <v>7</v>
      </c>
    </row>
    <row r="1964" spans="1:7" hidden="1">
      <c r="A1964" t="s">
        <v>88</v>
      </c>
      <c r="B1964" s="1" t="s">
        <v>39</v>
      </c>
      <c r="C1964" s="2">
        <v>1994</v>
      </c>
      <c r="D1964" s="2">
        <v>302</v>
      </c>
      <c r="E1964" s="2">
        <v>135</v>
      </c>
      <c r="F1964" s="2">
        <v>167</v>
      </c>
      <c r="G1964" s="1" t="s">
        <v>7</v>
      </c>
    </row>
    <row r="1965" spans="1:7" hidden="1">
      <c r="A1965" t="s">
        <v>88</v>
      </c>
      <c r="B1965" s="1" t="s">
        <v>39</v>
      </c>
      <c r="C1965" s="2">
        <v>1995</v>
      </c>
      <c r="D1965" s="2">
        <v>1</v>
      </c>
      <c r="E1965" s="1" t="s">
        <v>7</v>
      </c>
      <c r="F1965" s="2">
        <v>1</v>
      </c>
      <c r="G1965" s="1" t="s">
        <v>7</v>
      </c>
    </row>
    <row r="1966" spans="1:7" hidden="1">
      <c r="A1966" t="s">
        <v>88</v>
      </c>
      <c r="B1966" s="1" t="s">
        <v>39</v>
      </c>
      <c r="C1966" s="2">
        <v>1999</v>
      </c>
      <c r="D1966" s="2">
        <v>1</v>
      </c>
      <c r="E1966" s="1" t="s">
        <v>7</v>
      </c>
      <c r="F1966" s="2">
        <v>1</v>
      </c>
      <c r="G1966" s="1" t="s">
        <v>7</v>
      </c>
    </row>
    <row r="1967" spans="1:7" hidden="1">
      <c r="A1967" t="s">
        <v>88</v>
      </c>
      <c r="B1967" s="1" t="s">
        <v>40</v>
      </c>
      <c r="C1967" s="2">
        <v>1995</v>
      </c>
      <c r="D1967" s="2">
        <v>347</v>
      </c>
      <c r="E1967" s="2">
        <v>144</v>
      </c>
      <c r="F1967" s="2">
        <v>203</v>
      </c>
      <c r="G1967" s="1" t="s">
        <v>7</v>
      </c>
    </row>
    <row r="1968" spans="1:7" hidden="1">
      <c r="A1968" t="s">
        <v>88</v>
      </c>
      <c r="B1968" s="1" t="s">
        <v>40</v>
      </c>
      <c r="C1968" s="2">
        <v>2004</v>
      </c>
      <c r="D1968" s="2">
        <v>1</v>
      </c>
      <c r="E1968" s="2">
        <v>1</v>
      </c>
      <c r="F1968" s="1" t="s">
        <v>7</v>
      </c>
      <c r="G1968" s="1" t="s">
        <v>7</v>
      </c>
    </row>
    <row r="1969" spans="1:7" hidden="1">
      <c r="A1969" t="s">
        <v>88</v>
      </c>
      <c r="B1969" s="1" t="s">
        <v>41</v>
      </c>
      <c r="C1969" s="2">
        <v>1996</v>
      </c>
      <c r="D1969" s="2">
        <v>396</v>
      </c>
      <c r="E1969" s="2">
        <v>175</v>
      </c>
      <c r="F1969" s="2">
        <v>221</v>
      </c>
      <c r="G1969" s="1" t="s">
        <v>7</v>
      </c>
    </row>
    <row r="1970" spans="1:7" hidden="1">
      <c r="A1970" t="s">
        <v>88</v>
      </c>
      <c r="B1970" s="1" t="s">
        <v>41</v>
      </c>
      <c r="C1970" s="2">
        <v>1997</v>
      </c>
      <c r="D1970" s="2">
        <v>1</v>
      </c>
      <c r="E1970" s="2">
        <v>1</v>
      </c>
      <c r="F1970" s="1" t="s">
        <v>7</v>
      </c>
      <c r="G1970" s="1" t="s">
        <v>7</v>
      </c>
    </row>
    <row r="1971" spans="1:7" hidden="1">
      <c r="A1971" t="s">
        <v>88</v>
      </c>
      <c r="B1971" s="1" t="s">
        <v>42</v>
      </c>
      <c r="C1971" s="2">
        <v>1997</v>
      </c>
      <c r="D1971" s="2">
        <v>388</v>
      </c>
      <c r="E1971" s="2">
        <v>182</v>
      </c>
      <c r="F1971" s="2">
        <v>206</v>
      </c>
      <c r="G1971" s="1" t="s">
        <v>7</v>
      </c>
    </row>
    <row r="1972" spans="1:7" hidden="1">
      <c r="A1972" t="s">
        <v>88</v>
      </c>
      <c r="B1972" s="1" t="s">
        <v>42</v>
      </c>
      <c r="C1972" s="2">
        <v>1998</v>
      </c>
      <c r="D1972" s="2">
        <v>3</v>
      </c>
      <c r="E1972" s="2">
        <v>2</v>
      </c>
      <c r="F1972" s="2">
        <v>1</v>
      </c>
      <c r="G1972" s="1" t="s">
        <v>7</v>
      </c>
    </row>
    <row r="1973" spans="1:7" hidden="1">
      <c r="A1973" t="s">
        <v>88</v>
      </c>
      <c r="B1973" s="1" t="s">
        <v>42</v>
      </c>
      <c r="C1973" s="2">
        <v>1999</v>
      </c>
      <c r="D1973" s="2">
        <v>1</v>
      </c>
      <c r="E1973" s="1" t="s">
        <v>7</v>
      </c>
      <c r="F1973" s="2">
        <v>1</v>
      </c>
      <c r="G1973" s="1" t="s">
        <v>7</v>
      </c>
    </row>
    <row r="1974" spans="1:7" hidden="1">
      <c r="A1974" t="s">
        <v>88</v>
      </c>
      <c r="B1974" s="1" t="s">
        <v>43</v>
      </c>
      <c r="C1974" s="2">
        <v>1998</v>
      </c>
      <c r="D1974" s="2">
        <v>390</v>
      </c>
      <c r="E1974" s="2">
        <v>175</v>
      </c>
      <c r="F1974" s="2">
        <v>215</v>
      </c>
      <c r="G1974" s="1" t="s">
        <v>7</v>
      </c>
    </row>
    <row r="1975" spans="1:7" hidden="1">
      <c r="A1975" t="s">
        <v>88</v>
      </c>
      <c r="B1975" s="1" t="s">
        <v>43</v>
      </c>
      <c r="C1975" s="2">
        <v>1999</v>
      </c>
      <c r="D1975" s="2">
        <v>3</v>
      </c>
      <c r="E1975" s="2">
        <v>2</v>
      </c>
      <c r="F1975" s="2">
        <v>1</v>
      </c>
      <c r="G1975" s="1" t="s">
        <v>7</v>
      </c>
    </row>
    <row r="1976" spans="1:7" hidden="1">
      <c r="A1976" t="s">
        <v>88</v>
      </c>
      <c r="B1976" s="1" t="s">
        <v>44</v>
      </c>
      <c r="C1976" s="2">
        <v>1999</v>
      </c>
      <c r="D1976" s="2">
        <v>419</v>
      </c>
      <c r="E1976" s="2">
        <v>184</v>
      </c>
      <c r="F1976" s="2">
        <v>235</v>
      </c>
      <c r="G1976" s="1" t="s">
        <v>7</v>
      </c>
    </row>
    <row r="1977" spans="1:7" hidden="1">
      <c r="A1977" t="s">
        <v>88</v>
      </c>
      <c r="B1977" s="1" t="s">
        <v>45</v>
      </c>
      <c r="C1977" s="2">
        <v>2000</v>
      </c>
      <c r="D1977" s="2">
        <v>383</v>
      </c>
      <c r="E1977" s="2">
        <v>173</v>
      </c>
      <c r="F1977" s="2">
        <v>210</v>
      </c>
      <c r="G1977" s="1" t="s">
        <v>7</v>
      </c>
    </row>
    <row r="1978" spans="1:7" hidden="1">
      <c r="A1978" t="s">
        <v>88</v>
      </c>
      <c r="B1978" s="1" t="s">
        <v>45</v>
      </c>
      <c r="C1978" s="2">
        <v>2001</v>
      </c>
      <c r="D1978" s="2">
        <v>1</v>
      </c>
      <c r="E1978" s="2">
        <v>1</v>
      </c>
      <c r="F1978" s="1" t="s">
        <v>7</v>
      </c>
      <c r="G1978" s="1" t="s">
        <v>7</v>
      </c>
    </row>
    <row r="1979" spans="1:7" hidden="1">
      <c r="A1979" t="s">
        <v>88</v>
      </c>
      <c r="B1979" s="1" t="s">
        <v>45</v>
      </c>
      <c r="C1979" s="2">
        <v>2008</v>
      </c>
      <c r="D1979" s="2">
        <v>1</v>
      </c>
      <c r="E1979" s="1" t="s">
        <v>7</v>
      </c>
      <c r="F1979" s="2">
        <v>1</v>
      </c>
      <c r="G1979" s="1" t="s">
        <v>7</v>
      </c>
    </row>
    <row r="1980" spans="1:7" hidden="1">
      <c r="A1980" t="s">
        <v>88</v>
      </c>
      <c r="B1980" s="1" t="s">
        <v>45</v>
      </c>
      <c r="C1980" s="2">
        <v>2009</v>
      </c>
      <c r="D1980" s="2">
        <v>1</v>
      </c>
      <c r="E1980" s="2">
        <v>1</v>
      </c>
      <c r="F1980" s="1" t="s">
        <v>7</v>
      </c>
      <c r="G1980" s="1" t="s">
        <v>7</v>
      </c>
    </row>
    <row r="1981" spans="1:7" hidden="1">
      <c r="A1981" t="s">
        <v>88</v>
      </c>
      <c r="B1981" s="1" t="s">
        <v>46</v>
      </c>
      <c r="C1981" s="2">
        <v>2001</v>
      </c>
      <c r="D1981" s="2">
        <v>434</v>
      </c>
      <c r="E1981" s="2">
        <v>185</v>
      </c>
      <c r="F1981" s="2">
        <v>249</v>
      </c>
      <c r="G1981" s="1" t="s">
        <v>7</v>
      </c>
    </row>
    <row r="1982" spans="1:7" hidden="1">
      <c r="A1982" t="s">
        <v>88</v>
      </c>
      <c r="B1982" s="1" t="s">
        <v>46</v>
      </c>
      <c r="C1982" s="2">
        <v>2002</v>
      </c>
      <c r="D1982" s="2">
        <v>2</v>
      </c>
      <c r="E1982" s="2">
        <v>1</v>
      </c>
      <c r="F1982" s="2">
        <v>1</v>
      </c>
      <c r="G1982" s="1" t="s">
        <v>7</v>
      </c>
    </row>
    <row r="1983" spans="1:7" hidden="1">
      <c r="A1983" t="s">
        <v>88</v>
      </c>
      <c r="B1983" s="1" t="s">
        <v>46</v>
      </c>
      <c r="C1983" s="2">
        <v>2011</v>
      </c>
      <c r="D1983" s="2">
        <v>1</v>
      </c>
      <c r="E1983" s="1" t="s">
        <v>7</v>
      </c>
      <c r="F1983" s="2">
        <v>1</v>
      </c>
      <c r="G1983" s="1" t="s">
        <v>7</v>
      </c>
    </row>
    <row r="1984" spans="1:7" hidden="1">
      <c r="A1984" t="s">
        <v>88</v>
      </c>
      <c r="B1984" s="1" t="s">
        <v>47</v>
      </c>
      <c r="C1984" s="2">
        <v>2002</v>
      </c>
      <c r="D1984" s="2">
        <v>444</v>
      </c>
      <c r="E1984" s="2">
        <v>205</v>
      </c>
      <c r="F1984" s="2">
        <v>239</v>
      </c>
      <c r="G1984" s="1" t="s">
        <v>7</v>
      </c>
    </row>
    <row r="1985" spans="1:7" hidden="1">
      <c r="A1985" t="s">
        <v>88</v>
      </c>
      <c r="B1985" s="1" t="s">
        <v>47</v>
      </c>
      <c r="C1985" s="2">
        <v>2003</v>
      </c>
      <c r="D1985" s="2">
        <v>1</v>
      </c>
      <c r="E1985" s="1" t="s">
        <v>7</v>
      </c>
      <c r="F1985" s="2">
        <v>1</v>
      </c>
      <c r="G1985" s="1" t="s">
        <v>7</v>
      </c>
    </row>
    <row r="1986" spans="1:7" hidden="1">
      <c r="A1986" t="s">
        <v>88</v>
      </c>
      <c r="B1986" s="1" t="s">
        <v>48</v>
      </c>
      <c r="C1986" s="2">
        <v>2003</v>
      </c>
      <c r="D1986" s="2">
        <v>485</v>
      </c>
      <c r="E1986" s="2">
        <v>198</v>
      </c>
      <c r="F1986" s="2">
        <v>287</v>
      </c>
      <c r="G1986" s="1" t="s">
        <v>7</v>
      </c>
    </row>
    <row r="1987" spans="1:7" hidden="1">
      <c r="A1987" t="s">
        <v>88</v>
      </c>
      <c r="B1987" s="1" t="s">
        <v>48</v>
      </c>
      <c r="C1987" s="2">
        <v>2004</v>
      </c>
      <c r="D1987" s="2">
        <v>2</v>
      </c>
      <c r="E1987" s="1" t="s">
        <v>7</v>
      </c>
      <c r="F1987" s="2">
        <v>2</v>
      </c>
      <c r="G1987" s="1" t="s">
        <v>7</v>
      </c>
    </row>
    <row r="1988" spans="1:7" hidden="1">
      <c r="A1988" t="s">
        <v>88</v>
      </c>
      <c r="B1988" s="1" t="s">
        <v>49</v>
      </c>
      <c r="C1988" s="2">
        <v>2004</v>
      </c>
      <c r="D1988" s="2">
        <v>488</v>
      </c>
      <c r="E1988" s="2">
        <v>197</v>
      </c>
      <c r="F1988" s="2">
        <v>291</v>
      </c>
      <c r="G1988" s="1" t="s">
        <v>7</v>
      </c>
    </row>
    <row r="1989" spans="1:7" hidden="1">
      <c r="A1989" t="s">
        <v>88</v>
      </c>
      <c r="B1989" s="1" t="s">
        <v>49</v>
      </c>
      <c r="C1989" s="2">
        <v>2005</v>
      </c>
      <c r="D1989" s="2">
        <v>3</v>
      </c>
      <c r="E1989" s="2">
        <v>2</v>
      </c>
      <c r="F1989" s="2">
        <v>1</v>
      </c>
      <c r="G1989" s="1" t="s">
        <v>7</v>
      </c>
    </row>
    <row r="1990" spans="1:7" hidden="1">
      <c r="A1990" t="s">
        <v>88</v>
      </c>
      <c r="B1990" s="1" t="s">
        <v>49</v>
      </c>
      <c r="C1990" s="2">
        <v>2006</v>
      </c>
      <c r="D1990" s="2">
        <v>1</v>
      </c>
      <c r="E1990" s="1" t="s">
        <v>7</v>
      </c>
      <c r="F1990" s="2">
        <v>1</v>
      </c>
      <c r="G1990" s="1" t="s">
        <v>7</v>
      </c>
    </row>
    <row r="1991" spans="1:7" hidden="1">
      <c r="A1991" t="s">
        <v>88</v>
      </c>
      <c r="B1991" s="1" t="s">
        <v>50</v>
      </c>
      <c r="C1991" s="2">
        <v>2005</v>
      </c>
      <c r="D1991" s="2">
        <v>524</v>
      </c>
      <c r="E1991" s="2">
        <v>253</v>
      </c>
      <c r="F1991" s="2">
        <v>271</v>
      </c>
      <c r="G1991" s="1" t="s">
        <v>7</v>
      </c>
    </row>
    <row r="1992" spans="1:7" hidden="1">
      <c r="A1992" t="s">
        <v>88</v>
      </c>
      <c r="B1992" s="1" t="s">
        <v>51</v>
      </c>
      <c r="C1992" s="2">
        <v>2006</v>
      </c>
      <c r="D1992" s="2">
        <v>558</v>
      </c>
      <c r="E1992" s="2">
        <v>279</v>
      </c>
      <c r="F1992" s="2">
        <v>279</v>
      </c>
      <c r="G1992" s="1" t="s">
        <v>7</v>
      </c>
    </row>
    <row r="1993" spans="1:7" hidden="1">
      <c r="A1993" t="s">
        <v>88</v>
      </c>
      <c r="B1993" s="1" t="s">
        <v>51</v>
      </c>
      <c r="C1993" s="2">
        <v>2007</v>
      </c>
      <c r="D1993" s="2">
        <v>3</v>
      </c>
      <c r="E1993" s="2">
        <v>2</v>
      </c>
      <c r="F1993" s="2">
        <v>1</v>
      </c>
      <c r="G1993" s="1" t="s">
        <v>7</v>
      </c>
    </row>
    <row r="1994" spans="1:7" hidden="1">
      <c r="A1994" t="s">
        <v>88</v>
      </c>
      <c r="B1994" s="1" t="s">
        <v>52</v>
      </c>
      <c r="C1994" s="2">
        <v>2007</v>
      </c>
      <c r="D1994" s="2">
        <v>548</v>
      </c>
      <c r="E1994" s="2">
        <v>265</v>
      </c>
      <c r="F1994" s="2">
        <v>283</v>
      </c>
      <c r="G1994" s="1" t="s">
        <v>7</v>
      </c>
    </row>
    <row r="1995" spans="1:7" hidden="1">
      <c r="A1995" t="s">
        <v>88</v>
      </c>
      <c r="B1995" s="1" t="s">
        <v>52</v>
      </c>
      <c r="C1995" s="2">
        <v>2008</v>
      </c>
      <c r="D1995" s="2">
        <v>3</v>
      </c>
      <c r="E1995" s="2">
        <v>2</v>
      </c>
      <c r="F1995" s="2">
        <v>1</v>
      </c>
      <c r="G1995" s="1" t="s">
        <v>7</v>
      </c>
    </row>
    <row r="1996" spans="1:7" hidden="1">
      <c r="A1996" t="s">
        <v>88</v>
      </c>
      <c r="B1996" s="1" t="s">
        <v>53</v>
      </c>
      <c r="C1996" s="2">
        <v>2008</v>
      </c>
      <c r="D1996" s="2">
        <v>585</v>
      </c>
      <c r="E1996" s="2">
        <v>273</v>
      </c>
      <c r="F1996" s="2">
        <v>312</v>
      </c>
      <c r="G1996" s="1" t="s">
        <v>7</v>
      </c>
    </row>
    <row r="1997" spans="1:7" hidden="1">
      <c r="A1997" t="s">
        <v>88</v>
      </c>
      <c r="B1997" s="1" t="s">
        <v>53</v>
      </c>
      <c r="C1997" s="2">
        <v>2009</v>
      </c>
      <c r="D1997" s="2">
        <v>3</v>
      </c>
      <c r="E1997" s="1" t="s">
        <v>7</v>
      </c>
      <c r="F1997" s="2">
        <v>3</v>
      </c>
      <c r="G1997" s="1" t="s">
        <v>7</v>
      </c>
    </row>
    <row r="1998" spans="1:7" hidden="1">
      <c r="A1998" t="s">
        <v>88</v>
      </c>
      <c r="B1998" s="1" t="s">
        <v>54</v>
      </c>
      <c r="C1998" s="2">
        <v>2009</v>
      </c>
      <c r="D1998" s="2">
        <v>608</v>
      </c>
      <c r="E1998" s="2">
        <v>273</v>
      </c>
      <c r="F1998" s="2">
        <v>335</v>
      </c>
      <c r="G1998" s="1" t="s">
        <v>7</v>
      </c>
    </row>
    <row r="1999" spans="1:7" hidden="1">
      <c r="A1999" t="s">
        <v>88</v>
      </c>
      <c r="B1999" s="1" t="s">
        <v>54</v>
      </c>
      <c r="C1999" s="2">
        <v>2010</v>
      </c>
      <c r="D1999" s="2">
        <v>4</v>
      </c>
      <c r="E1999" s="2">
        <v>2</v>
      </c>
      <c r="F1999" s="2">
        <v>2</v>
      </c>
      <c r="G1999" s="1" t="s">
        <v>7</v>
      </c>
    </row>
    <row r="2000" spans="1:7" hidden="1">
      <c r="A2000" t="s">
        <v>88</v>
      </c>
      <c r="B2000" s="1" t="s">
        <v>55</v>
      </c>
      <c r="C2000" s="2">
        <v>2010</v>
      </c>
      <c r="D2000" s="2">
        <v>625</v>
      </c>
      <c r="E2000" s="2">
        <v>281</v>
      </c>
      <c r="F2000" s="2">
        <v>344</v>
      </c>
      <c r="G2000" s="1" t="s">
        <v>7</v>
      </c>
    </row>
    <row r="2001" spans="1:7" hidden="1">
      <c r="A2001" t="s">
        <v>88</v>
      </c>
      <c r="B2001" s="1" t="s">
        <v>55</v>
      </c>
      <c r="C2001" s="2">
        <v>2011</v>
      </c>
      <c r="D2001" s="2">
        <v>2</v>
      </c>
      <c r="E2001" s="2">
        <v>1</v>
      </c>
      <c r="F2001" s="2">
        <v>1</v>
      </c>
      <c r="G2001" s="1" t="s">
        <v>7</v>
      </c>
    </row>
    <row r="2002" spans="1:7" hidden="1">
      <c r="A2002" t="s">
        <v>88</v>
      </c>
      <c r="B2002" s="1" t="s">
        <v>55</v>
      </c>
      <c r="C2002" s="2">
        <v>2012</v>
      </c>
      <c r="D2002" s="2">
        <v>1</v>
      </c>
      <c r="E2002" s="1" t="s">
        <v>7</v>
      </c>
      <c r="F2002" s="2">
        <v>1</v>
      </c>
      <c r="G2002" s="1" t="s">
        <v>7</v>
      </c>
    </row>
    <row r="2003" spans="1:7" hidden="1">
      <c r="A2003" t="s">
        <v>88</v>
      </c>
      <c r="B2003" s="1" t="s">
        <v>56</v>
      </c>
      <c r="C2003" s="2">
        <v>2011</v>
      </c>
      <c r="D2003" s="2">
        <v>668</v>
      </c>
      <c r="E2003" s="2">
        <v>311</v>
      </c>
      <c r="F2003" s="2">
        <v>357</v>
      </c>
      <c r="G2003" s="1" t="s">
        <v>7</v>
      </c>
    </row>
    <row r="2004" spans="1:7" hidden="1">
      <c r="A2004" t="s">
        <v>88</v>
      </c>
      <c r="B2004" s="1" t="s">
        <v>56</v>
      </c>
      <c r="C2004" s="2">
        <v>2012</v>
      </c>
      <c r="D2004" s="2">
        <v>4</v>
      </c>
      <c r="E2004" s="2">
        <v>4</v>
      </c>
      <c r="F2004" s="1" t="s">
        <v>7</v>
      </c>
      <c r="G2004" s="1" t="s">
        <v>7</v>
      </c>
    </row>
    <row r="2005" spans="1:7" hidden="1">
      <c r="A2005" t="s">
        <v>88</v>
      </c>
      <c r="B2005" s="1" t="s">
        <v>57</v>
      </c>
      <c r="C2005" s="2">
        <v>2012</v>
      </c>
      <c r="D2005" s="2">
        <v>664</v>
      </c>
      <c r="E2005" s="2">
        <v>302</v>
      </c>
      <c r="F2005" s="2">
        <v>362</v>
      </c>
      <c r="G2005" s="1" t="s">
        <v>7</v>
      </c>
    </row>
    <row r="2006" spans="1:7" hidden="1">
      <c r="A2006" t="s">
        <v>88</v>
      </c>
      <c r="B2006" s="1" t="s">
        <v>57</v>
      </c>
      <c r="C2006" s="2">
        <v>2013</v>
      </c>
      <c r="D2006" s="2">
        <v>4</v>
      </c>
      <c r="E2006" s="1" t="s">
        <v>7</v>
      </c>
      <c r="F2006" s="2">
        <v>4</v>
      </c>
      <c r="G2006" s="1" t="s">
        <v>7</v>
      </c>
    </row>
    <row r="2007" spans="1:7" hidden="1">
      <c r="A2007" t="s">
        <v>88</v>
      </c>
      <c r="B2007" s="1" t="s">
        <v>58</v>
      </c>
      <c r="C2007" s="2">
        <v>2013</v>
      </c>
      <c r="D2007" s="2">
        <v>738</v>
      </c>
      <c r="E2007" s="2">
        <v>335</v>
      </c>
      <c r="F2007" s="2">
        <v>403</v>
      </c>
      <c r="G2007" s="1" t="s">
        <v>7</v>
      </c>
    </row>
    <row r="2008" spans="1:7" hidden="1">
      <c r="A2008" t="s">
        <v>88</v>
      </c>
      <c r="B2008" s="1" t="s">
        <v>58</v>
      </c>
      <c r="C2008" s="2">
        <v>2014</v>
      </c>
      <c r="D2008" s="2">
        <v>3</v>
      </c>
      <c r="E2008" s="2">
        <v>3</v>
      </c>
      <c r="F2008" s="1" t="s">
        <v>7</v>
      </c>
      <c r="G2008" s="1" t="s">
        <v>7</v>
      </c>
    </row>
    <row r="2009" spans="1:7" hidden="1">
      <c r="A2009" t="s">
        <v>88</v>
      </c>
      <c r="B2009" s="1" t="s">
        <v>59</v>
      </c>
      <c r="C2009" s="2">
        <v>2014</v>
      </c>
      <c r="D2009" s="2">
        <v>731</v>
      </c>
      <c r="E2009" s="2">
        <v>340</v>
      </c>
      <c r="F2009" s="2">
        <v>391</v>
      </c>
      <c r="G2009" s="1" t="s">
        <v>7</v>
      </c>
    </row>
    <row r="2010" spans="1:7" hidden="1">
      <c r="A2010" t="s">
        <v>88</v>
      </c>
      <c r="B2010" s="1" t="s">
        <v>59</v>
      </c>
      <c r="C2010" s="2">
        <v>2015</v>
      </c>
      <c r="D2010" s="2">
        <v>1</v>
      </c>
      <c r="E2010" s="2">
        <v>1</v>
      </c>
      <c r="F2010" s="1" t="s">
        <v>7</v>
      </c>
      <c r="G2010" s="1" t="s">
        <v>7</v>
      </c>
    </row>
    <row r="2011" spans="1:7" hidden="1">
      <c r="A2011" t="s">
        <v>88</v>
      </c>
      <c r="B2011" s="1" t="s">
        <v>60</v>
      </c>
      <c r="C2011" s="2">
        <v>2015</v>
      </c>
      <c r="D2011" s="2">
        <v>914</v>
      </c>
      <c r="E2011" s="2">
        <v>434</v>
      </c>
      <c r="F2011" s="2">
        <v>480</v>
      </c>
      <c r="G2011" s="1" t="s">
        <v>7</v>
      </c>
    </row>
    <row r="2012" spans="1:7" hidden="1">
      <c r="A2012" t="s">
        <v>88</v>
      </c>
      <c r="B2012" s="1" t="s">
        <v>60</v>
      </c>
      <c r="C2012" s="2">
        <v>2016</v>
      </c>
      <c r="D2012" s="2">
        <v>1</v>
      </c>
      <c r="E2012" s="1" t="s">
        <v>7</v>
      </c>
      <c r="F2012" s="2">
        <v>1</v>
      </c>
      <c r="G2012" s="1" t="s">
        <v>7</v>
      </c>
    </row>
    <row r="2013" spans="1:7" hidden="1">
      <c r="A2013" t="s">
        <v>88</v>
      </c>
      <c r="B2013" s="1" t="s">
        <v>61</v>
      </c>
      <c r="C2013" s="2">
        <v>2016</v>
      </c>
      <c r="D2013" s="2">
        <v>727</v>
      </c>
      <c r="E2013" s="2">
        <v>330</v>
      </c>
      <c r="F2013" s="2">
        <v>397</v>
      </c>
      <c r="G2013" s="1" t="s">
        <v>7</v>
      </c>
    </row>
    <row r="2014" spans="1:7" hidden="1">
      <c r="A2014" t="s">
        <v>88</v>
      </c>
      <c r="B2014" s="1" t="s">
        <v>61</v>
      </c>
      <c r="C2014" s="2">
        <v>2017</v>
      </c>
      <c r="D2014" s="2">
        <v>3</v>
      </c>
      <c r="E2014" s="2">
        <v>3</v>
      </c>
      <c r="F2014" s="1" t="s">
        <v>7</v>
      </c>
      <c r="G2014" s="1" t="s">
        <v>7</v>
      </c>
    </row>
    <row r="2015" spans="1:7" hidden="1">
      <c r="A2015" t="s">
        <v>88</v>
      </c>
      <c r="B2015" s="1" t="s">
        <v>62</v>
      </c>
      <c r="C2015" s="2">
        <v>2017</v>
      </c>
      <c r="D2015" s="2">
        <v>744</v>
      </c>
      <c r="E2015" s="2">
        <v>338</v>
      </c>
      <c r="F2015" s="2">
        <v>406</v>
      </c>
      <c r="G2015" s="1" t="s">
        <v>7</v>
      </c>
    </row>
    <row r="2016" spans="1:7" hidden="1">
      <c r="A2016" t="s">
        <v>88</v>
      </c>
      <c r="B2016" s="1" t="s">
        <v>62</v>
      </c>
      <c r="C2016" s="2">
        <v>2018</v>
      </c>
      <c r="D2016" s="2">
        <v>3</v>
      </c>
      <c r="E2016" s="2">
        <v>1</v>
      </c>
      <c r="F2016" s="2">
        <v>2</v>
      </c>
      <c r="G2016" s="1" t="s">
        <v>7</v>
      </c>
    </row>
    <row r="2017" spans="1:7" hidden="1">
      <c r="A2017" t="s">
        <v>88</v>
      </c>
      <c r="B2017" s="1" t="s">
        <v>63</v>
      </c>
      <c r="C2017" s="2">
        <v>2018</v>
      </c>
      <c r="D2017" s="2">
        <v>723</v>
      </c>
      <c r="E2017" s="2">
        <v>308</v>
      </c>
      <c r="F2017" s="2">
        <v>415</v>
      </c>
      <c r="G2017" s="1" t="s">
        <v>7</v>
      </c>
    </row>
    <row r="2018" spans="1:7" hidden="1">
      <c r="A2018" t="s">
        <v>88</v>
      </c>
      <c r="B2018" s="1" t="s">
        <v>64</v>
      </c>
      <c r="C2018" s="2">
        <v>2019</v>
      </c>
      <c r="D2018" s="2">
        <v>797</v>
      </c>
      <c r="E2018" s="2">
        <v>359</v>
      </c>
      <c r="F2018" s="2">
        <v>438</v>
      </c>
      <c r="G2018" s="1" t="s">
        <v>7</v>
      </c>
    </row>
    <row r="2019" spans="1:7" hidden="1">
      <c r="A2019" t="s">
        <v>88</v>
      </c>
      <c r="B2019" s="1" t="s">
        <v>64</v>
      </c>
      <c r="C2019" s="2">
        <v>2020</v>
      </c>
      <c r="D2019" s="2">
        <v>3</v>
      </c>
      <c r="E2019" s="2">
        <v>2</v>
      </c>
      <c r="F2019" s="2">
        <v>1</v>
      </c>
      <c r="G2019" s="1" t="s">
        <v>7</v>
      </c>
    </row>
    <row r="2020" spans="1:7" hidden="1">
      <c r="A2020" t="s">
        <v>88</v>
      </c>
      <c r="B2020" s="1" t="s">
        <v>65</v>
      </c>
      <c r="C2020" s="2">
        <v>2020</v>
      </c>
      <c r="D2020" s="2">
        <v>916</v>
      </c>
      <c r="E2020" s="2">
        <v>430</v>
      </c>
      <c r="F2020" s="2">
        <v>486</v>
      </c>
      <c r="G2020" s="1" t="s">
        <v>7</v>
      </c>
    </row>
    <row r="2021" spans="1:7" hidden="1">
      <c r="A2021" t="s">
        <v>88</v>
      </c>
      <c r="B2021" s="1" t="s">
        <v>65</v>
      </c>
      <c r="C2021" s="2">
        <v>2021</v>
      </c>
      <c r="D2021" s="2">
        <v>3</v>
      </c>
      <c r="E2021" s="2">
        <v>1</v>
      </c>
      <c r="F2021" s="2">
        <v>2</v>
      </c>
      <c r="G2021" s="1" t="s">
        <v>7</v>
      </c>
    </row>
    <row r="2022" spans="1:7" hidden="1">
      <c r="A2022" t="s">
        <v>88</v>
      </c>
      <c r="B2022" s="1" t="s">
        <v>66</v>
      </c>
      <c r="C2022" s="2">
        <v>2021</v>
      </c>
      <c r="D2022" s="3">
        <v>1118</v>
      </c>
      <c r="E2022" s="2">
        <v>516</v>
      </c>
      <c r="F2022" s="2">
        <v>602</v>
      </c>
      <c r="G2022" s="1" t="s">
        <v>7</v>
      </c>
    </row>
    <row r="2023" spans="1:7" hidden="1">
      <c r="A2023" t="s">
        <v>88</v>
      </c>
      <c r="B2023" s="1" t="s">
        <v>66</v>
      </c>
      <c r="C2023" s="2">
        <v>2022</v>
      </c>
      <c r="D2023" s="2">
        <v>5</v>
      </c>
      <c r="E2023" s="2">
        <v>4</v>
      </c>
      <c r="F2023" s="2">
        <v>1</v>
      </c>
      <c r="G2023" s="1" t="s">
        <v>7</v>
      </c>
    </row>
    <row r="2024" spans="1:7" hidden="1">
      <c r="A2024" t="s">
        <v>88</v>
      </c>
      <c r="B2024" s="1" t="s">
        <v>67</v>
      </c>
      <c r="C2024" s="2">
        <v>2022</v>
      </c>
      <c r="D2024" s="2">
        <v>950</v>
      </c>
      <c r="E2024" s="2">
        <v>429</v>
      </c>
      <c r="F2024" s="2">
        <v>520</v>
      </c>
      <c r="G2024" s="2">
        <v>1</v>
      </c>
    </row>
    <row r="2025" spans="1:7" hidden="1">
      <c r="A2025" t="s">
        <v>88</v>
      </c>
      <c r="B2025" s="1" t="s">
        <v>67</v>
      </c>
      <c r="C2025" s="2">
        <v>2023</v>
      </c>
      <c r="D2025" s="2">
        <v>3</v>
      </c>
      <c r="E2025" s="2">
        <v>2</v>
      </c>
      <c r="F2025" s="2">
        <v>1</v>
      </c>
      <c r="G2025" s="1" t="s">
        <v>7</v>
      </c>
    </row>
    <row r="2026" spans="1:7" hidden="1">
      <c r="A2026" t="s">
        <v>88</v>
      </c>
      <c r="B2026" s="1" t="s">
        <v>68</v>
      </c>
      <c r="C2026" s="2">
        <v>2023</v>
      </c>
      <c r="D2026" s="2">
        <v>866</v>
      </c>
      <c r="E2026" s="2">
        <v>365</v>
      </c>
      <c r="F2026" s="2">
        <v>501</v>
      </c>
      <c r="G2026" s="1" t="s">
        <v>7</v>
      </c>
    </row>
    <row r="2027" spans="1:7" hidden="1">
      <c r="A2027" t="s">
        <v>88</v>
      </c>
      <c r="B2027" s="1" t="s">
        <v>68</v>
      </c>
      <c r="C2027" s="2">
        <v>2024</v>
      </c>
      <c r="D2027" s="2">
        <v>4</v>
      </c>
      <c r="E2027" s="1" t="s">
        <v>7</v>
      </c>
      <c r="F2027" s="2">
        <v>4</v>
      </c>
      <c r="G2027" s="1" t="s">
        <v>7</v>
      </c>
    </row>
    <row r="2028" spans="1:7" hidden="1">
      <c r="A2028" t="s">
        <v>88</v>
      </c>
      <c r="B2028" s="1" t="s">
        <v>69</v>
      </c>
      <c r="C2028" s="2">
        <v>2024</v>
      </c>
      <c r="D2028" s="2">
        <v>897</v>
      </c>
      <c r="E2028" s="2">
        <v>412</v>
      </c>
      <c r="F2028" s="2">
        <v>485</v>
      </c>
      <c r="G2028" s="1" t="s">
        <v>7</v>
      </c>
    </row>
    <row r="2029" spans="1:7" hidden="1">
      <c r="A2029" t="s">
        <v>88</v>
      </c>
      <c r="B2029" s="1" t="s">
        <v>6</v>
      </c>
      <c r="C2029" s="2">
        <v>1990</v>
      </c>
      <c r="D2029" s="2">
        <v>1</v>
      </c>
      <c r="E2029" s="2">
        <v>1</v>
      </c>
      <c r="F2029" s="1" t="s">
        <v>7</v>
      </c>
      <c r="G2029" s="1" t="s">
        <v>7</v>
      </c>
    </row>
    <row r="2030" spans="1:7" hidden="1">
      <c r="A2030" t="s">
        <v>88</v>
      </c>
      <c r="B2030" s="1" t="s">
        <v>6</v>
      </c>
      <c r="C2030" s="2">
        <v>1992</v>
      </c>
      <c r="D2030" s="2">
        <v>1</v>
      </c>
      <c r="E2030" s="1" t="s">
        <v>7</v>
      </c>
      <c r="F2030" s="2">
        <v>1</v>
      </c>
      <c r="G2030" s="1" t="s">
        <v>7</v>
      </c>
    </row>
    <row r="2031" spans="1:7" hidden="1">
      <c r="A2031" t="s">
        <v>88</v>
      </c>
      <c r="B2031" s="1" t="s">
        <v>6</v>
      </c>
      <c r="C2031" s="2">
        <v>1994</v>
      </c>
      <c r="D2031" s="2">
        <v>1</v>
      </c>
      <c r="E2031" s="1" t="s">
        <v>7</v>
      </c>
      <c r="F2031" s="2">
        <v>1</v>
      </c>
      <c r="G2031" s="1" t="s">
        <v>7</v>
      </c>
    </row>
    <row r="2032" spans="1:7" hidden="1">
      <c r="A2032" t="s">
        <v>88</v>
      </c>
      <c r="B2032" s="1" t="s">
        <v>6</v>
      </c>
      <c r="C2032" s="2">
        <v>2022</v>
      </c>
      <c r="D2032" s="2">
        <v>1</v>
      </c>
      <c r="E2032" s="1" t="s">
        <v>7</v>
      </c>
      <c r="F2032" s="2">
        <v>1</v>
      </c>
      <c r="G2032" s="1" t="s">
        <v>7</v>
      </c>
    </row>
    <row r="2033" spans="1:7" hidden="1">
      <c r="A2033" t="s">
        <v>88</v>
      </c>
      <c r="B2033" s="1" t="s">
        <v>6</v>
      </c>
      <c r="C2033" s="2">
        <v>2023</v>
      </c>
      <c r="D2033" s="2">
        <v>1</v>
      </c>
      <c r="E2033" s="2">
        <v>1</v>
      </c>
      <c r="F2033" s="1" t="s">
        <v>7</v>
      </c>
      <c r="G2033" s="1" t="s">
        <v>7</v>
      </c>
    </row>
    <row r="2034" spans="1:7" hidden="1">
      <c r="A2034" t="s">
        <v>6</v>
      </c>
      <c r="B2034" s="1" t="s">
        <v>3</v>
      </c>
      <c r="C2034" s="2">
        <v>1990</v>
      </c>
      <c r="D2034" s="2">
        <v>38</v>
      </c>
      <c r="E2034" s="2">
        <v>33</v>
      </c>
      <c r="F2034" s="2">
        <v>5</v>
      </c>
      <c r="G2034" s="1" t="s">
        <v>7</v>
      </c>
    </row>
    <row r="2035" spans="1:7" hidden="1">
      <c r="A2035" t="s">
        <v>6</v>
      </c>
      <c r="B2035" s="1" t="s">
        <v>3</v>
      </c>
      <c r="C2035" s="2">
        <v>1991</v>
      </c>
      <c r="D2035" s="2">
        <v>23</v>
      </c>
      <c r="E2035" s="2">
        <v>16</v>
      </c>
      <c r="F2035" s="2">
        <v>6</v>
      </c>
      <c r="G2035" s="2">
        <v>1</v>
      </c>
    </row>
    <row r="2036" spans="1:7" hidden="1">
      <c r="A2036" t="s">
        <v>6</v>
      </c>
      <c r="B2036" s="1" t="s">
        <v>3</v>
      </c>
      <c r="C2036" s="2">
        <v>1992</v>
      </c>
      <c r="D2036" s="2">
        <v>37</v>
      </c>
      <c r="E2036" s="2">
        <v>25</v>
      </c>
      <c r="F2036" s="2">
        <v>12</v>
      </c>
      <c r="G2036" s="1" t="s">
        <v>7</v>
      </c>
    </row>
    <row r="2037" spans="1:7" hidden="1">
      <c r="A2037" t="s">
        <v>6</v>
      </c>
      <c r="B2037" s="1" t="s">
        <v>3</v>
      </c>
      <c r="C2037" s="2">
        <v>1993</v>
      </c>
      <c r="D2037" s="2">
        <v>22</v>
      </c>
      <c r="E2037" s="2">
        <v>14</v>
      </c>
      <c r="F2037" s="2">
        <v>7</v>
      </c>
      <c r="G2037" s="2">
        <v>1</v>
      </c>
    </row>
    <row r="2038" spans="1:7" hidden="1">
      <c r="A2038" t="s">
        <v>6</v>
      </c>
      <c r="B2038" s="1" t="s">
        <v>3</v>
      </c>
      <c r="C2038" s="2">
        <v>1994</v>
      </c>
      <c r="D2038" s="2">
        <v>34</v>
      </c>
      <c r="E2038" s="2">
        <v>22</v>
      </c>
      <c r="F2038" s="2">
        <v>11</v>
      </c>
      <c r="G2038" s="2">
        <v>1</v>
      </c>
    </row>
    <row r="2039" spans="1:7" hidden="1">
      <c r="A2039" t="s">
        <v>6</v>
      </c>
      <c r="B2039" s="1" t="s">
        <v>3</v>
      </c>
      <c r="C2039" s="2">
        <v>1995</v>
      </c>
      <c r="D2039" s="2">
        <v>54</v>
      </c>
      <c r="E2039" s="2">
        <v>38</v>
      </c>
      <c r="F2039" s="2">
        <v>15</v>
      </c>
      <c r="G2039" s="2">
        <v>1</v>
      </c>
    </row>
    <row r="2040" spans="1:7" hidden="1">
      <c r="A2040" t="s">
        <v>6</v>
      </c>
      <c r="B2040" s="1" t="s">
        <v>3</v>
      </c>
      <c r="C2040" s="2">
        <v>1996</v>
      </c>
      <c r="D2040" s="2">
        <v>36</v>
      </c>
      <c r="E2040" s="2">
        <v>25</v>
      </c>
      <c r="F2040" s="2">
        <v>11</v>
      </c>
      <c r="G2040" s="1" t="s">
        <v>7</v>
      </c>
    </row>
    <row r="2041" spans="1:7" hidden="1">
      <c r="A2041" t="s">
        <v>6</v>
      </c>
      <c r="B2041" s="1" t="s">
        <v>3</v>
      </c>
      <c r="C2041" s="2">
        <v>1997</v>
      </c>
      <c r="D2041" s="2">
        <v>28</v>
      </c>
      <c r="E2041" s="2">
        <v>17</v>
      </c>
      <c r="F2041" s="2">
        <v>9</v>
      </c>
      <c r="G2041" s="2">
        <v>2</v>
      </c>
    </row>
    <row r="2042" spans="1:7" hidden="1">
      <c r="A2042" t="s">
        <v>6</v>
      </c>
      <c r="B2042" s="1" t="s">
        <v>3</v>
      </c>
      <c r="C2042" s="2">
        <v>1998</v>
      </c>
      <c r="D2042" s="2">
        <v>25</v>
      </c>
      <c r="E2042" s="2">
        <v>17</v>
      </c>
      <c r="F2042" s="2">
        <v>8</v>
      </c>
      <c r="G2042" s="1" t="s">
        <v>7</v>
      </c>
    </row>
    <row r="2043" spans="1:7" hidden="1">
      <c r="A2043" t="s">
        <v>6</v>
      </c>
      <c r="B2043" s="1" t="s">
        <v>3</v>
      </c>
      <c r="C2043" s="2">
        <v>1999</v>
      </c>
      <c r="D2043" s="2">
        <v>32</v>
      </c>
      <c r="E2043" s="2">
        <v>22</v>
      </c>
      <c r="F2043" s="2">
        <v>10</v>
      </c>
      <c r="G2043" s="1" t="s">
        <v>7</v>
      </c>
    </row>
    <row r="2044" spans="1:7" hidden="1">
      <c r="A2044" t="s">
        <v>6</v>
      </c>
      <c r="B2044" s="1" t="s">
        <v>3</v>
      </c>
      <c r="C2044" s="2">
        <v>2000</v>
      </c>
      <c r="D2044" s="2">
        <v>42</v>
      </c>
      <c r="E2044" s="2">
        <v>26</v>
      </c>
      <c r="F2044" s="2">
        <v>16</v>
      </c>
      <c r="G2044" s="1" t="s">
        <v>7</v>
      </c>
    </row>
    <row r="2045" spans="1:7" hidden="1">
      <c r="A2045" t="s">
        <v>6</v>
      </c>
      <c r="B2045" s="1" t="s">
        <v>3</v>
      </c>
      <c r="C2045" s="2">
        <v>2001</v>
      </c>
      <c r="D2045" s="2">
        <v>19</v>
      </c>
      <c r="E2045" s="2">
        <v>14</v>
      </c>
      <c r="F2045" s="2">
        <v>5</v>
      </c>
      <c r="G2045" s="1" t="s">
        <v>7</v>
      </c>
    </row>
    <row r="2046" spans="1:7" hidden="1">
      <c r="A2046" t="s">
        <v>6</v>
      </c>
      <c r="B2046" s="1" t="s">
        <v>3</v>
      </c>
      <c r="C2046" s="2">
        <v>2002</v>
      </c>
      <c r="D2046" s="2">
        <v>42</v>
      </c>
      <c r="E2046" s="2">
        <v>28</v>
      </c>
      <c r="F2046" s="2">
        <v>13</v>
      </c>
      <c r="G2046" s="2">
        <v>1</v>
      </c>
    </row>
    <row r="2047" spans="1:7" hidden="1">
      <c r="A2047" t="s">
        <v>6</v>
      </c>
      <c r="B2047" s="1" t="s">
        <v>3</v>
      </c>
      <c r="C2047" s="2">
        <v>2003</v>
      </c>
      <c r="D2047" s="2">
        <v>33</v>
      </c>
      <c r="E2047" s="2">
        <v>22</v>
      </c>
      <c r="F2047" s="2">
        <v>11</v>
      </c>
      <c r="G2047" s="1" t="s">
        <v>7</v>
      </c>
    </row>
    <row r="2048" spans="1:7" hidden="1">
      <c r="A2048" t="s">
        <v>6</v>
      </c>
      <c r="B2048" s="1" t="s">
        <v>3</v>
      </c>
      <c r="C2048" s="2">
        <v>2004</v>
      </c>
      <c r="D2048" s="2">
        <v>18</v>
      </c>
      <c r="E2048" s="2">
        <v>14</v>
      </c>
      <c r="F2048" s="2">
        <v>4</v>
      </c>
      <c r="G2048" s="1" t="s">
        <v>7</v>
      </c>
    </row>
    <row r="2049" spans="1:7" hidden="1">
      <c r="A2049" t="s">
        <v>6</v>
      </c>
      <c r="B2049" s="1" t="s">
        <v>3</v>
      </c>
      <c r="C2049" s="2">
        <v>2005</v>
      </c>
      <c r="D2049" s="2">
        <v>22</v>
      </c>
      <c r="E2049" s="2">
        <v>17</v>
      </c>
      <c r="F2049" s="2">
        <v>5</v>
      </c>
      <c r="G2049" s="1" t="s">
        <v>7</v>
      </c>
    </row>
    <row r="2050" spans="1:7" hidden="1">
      <c r="A2050" t="s">
        <v>6</v>
      </c>
      <c r="B2050" s="1" t="s">
        <v>3</v>
      </c>
      <c r="C2050" s="2">
        <v>2006</v>
      </c>
      <c r="D2050" s="2">
        <v>16</v>
      </c>
      <c r="E2050" s="2">
        <v>14</v>
      </c>
      <c r="F2050" s="2">
        <v>2</v>
      </c>
      <c r="G2050" s="1" t="s">
        <v>7</v>
      </c>
    </row>
    <row r="2051" spans="1:7" hidden="1">
      <c r="A2051" t="s">
        <v>6</v>
      </c>
      <c r="B2051" s="1" t="s">
        <v>3</v>
      </c>
      <c r="C2051" s="2">
        <v>2007</v>
      </c>
      <c r="D2051" s="2">
        <v>17</v>
      </c>
      <c r="E2051" s="2">
        <v>15</v>
      </c>
      <c r="F2051" s="2">
        <v>2</v>
      </c>
      <c r="G2051" s="1" t="s">
        <v>7</v>
      </c>
    </row>
    <row r="2052" spans="1:7" hidden="1">
      <c r="A2052" t="s">
        <v>6</v>
      </c>
      <c r="B2052" s="1" t="s">
        <v>3</v>
      </c>
      <c r="C2052" s="2">
        <v>2008</v>
      </c>
      <c r="D2052" s="2">
        <v>32</v>
      </c>
      <c r="E2052" s="2">
        <v>24</v>
      </c>
      <c r="F2052" s="2">
        <v>7</v>
      </c>
      <c r="G2052" s="2">
        <v>1</v>
      </c>
    </row>
    <row r="2053" spans="1:7" hidden="1">
      <c r="A2053" t="s">
        <v>6</v>
      </c>
      <c r="B2053" s="1" t="s">
        <v>3</v>
      </c>
      <c r="C2053" s="2">
        <v>2009</v>
      </c>
      <c r="D2053" s="2">
        <v>35</v>
      </c>
      <c r="E2053" s="2">
        <v>30</v>
      </c>
      <c r="F2053" s="2">
        <v>5</v>
      </c>
      <c r="G2053" s="1" t="s">
        <v>7</v>
      </c>
    </row>
    <row r="2054" spans="1:7" hidden="1">
      <c r="A2054" t="s">
        <v>6</v>
      </c>
      <c r="B2054" s="1" t="s">
        <v>3</v>
      </c>
      <c r="C2054" s="2">
        <v>2010</v>
      </c>
      <c r="D2054" s="2">
        <v>31</v>
      </c>
      <c r="E2054" s="2">
        <v>30</v>
      </c>
      <c r="F2054" s="2">
        <v>1</v>
      </c>
      <c r="G2054" s="1" t="s">
        <v>7</v>
      </c>
    </row>
    <row r="2055" spans="1:7" hidden="1">
      <c r="A2055" t="s">
        <v>6</v>
      </c>
      <c r="B2055" s="1" t="s">
        <v>3</v>
      </c>
      <c r="C2055" s="2">
        <v>2011</v>
      </c>
      <c r="D2055" s="2">
        <v>38</v>
      </c>
      <c r="E2055" s="2">
        <v>34</v>
      </c>
      <c r="F2055" s="2">
        <v>2</v>
      </c>
      <c r="G2055" s="2">
        <v>2</v>
      </c>
    </row>
    <row r="2056" spans="1:7" hidden="1">
      <c r="A2056" t="s">
        <v>6</v>
      </c>
      <c r="B2056" s="1" t="s">
        <v>3</v>
      </c>
      <c r="C2056" s="2">
        <v>2012</v>
      </c>
      <c r="D2056" s="2">
        <v>37</v>
      </c>
      <c r="E2056" s="2">
        <v>26</v>
      </c>
      <c r="F2056" s="2">
        <v>9</v>
      </c>
      <c r="G2056" s="2">
        <v>2</v>
      </c>
    </row>
    <row r="2057" spans="1:7" hidden="1">
      <c r="A2057" t="s">
        <v>6</v>
      </c>
      <c r="B2057" s="1" t="s">
        <v>3</v>
      </c>
      <c r="C2057" s="2">
        <v>2013</v>
      </c>
      <c r="D2057" s="2">
        <v>55</v>
      </c>
      <c r="E2057" s="2">
        <v>47</v>
      </c>
      <c r="F2057" s="2">
        <v>7</v>
      </c>
      <c r="G2057" s="2">
        <v>1</v>
      </c>
    </row>
    <row r="2058" spans="1:7" hidden="1">
      <c r="A2058" t="s">
        <v>6</v>
      </c>
      <c r="B2058" s="1" t="s">
        <v>3</v>
      </c>
      <c r="C2058" s="2">
        <v>2014</v>
      </c>
      <c r="D2058" s="2">
        <v>29</v>
      </c>
      <c r="E2058" s="2">
        <v>27</v>
      </c>
      <c r="F2058" s="2">
        <v>1</v>
      </c>
      <c r="G2058" s="2">
        <v>1</v>
      </c>
    </row>
    <row r="2059" spans="1:7" hidden="1">
      <c r="A2059" t="s">
        <v>6</v>
      </c>
      <c r="B2059" s="1" t="s">
        <v>3</v>
      </c>
      <c r="C2059" s="2">
        <v>2015</v>
      </c>
      <c r="D2059" s="2">
        <v>45</v>
      </c>
      <c r="E2059" s="2">
        <v>41</v>
      </c>
      <c r="F2059" s="2">
        <v>2</v>
      </c>
      <c r="G2059" s="2">
        <v>2</v>
      </c>
    </row>
    <row r="2060" spans="1:7" hidden="1">
      <c r="A2060" t="s">
        <v>6</v>
      </c>
      <c r="B2060" s="1" t="s">
        <v>3</v>
      </c>
      <c r="C2060" s="2">
        <v>2016</v>
      </c>
      <c r="D2060" s="2">
        <v>106</v>
      </c>
      <c r="E2060" s="2">
        <v>85</v>
      </c>
      <c r="F2060" s="2">
        <v>14</v>
      </c>
      <c r="G2060" s="2">
        <v>7</v>
      </c>
    </row>
    <row r="2061" spans="1:7" hidden="1">
      <c r="A2061" t="s">
        <v>6</v>
      </c>
      <c r="B2061" s="1" t="s">
        <v>3</v>
      </c>
      <c r="C2061" s="2">
        <v>2017</v>
      </c>
      <c r="D2061" s="2">
        <v>13</v>
      </c>
      <c r="E2061" s="2">
        <v>10</v>
      </c>
      <c r="F2061" s="2">
        <v>3</v>
      </c>
      <c r="G2061" s="1" t="s">
        <v>7</v>
      </c>
    </row>
    <row r="2062" spans="1:7" hidden="1">
      <c r="A2062" t="s">
        <v>6</v>
      </c>
      <c r="B2062" s="1" t="s">
        <v>3</v>
      </c>
      <c r="C2062" s="2">
        <v>2018</v>
      </c>
      <c r="D2062" s="2">
        <v>4</v>
      </c>
      <c r="E2062" s="2">
        <v>4</v>
      </c>
      <c r="F2062" s="1" t="s">
        <v>7</v>
      </c>
      <c r="G2062" s="1" t="s">
        <v>7</v>
      </c>
    </row>
    <row r="2063" spans="1:7" hidden="1">
      <c r="A2063" t="s">
        <v>6</v>
      </c>
      <c r="B2063" s="1" t="s">
        <v>3</v>
      </c>
      <c r="C2063" s="2">
        <v>2019</v>
      </c>
      <c r="D2063" s="2">
        <v>9</v>
      </c>
      <c r="E2063" s="2">
        <v>5</v>
      </c>
      <c r="F2063" s="2">
        <v>4</v>
      </c>
      <c r="G2063" s="1" t="s">
        <v>7</v>
      </c>
    </row>
    <row r="2064" spans="1:7" hidden="1">
      <c r="A2064" t="s">
        <v>6</v>
      </c>
      <c r="B2064" s="1" t="s">
        <v>3</v>
      </c>
      <c r="C2064" s="2">
        <v>2020</v>
      </c>
      <c r="D2064" s="2">
        <v>4</v>
      </c>
      <c r="E2064" s="2">
        <v>4</v>
      </c>
      <c r="F2064" s="1" t="s">
        <v>7</v>
      </c>
      <c r="G2064" s="1" t="s">
        <v>7</v>
      </c>
    </row>
    <row r="2065" spans="1:7" hidden="1">
      <c r="A2065" t="s">
        <v>6</v>
      </c>
      <c r="B2065" s="1" t="s">
        <v>3</v>
      </c>
      <c r="C2065" s="2">
        <v>2021</v>
      </c>
      <c r="D2065" s="2">
        <v>9</v>
      </c>
      <c r="E2065" s="2">
        <v>9</v>
      </c>
      <c r="F2065" s="1" t="s">
        <v>7</v>
      </c>
      <c r="G2065" s="1" t="s">
        <v>7</v>
      </c>
    </row>
    <row r="2066" spans="1:7" hidden="1">
      <c r="A2066" t="s">
        <v>6</v>
      </c>
      <c r="B2066" s="1" t="s">
        <v>3</v>
      </c>
      <c r="C2066" s="2">
        <v>2022</v>
      </c>
      <c r="D2066" s="2">
        <v>25</v>
      </c>
      <c r="E2066" s="2">
        <v>21</v>
      </c>
      <c r="F2066" s="2">
        <v>4</v>
      </c>
      <c r="G2066" s="1" t="s">
        <v>7</v>
      </c>
    </row>
    <row r="2067" spans="1:7" hidden="1">
      <c r="A2067" t="s">
        <v>6</v>
      </c>
      <c r="B2067" s="1" t="s">
        <v>3</v>
      </c>
      <c r="C2067" s="2">
        <v>2023</v>
      </c>
      <c r="D2067" s="2">
        <v>10</v>
      </c>
      <c r="E2067" s="2">
        <v>6</v>
      </c>
      <c r="F2067" s="2">
        <v>4</v>
      </c>
      <c r="G2067" s="1" t="s">
        <v>7</v>
      </c>
    </row>
    <row r="2068" spans="1:7" hidden="1">
      <c r="A2068" t="s">
        <v>6</v>
      </c>
      <c r="B2068" s="1" t="s">
        <v>3</v>
      </c>
      <c r="C2068" s="2">
        <v>2024</v>
      </c>
      <c r="D2068" s="2">
        <v>7</v>
      </c>
      <c r="E2068" s="2">
        <v>4</v>
      </c>
      <c r="F2068" s="2">
        <v>3</v>
      </c>
      <c r="G2068" s="1" t="s">
        <v>7</v>
      </c>
    </row>
    <row r="2069" spans="1:7" hidden="1">
      <c r="A2069" t="s">
        <v>6</v>
      </c>
      <c r="B2069" s="1" t="s">
        <v>8</v>
      </c>
      <c r="C2069" s="2">
        <v>1998</v>
      </c>
      <c r="D2069" s="2">
        <v>2</v>
      </c>
      <c r="E2069" s="2">
        <v>2</v>
      </c>
      <c r="F2069" s="1" t="s">
        <v>7</v>
      </c>
      <c r="G2069" s="1" t="s">
        <v>7</v>
      </c>
    </row>
    <row r="2070" spans="1:7" hidden="1">
      <c r="A2070" t="s">
        <v>6</v>
      </c>
      <c r="B2070" s="1" t="s">
        <v>14</v>
      </c>
      <c r="C2070" s="2">
        <v>1994</v>
      </c>
      <c r="D2070" s="2">
        <v>1</v>
      </c>
      <c r="E2070" s="2">
        <v>1</v>
      </c>
      <c r="F2070" s="1" t="s">
        <v>7</v>
      </c>
      <c r="G2070" s="1" t="s">
        <v>7</v>
      </c>
    </row>
    <row r="2071" spans="1:7" hidden="1">
      <c r="A2071" t="s">
        <v>6</v>
      </c>
      <c r="B2071" s="1" t="s">
        <v>16</v>
      </c>
      <c r="C2071" s="2">
        <v>2000</v>
      </c>
      <c r="D2071" s="2">
        <v>1</v>
      </c>
      <c r="E2071" s="1" t="s">
        <v>7</v>
      </c>
      <c r="F2071" s="2">
        <v>1</v>
      </c>
      <c r="G2071" s="1" t="s">
        <v>7</v>
      </c>
    </row>
    <row r="2072" spans="1:7" hidden="1">
      <c r="A2072" t="s">
        <v>6</v>
      </c>
      <c r="B2072" s="1" t="s">
        <v>21</v>
      </c>
      <c r="C2072" s="2">
        <v>1997</v>
      </c>
      <c r="D2072" s="2">
        <v>1</v>
      </c>
      <c r="E2072" s="2">
        <v>1</v>
      </c>
      <c r="F2072" s="1" t="s">
        <v>7</v>
      </c>
      <c r="G2072" s="1" t="s">
        <v>7</v>
      </c>
    </row>
    <row r="2073" spans="1:7" hidden="1">
      <c r="A2073" t="s">
        <v>6</v>
      </c>
      <c r="B2073" s="1" t="s">
        <v>23</v>
      </c>
      <c r="C2073" s="2">
        <v>2003</v>
      </c>
      <c r="D2073" s="2">
        <v>1</v>
      </c>
      <c r="E2073" s="2">
        <v>1</v>
      </c>
      <c r="F2073" s="1" t="s">
        <v>7</v>
      </c>
      <c r="G2073" s="1" t="s">
        <v>7</v>
      </c>
    </row>
    <row r="2074" spans="1:7" hidden="1">
      <c r="A2074" t="s">
        <v>6</v>
      </c>
      <c r="B2074" s="1" t="s">
        <v>26</v>
      </c>
      <c r="C2074" s="2">
        <v>2003</v>
      </c>
      <c r="D2074" s="2">
        <v>1</v>
      </c>
      <c r="E2074" s="2">
        <v>1</v>
      </c>
      <c r="F2074" s="1" t="s">
        <v>7</v>
      </c>
      <c r="G2074" s="1" t="s">
        <v>7</v>
      </c>
    </row>
    <row r="2075" spans="1:7" hidden="1">
      <c r="A2075" t="s">
        <v>6</v>
      </c>
      <c r="B2075" s="1" t="s">
        <v>27</v>
      </c>
      <c r="C2075" s="2">
        <v>1996</v>
      </c>
      <c r="D2075" s="2">
        <v>1</v>
      </c>
      <c r="E2075" s="1" t="s">
        <v>7</v>
      </c>
      <c r="F2075" s="2">
        <v>1</v>
      </c>
      <c r="G2075" s="1" t="s">
        <v>7</v>
      </c>
    </row>
    <row r="2076" spans="1:7" hidden="1">
      <c r="A2076" t="s">
        <v>6</v>
      </c>
      <c r="B2076" s="1" t="s">
        <v>33</v>
      </c>
      <c r="C2076" s="2">
        <v>2004</v>
      </c>
      <c r="D2076" s="2">
        <v>1</v>
      </c>
      <c r="E2076" s="2">
        <v>1</v>
      </c>
      <c r="F2076" s="1" t="s">
        <v>7</v>
      </c>
      <c r="G2076" s="1" t="s">
        <v>7</v>
      </c>
    </row>
    <row r="2077" spans="1:7" hidden="1">
      <c r="A2077" t="s">
        <v>6</v>
      </c>
      <c r="B2077" s="1" t="s">
        <v>35</v>
      </c>
      <c r="C2077" s="2">
        <v>1990</v>
      </c>
      <c r="D2077" s="2">
        <v>32</v>
      </c>
      <c r="E2077" s="2">
        <v>28</v>
      </c>
      <c r="F2077" s="2">
        <v>4</v>
      </c>
      <c r="G2077" s="1" t="s">
        <v>7</v>
      </c>
    </row>
    <row r="2078" spans="1:7" hidden="1">
      <c r="A2078" t="s">
        <v>6</v>
      </c>
      <c r="B2078" s="1" t="s">
        <v>36</v>
      </c>
      <c r="C2078" s="2">
        <v>1991</v>
      </c>
      <c r="D2078" s="2">
        <v>22</v>
      </c>
      <c r="E2078" s="2">
        <v>15</v>
      </c>
      <c r="F2078" s="2">
        <v>6</v>
      </c>
      <c r="G2078" s="2">
        <v>1</v>
      </c>
    </row>
    <row r="2079" spans="1:7" hidden="1">
      <c r="A2079" t="s">
        <v>6</v>
      </c>
      <c r="B2079" s="1" t="s">
        <v>37</v>
      </c>
      <c r="C2079" s="2">
        <v>1992</v>
      </c>
      <c r="D2079" s="2">
        <v>33</v>
      </c>
      <c r="E2079" s="2">
        <v>21</v>
      </c>
      <c r="F2079" s="2">
        <v>12</v>
      </c>
      <c r="G2079" s="1" t="s">
        <v>7</v>
      </c>
    </row>
    <row r="2080" spans="1:7" hidden="1">
      <c r="A2080" t="s">
        <v>6</v>
      </c>
      <c r="B2080" s="1" t="s">
        <v>38</v>
      </c>
      <c r="C2080" s="2">
        <v>1993</v>
      </c>
      <c r="D2080" s="2">
        <v>18</v>
      </c>
      <c r="E2080" s="2">
        <v>11</v>
      </c>
      <c r="F2080" s="2">
        <v>7</v>
      </c>
      <c r="G2080" s="1" t="s">
        <v>7</v>
      </c>
    </row>
    <row r="2081" spans="1:7" hidden="1">
      <c r="A2081" t="s">
        <v>6</v>
      </c>
      <c r="B2081" s="1" t="s">
        <v>39</v>
      </c>
      <c r="C2081" s="2">
        <v>1994</v>
      </c>
      <c r="D2081" s="2">
        <v>31</v>
      </c>
      <c r="E2081" s="2">
        <v>19</v>
      </c>
      <c r="F2081" s="2">
        <v>11</v>
      </c>
      <c r="G2081" s="2">
        <v>1</v>
      </c>
    </row>
    <row r="2082" spans="1:7" hidden="1">
      <c r="A2082" t="s">
        <v>6</v>
      </c>
      <c r="B2082" s="1" t="s">
        <v>40</v>
      </c>
      <c r="C2082" s="2">
        <v>1995</v>
      </c>
      <c r="D2082" s="2">
        <v>52</v>
      </c>
      <c r="E2082" s="2">
        <v>37</v>
      </c>
      <c r="F2082" s="2">
        <v>15</v>
      </c>
      <c r="G2082" s="1" t="s">
        <v>7</v>
      </c>
    </row>
    <row r="2083" spans="1:7" hidden="1">
      <c r="A2083" t="s">
        <v>6</v>
      </c>
      <c r="B2083" s="1" t="s">
        <v>41</v>
      </c>
      <c r="C2083" s="2">
        <v>1996</v>
      </c>
      <c r="D2083" s="2">
        <v>35</v>
      </c>
      <c r="E2083" s="2">
        <v>25</v>
      </c>
      <c r="F2083" s="2">
        <v>10</v>
      </c>
      <c r="G2083" s="1" t="s">
        <v>7</v>
      </c>
    </row>
    <row r="2084" spans="1:7" hidden="1">
      <c r="A2084" t="s">
        <v>6</v>
      </c>
      <c r="B2084" s="1" t="s">
        <v>42</v>
      </c>
      <c r="C2084" s="2">
        <v>1997</v>
      </c>
      <c r="D2084" s="2">
        <v>26</v>
      </c>
      <c r="E2084" s="2">
        <v>16</v>
      </c>
      <c r="F2084" s="2">
        <v>9</v>
      </c>
      <c r="G2084" s="2">
        <v>1</v>
      </c>
    </row>
    <row r="2085" spans="1:7" hidden="1">
      <c r="A2085" t="s">
        <v>6</v>
      </c>
      <c r="B2085" s="1" t="s">
        <v>43</v>
      </c>
      <c r="C2085" s="2">
        <v>1998</v>
      </c>
      <c r="D2085" s="2">
        <v>23</v>
      </c>
      <c r="E2085" s="2">
        <v>15</v>
      </c>
      <c r="F2085" s="2">
        <v>8</v>
      </c>
      <c r="G2085" s="1" t="s">
        <v>7</v>
      </c>
    </row>
    <row r="2086" spans="1:7" hidden="1">
      <c r="A2086" t="s">
        <v>6</v>
      </c>
      <c r="B2086" s="1" t="s">
        <v>44</v>
      </c>
      <c r="C2086" s="2">
        <v>1999</v>
      </c>
      <c r="D2086" s="2">
        <v>32</v>
      </c>
      <c r="E2086" s="2">
        <v>22</v>
      </c>
      <c r="F2086" s="2">
        <v>10</v>
      </c>
      <c r="G2086" s="1" t="s">
        <v>7</v>
      </c>
    </row>
    <row r="2087" spans="1:7" hidden="1">
      <c r="A2087" t="s">
        <v>6</v>
      </c>
      <c r="B2087" s="1" t="s">
        <v>45</v>
      </c>
      <c r="C2087" s="2">
        <v>2000</v>
      </c>
      <c r="D2087" s="2">
        <v>41</v>
      </c>
      <c r="E2087" s="2">
        <v>26</v>
      </c>
      <c r="F2087" s="2">
        <v>15</v>
      </c>
      <c r="G2087" s="1" t="s">
        <v>7</v>
      </c>
    </row>
    <row r="2088" spans="1:7" hidden="1">
      <c r="A2088" t="s">
        <v>6</v>
      </c>
      <c r="B2088" s="1" t="s">
        <v>46</v>
      </c>
      <c r="C2088" s="2">
        <v>2001</v>
      </c>
      <c r="D2088" s="2">
        <v>19</v>
      </c>
      <c r="E2088" s="2">
        <v>14</v>
      </c>
      <c r="F2088" s="2">
        <v>5</v>
      </c>
      <c r="G2088" s="1" t="s">
        <v>7</v>
      </c>
    </row>
    <row r="2089" spans="1:7" hidden="1">
      <c r="A2089" t="s">
        <v>6</v>
      </c>
      <c r="B2089" s="1" t="s">
        <v>46</v>
      </c>
      <c r="C2089" s="2">
        <v>2002</v>
      </c>
      <c r="D2089" s="2">
        <v>1</v>
      </c>
      <c r="E2089" s="1" t="s">
        <v>7</v>
      </c>
      <c r="F2089" s="2">
        <v>1</v>
      </c>
      <c r="G2089" s="1" t="s">
        <v>7</v>
      </c>
    </row>
    <row r="2090" spans="1:7" hidden="1">
      <c r="A2090" t="s">
        <v>6</v>
      </c>
      <c r="B2090" s="1" t="s">
        <v>47</v>
      </c>
      <c r="C2090" s="2">
        <v>2002</v>
      </c>
      <c r="D2090" s="2">
        <v>41</v>
      </c>
      <c r="E2090" s="2">
        <v>28</v>
      </c>
      <c r="F2090" s="2">
        <v>12</v>
      </c>
      <c r="G2090" s="2">
        <v>1</v>
      </c>
    </row>
    <row r="2091" spans="1:7" hidden="1">
      <c r="A2091" t="s">
        <v>6</v>
      </c>
      <c r="B2091" s="1" t="s">
        <v>48</v>
      </c>
      <c r="C2091" s="2">
        <v>2003</v>
      </c>
      <c r="D2091" s="2">
        <v>31</v>
      </c>
      <c r="E2091" s="2">
        <v>20</v>
      </c>
      <c r="F2091" s="2">
        <v>11</v>
      </c>
      <c r="G2091" s="1" t="s">
        <v>7</v>
      </c>
    </row>
    <row r="2092" spans="1:7" hidden="1">
      <c r="A2092" t="s">
        <v>6</v>
      </c>
      <c r="B2092" s="1" t="s">
        <v>48</v>
      </c>
      <c r="C2092" s="2">
        <v>2005</v>
      </c>
      <c r="D2092" s="2">
        <v>1</v>
      </c>
      <c r="E2092" s="1" t="s">
        <v>7</v>
      </c>
      <c r="F2092" s="2">
        <v>1</v>
      </c>
      <c r="G2092" s="1" t="s">
        <v>7</v>
      </c>
    </row>
    <row r="2093" spans="1:7" hidden="1">
      <c r="A2093" t="s">
        <v>6</v>
      </c>
      <c r="B2093" s="1" t="s">
        <v>49</v>
      </c>
      <c r="C2093" s="2">
        <v>2004</v>
      </c>
      <c r="D2093" s="2">
        <v>17</v>
      </c>
      <c r="E2093" s="2">
        <v>13</v>
      </c>
      <c r="F2093" s="2">
        <v>4</v>
      </c>
      <c r="G2093" s="1" t="s">
        <v>7</v>
      </c>
    </row>
    <row r="2094" spans="1:7" hidden="1">
      <c r="A2094" t="s">
        <v>6</v>
      </c>
      <c r="B2094" s="1" t="s">
        <v>50</v>
      </c>
      <c r="C2094" s="2">
        <v>2005</v>
      </c>
      <c r="D2094" s="2">
        <v>21</v>
      </c>
      <c r="E2094" s="2">
        <v>17</v>
      </c>
      <c r="F2094" s="2">
        <v>4</v>
      </c>
      <c r="G2094" s="1" t="s">
        <v>7</v>
      </c>
    </row>
    <row r="2095" spans="1:7" hidden="1">
      <c r="A2095" t="s">
        <v>6</v>
      </c>
      <c r="B2095" s="1" t="s">
        <v>50</v>
      </c>
      <c r="C2095" s="2">
        <v>2006</v>
      </c>
      <c r="D2095" s="2">
        <v>1</v>
      </c>
      <c r="E2095" s="2">
        <v>1</v>
      </c>
      <c r="F2095" s="1" t="s">
        <v>7</v>
      </c>
      <c r="G2095" s="1" t="s">
        <v>7</v>
      </c>
    </row>
    <row r="2096" spans="1:7" hidden="1">
      <c r="A2096" t="s">
        <v>6</v>
      </c>
      <c r="B2096" s="1" t="s">
        <v>51</v>
      </c>
      <c r="C2096" s="2">
        <v>2006</v>
      </c>
      <c r="D2096" s="2">
        <v>15</v>
      </c>
      <c r="E2096" s="2">
        <v>13</v>
      </c>
      <c r="F2096" s="2">
        <v>2</v>
      </c>
      <c r="G2096" s="1" t="s">
        <v>7</v>
      </c>
    </row>
    <row r="2097" spans="1:7" hidden="1">
      <c r="A2097" t="s">
        <v>6</v>
      </c>
      <c r="B2097" s="1" t="s">
        <v>52</v>
      </c>
      <c r="C2097" s="2">
        <v>2007</v>
      </c>
      <c r="D2097" s="2">
        <v>17</v>
      </c>
      <c r="E2097" s="2">
        <v>15</v>
      </c>
      <c r="F2097" s="2">
        <v>2</v>
      </c>
      <c r="G2097" s="1" t="s">
        <v>7</v>
      </c>
    </row>
    <row r="2098" spans="1:7" hidden="1">
      <c r="A2098" t="s">
        <v>6</v>
      </c>
      <c r="B2098" s="1" t="s">
        <v>52</v>
      </c>
      <c r="C2098" s="2">
        <v>2008</v>
      </c>
      <c r="D2098" s="2">
        <v>1</v>
      </c>
      <c r="E2098" s="1" t="s">
        <v>7</v>
      </c>
      <c r="F2098" s="1" t="s">
        <v>7</v>
      </c>
      <c r="G2098" s="2">
        <v>1</v>
      </c>
    </row>
    <row r="2099" spans="1:7" hidden="1">
      <c r="A2099" t="s">
        <v>6</v>
      </c>
      <c r="B2099" s="1" t="s">
        <v>53</v>
      </c>
      <c r="C2099" s="2">
        <v>2008</v>
      </c>
      <c r="D2099" s="2">
        <v>31</v>
      </c>
      <c r="E2099" s="2">
        <v>24</v>
      </c>
      <c r="F2099" s="2">
        <v>7</v>
      </c>
      <c r="G2099" s="1" t="s">
        <v>7</v>
      </c>
    </row>
    <row r="2100" spans="1:7" hidden="1">
      <c r="A2100" t="s">
        <v>6</v>
      </c>
      <c r="B2100" s="1" t="s">
        <v>53</v>
      </c>
      <c r="C2100" s="2">
        <v>2009</v>
      </c>
      <c r="D2100" s="2">
        <v>2</v>
      </c>
      <c r="E2100" s="2">
        <v>2</v>
      </c>
      <c r="F2100" s="1" t="s">
        <v>7</v>
      </c>
      <c r="G2100" s="1" t="s">
        <v>7</v>
      </c>
    </row>
    <row r="2101" spans="1:7" hidden="1">
      <c r="A2101" t="s">
        <v>6</v>
      </c>
      <c r="B2101" s="1" t="s">
        <v>54</v>
      </c>
      <c r="C2101" s="2">
        <v>2009</v>
      </c>
      <c r="D2101" s="2">
        <v>33</v>
      </c>
      <c r="E2101" s="2">
        <v>28</v>
      </c>
      <c r="F2101" s="2">
        <v>5</v>
      </c>
      <c r="G2101" s="1" t="s">
        <v>7</v>
      </c>
    </row>
    <row r="2102" spans="1:7" hidden="1">
      <c r="A2102" t="s">
        <v>6</v>
      </c>
      <c r="B2102" s="1" t="s">
        <v>54</v>
      </c>
      <c r="C2102" s="2">
        <v>2010</v>
      </c>
      <c r="D2102" s="2">
        <v>1</v>
      </c>
      <c r="E2102" s="2">
        <v>1</v>
      </c>
      <c r="F2102" s="1" t="s">
        <v>7</v>
      </c>
      <c r="G2102" s="1" t="s">
        <v>7</v>
      </c>
    </row>
    <row r="2103" spans="1:7" hidden="1">
      <c r="A2103" t="s">
        <v>6</v>
      </c>
      <c r="B2103" s="1" t="s">
        <v>55</v>
      </c>
      <c r="C2103" s="2">
        <v>2010</v>
      </c>
      <c r="D2103" s="2">
        <v>29</v>
      </c>
      <c r="E2103" s="2">
        <v>28</v>
      </c>
      <c r="F2103" s="2">
        <v>1</v>
      </c>
      <c r="G2103" s="1" t="s">
        <v>7</v>
      </c>
    </row>
    <row r="2104" spans="1:7" hidden="1">
      <c r="A2104" t="s">
        <v>6</v>
      </c>
      <c r="B2104" s="1" t="s">
        <v>56</v>
      </c>
      <c r="C2104" s="2">
        <v>2011</v>
      </c>
      <c r="D2104" s="2">
        <v>37</v>
      </c>
      <c r="E2104" s="2">
        <v>33</v>
      </c>
      <c r="F2104" s="2">
        <v>2</v>
      </c>
      <c r="G2104" s="2">
        <v>2</v>
      </c>
    </row>
    <row r="2105" spans="1:7" hidden="1">
      <c r="A2105" t="s">
        <v>6</v>
      </c>
      <c r="B2105" s="1" t="s">
        <v>56</v>
      </c>
      <c r="C2105" s="2">
        <v>2012</v>
      </c>
      <c r="D2105" s="2">
        <v>2</v>
      </c>
      <c r="E2105" s="2">
        <v>1</v>
      </c>
      <c r="F2105" s="2">
        <v>1</v>
      </c>
      <c r="G2105" s="1" t="s">
        <v>7</v>
      </c>
    </row>
    <row r="2106" spans="1:7" hidden="1">
      <c r="A2106" t="s">
        <v>6</v>
      </c>
      <c r="B2106" s="1" t="s">
        <v>57</v>
      </c>
      <c r="C2106" s="2">
        <v>2012</v>
      </c>
      <c r="D2106" s="2">
        <v>35</v>
      </c>
      <c r="E2106" s="2">
        <v>25</v>
      </c>
      <c r="F2106" s="2">
        <v>8</v>
      </c>
      <c r="G2106" s="2">
        <v>2</v>
      </c>
    </row>
    <row r="2107" spans="1:7" hidden="1">
      <c r="A2107" t="s">
        <v>6</v>
      </c>
      <c r="B2107" s="1" t="s">
        <v>57</v>
      </c>
      <c r="C2107" s="2">
        <v>2013</v>
      </c>
      <c r="D2107" s="2">
        <v>4</v>
      </c>
      <c r="E2107" s="2">
        <v>4</v>
      </c>
      <c r="F2107" s="1" t="s">
        <v>7</v>
      </c>
      <c r="G2107" s="1" t="s">
        <v>7</v>
      </c>
    </row>
    <row r="2108" spans="1:7" hidden="1">
      <c r="A2108" t="s">
        <v>6</v>
      </c>
      <c r="B2108" s="1" t="s">
        <v>57</v>
      </c>
      <c r="C2108" s="2">
        <v>2016</v>
      </c>
      <c r="D2108" s="2">
        <v>3</v>
      </c>
      <c r="E2108" s="2">
        <v>3</v>
      </c>
      <c r="F2108" s="1" t="s">
        <v>7</v>
      </c>
      <c r="G2108" s="1" t="s">
        <v>7</v>
      </c>
    </row>
    <row r="2109" spans="1:7" hidden="1">
      <c r="A2109" t="s">
        <v>6</v>
      </c>
      <c r="B2109" s="1" t="s">
        <v>58</v>
      </c>
      <c r="C2109" s="2">
        <v>2013</v>
      </c>
      <c r="D2109" s="2">
        <v>49</v>
      </c>
      <c r="E2109" s="2">
        <v>41</v>
      </c>
      <c r="F2109" s="2">
        <v>7</v>
      </c>
      <c r="G2109" s="2">
        <v>1</v>
      </c>
    </row>
    <row r="2110" spans="1:7" hidden="1">
      <c r="A2110" t="s">
        <v>6</v>
      </c>
      <c r="B2110" s="1" t="s">
        <v>58</v>
      </c>
      <c r="C2110" s="2">
        <v>2014</v>
      </c>
      <c r="D2110" s="2">
        <v>1</v>
      </c>
      <c r="E2110" s="2">
        <v>1</v>
      </c>
      <c r="F2110" s="1" t="s">
        <v>7</v>
      </c>
      <c r="G2110" s="1" t="s">
        <v>7</v>
      </c>
    </row>
    <row r="2111" spans="1:7" hidden="1">
      <c r="A2111" t="s">
        <v>6</v>
      </c>
      <c r="B2111" s="1" t="s">
        <v>58</v>
      </c>
      <c r="C2111" s="2">
        <v>2016</v>
      </c>
      <c r="D2111" s="2">
        <v>3</v>
      </c>
      <c r="E2111" s="2">
        <v>1</v>
      </c>
      <c r="F2111" s="1" t="s">
        <v>7</v>
      </c>
      <c r="G2111" s="2">
        <v>2</v>
      </c>
    </row>
    <row r="2112" spans="1:7" hidden="1">
      <c r="A2112" t="s">
        <v>6</v>
      </c>
      <c r="B2112" s="1" t="s">
        <v>59</v>
      </c>
      <c r="C2112" s="2">
        <v>2014</v>
      </c>
      <c r="D2112" s="2">
        <v>28</v>
      </c>
      <c r="E2112" s="2">
        <v>26</v>
      </c>
      <c r="F2112" s="2">
        <v>1</v>
      </c>
      <c r="G2112" s="2">
        <v>1</v>
      </c>
    </row>
    <row r="2113" spans="1:7" hidden="1">
      <c r="A2113" t="s">
        <v>6</v>
      </c>
      <c r="B2113" s="1" t="s">
        <v>59</v>
      </c>
      <c r="C2113" s="2">
        <v>2015</v>
      </c>
      <c r="D2113" s="2">
        <v>3</v>
      </c>
      <c r="E2113" s="2">
        <v>3</v>
      </c>
      <c r="F2113" s="1" t="s">
        <v>7</v>
      </c>
      <c r="G2113" s="1" t="s">
        <v>7</v>
      </c>
    </row>
    <row r="2114" spans="1:7" hidden="1">
      <c r="A2114" t="s">
        <v>6</v>
      </c>
      <c r="B2114" s="1" t="s">
        <v>59</v>
      </c>
      <c r="C2114" s="2">
        <v>2016</v>
      </c>
      <c r="D2114" s="2">
        <v>3</v>
      </c>
      <c r="E2114" s="2">
        <v>3</v>
      </c>
      <c r="F2114" s="1" t="s">
        <v>7</v>
      </c>
      <c r="G2114" s="1" t="s">
        <v>7</v>
      </c>
    </row>
    <row r="2115" spans="1:7" hidden="1">
      <c r="A2115" t="s">
        <v>6</v>
      </c>
      <c r="B2115" s="1" t="s">
        <v>60</v>
      </c>
      <c r="C2115" s="2">
        <v>2015</v>
      </c>
      <c r="D2115" s="2">
        <v>42</v>
      </c>
      <c r="E2115" s="2">
        <v>38</v>
      </c>
      <c r="F2115" s="2">
        <v>2</v>
      </c>
      <c r="G2115" s="2">
        <v>2</v>
      </c>
    </row>
    <row r="2116" spans="1:7" hidden="1">
      <c r="A2116" t="s">
        <v>6</v>
      </c>
      <c r="B2116" s="1" t="s">
        <v>60</v>
      </c>
      <c r="C2116" s="2">
        <v>2016</v>
      </c>
      <c r="D2116" s="2">
        <v>7</v>
      </c>
      <c r="E2116" s="2">
        <v>5</v>
      </c>
      <c r="F2116" s="2">
        <v>2</v>
      </c>
      <c r="G2116" s="1" t="s">
        <v>7</v>
      </c>
    </row>
    <row r="2117" spans="1:7" hidden="1">
      <c r="A2117" t="s">
        <v>6</v>
      </c>
      <c r="B2117" s="1" t="s">
        <v>61</v>
      </c>
      <c r="C2117" s="2">
        <v>2016</v>
      </c>
      <c r="D2117" s="2">
        <v>84</v>
      </c>
      <c r="E2117" s="2">
        <v>68</v>
      </c>
      <c r="F2117" s="2">
        <v>11</v>
      </c>
      <c r="G2117" s="2">
        <v>5</v>
      </c>
    </row>
    <row r="2118" spans="1:7" hidden="1">
      <c r="A2118" t="s">
        <v>6</v>
      </c>
      <c r="B2118" s="1" t="s">
        <v>61</v>
      </c>
      <c r="C2118" s="2">
        <v>2017</v>
      </c>
      <c r="D2118" s="2">
        <v>3</v>
      </c>
      <c r="E2118" s="2">
        <v>3</v>
      </c>
      <c r="F2118" s="1" t="s">
        <v>7</v>
      </c>
      <c r="G2118" s="1" t="s">
        <v>7</v>
      </c>
    </row>
    <row r="2119" spans="1:7" hidden="1">
      <c r="A2119" t="s">
        <v>6</v>
      </c>
      <c r="B2119" s="1" t="s">
        <v>62</v>
      </c>
      <c r="C2119" s="2">
        <v>2017</v>
      </c>
      <c r="D2119" s="2">
        <v>9</v>
      </c>
      <c r="E2119" s="2">
        <v>7</v>
      </c>
      <c r="F2119" s="2">
        <v>2</v>
      </c>
      <c r="G2119" s="1" t="s">
        <v>7</v>
      </c>
    </row>
    <row r="2120" spans="1:7" hidden="1">
      <c r="A2120" t="s">
        <v>6</v>
      </c>
      <c r="B2120" s="1" t="s">
        <v>63</v>
      </c>
      <c r="C2120" s="2">
        <v>2018</v>
      </c>
      <c r="D2120" s="2">
        <v>4</v>
      </c>
      <c r="E2120" s="2">
        <v>4</v>
      </c>
      <c r="F2120" s="1" t="s">
        <v>7</v>
      </c>
      <c r="G2120" s="1" t="s">
        <v>7</v>
      </c>
    </row>
    <row r="2121" spans="1:7" hidden="1">
      <c r="A2121" t="s">
        <v>6</v>
      </c>
      <c r="B2121" s="1" t="s">
        <v>64</v>
      </c>
      <c r="C2121" s="2">
        <v>2019</v>
      </c>
      <c r="D2121" s="2">
        <v>3</v>
      </c>
      <c r="E2121" s="2">
        <v>2</v>
      </c>
      <c r="F2121" s="2">
        <v>1</v>
      </c>
      <c r="G2121" s="1" t="s">
        <v>7</v>
      </c>
    </row>
    <row r="2122" spans="1:7" hidden="1">
      <c r="A2122" t="s">
        <v>6</v>
      </c>
      <c r="B2122" s="1" t="s">
        <v>65</v>
      </c>
      <c r="C2122" s="2">
        <v>2020</v>
      </c>
      <c r="D2122" s="2">
        <v>4</v>
      </c>
      <c r="E2122" s="2">
        <v>4</v>
      </c>
      <c r="F2122" s="1" t="s">
        <v>7</v>
      </c>
      <c r="G2122" s="1" t="s">
        <v>7</v>
      </c>
    </row>
    <row r="2123" spans="1:7" hidden="1">
      <c r="A2123" t="s">
        <v>6</v>
      </c>
      <c r="B2123" s="1" t="s">
        <v>66</v>
      </c>
      <c r="C2123" s="2">
        <v>2021</v>
      </c>
      <c r="D2123" s="2">
        <v>9</v>
      </c>
      <c r="E2123" s="2">
        <v>9</v>
      </c>
      <c r="F2123" s="1" t="s">
        <v>7</v>
      </c>
      <c r="G2123" s="1" t="s">
        <v>7</v>
      </c>
    </row>
    <row r="2124" spans="1:7" hidden="1">
      <c r="A2124" t="s">
        <v>6</v>
      </c>
      <c r="B2124" s="1" t="s">
        <v>67</v>
      </c>
      <c r="C2124" s="2">
        <v>2022</v>
      </c>
      <c r="D2124" s="2">
        <v>5</v>
      </c>
      <c r="E2124" s="2">
        <v>4</v>
      </c>
      <c r="F2124" s="2">
        <v>1</v>
      </c>
      <c r="G2124" s="1" t="s">
        <v>7</v>
      </c>
    </row>
    <row r="2125" spans="1:7" hidden="1">
      <c r="A2125" t="s">
        <v>6</v>
      </c>
      <c r="B2125" s="1" t="s">
        <v>68</v>
      </c>
      <c r="C2125" s="2">
        <v>2023</v>
      </c>
      <c r="D2125" s="2">
        <v>8</v>
      </c>
      <c r="E2125" s="2">
        <v>5</v>
      </c>
      <c r="F2125" s="2">
        <v>3</v>
      </c>
      <c r="G2125" s="1" t="s">
        <v>7</v>
      </c>
    </row>
    <row r="2126" spans="1:7" hidden="1">
      <c r="A2126" t="s">
        <v>6</v>
      </c>
      <c r="B2126" s="1" t="s">
        <v>69</v>
      </c>
      <c r="C2126" s="2">
        <v>2024</v>
      </c>
      <c r="D2126" s="2">
        <v>5</v>
      </c>
      <c r="E2126" s="2">
        <v>2</v>
      </c>
      <c r="F2126" s="2">
        <v>3</v>
      </c>
      <c r="G2126" s="1" t="s">
        <v>7</v>
      </c>
    </row>
    <row r="2127" spans="1:7" hidden="1">
      <c r="A2127" t="s">
        <v>6</v>
      </c>
      <c r="B2127" s="1" t="s">
        <v>6</v>
      </c>
      <c r="C2127" s="2">
        <v>1990</v>
      </c>
      <c r="D2127" s="2">
        <v>6</v>
      </c>
      <c r="E2127" s="2">
        <v>5</v>
      </c>
      <c r="F2127" s="2">
        <v>1</v>
      </c>
      <c r="G2127" s="1" t="s">
        <v>7</v>
      </c>
    </row>
    <row r="2128" spans="1:7" hidden="1">
      <c r="A2128" t="s">
        <v>6</v>
      </c>
      <c r="B2128" s="1" t="s">
        <v>6</v>
      </c>
      <c r="C2128" s="2">
        <v>1991</v>
      </c>
      <c r="D2128" s="2">
        <v>1</v>
      </c>
      <c r="E2128" s="2">
        <v>1</v>
      </c>
      <c r="F2128" s="1" t="s">
        <v>7</v>
      </c>
      <c r="G2128" s="1" t="s">
        <v>7</v>
      </c>
    </row>
    <row r="2129" spans="1:7" hidden="1">
      <c r="A2129" t="s">
        <v>6</v>
      </c>
      <c r="B2129" s="1" t="s">
        <v>6</v>
      </c>
      <c r="C2129" s="2">
        <v>1992</v>
      </c>
      <c r="D2129" s="2">
        <v>4</v>
      </c>
      <c r="E2129" s="2">
        <v>4</v>
      </c>
      <c r="F2129" s="1" t="s">
        <v>7</v>
      </c>
      <c r="G2129" s="1" t="s">
        <v>7</v>
      </c>
    </row>
    <row r="2130" spans="1:7" hidden="1">
      <c r="A2130" t="s">
        <v>6</v>
      </c>
      <c r="B2130" s="1" t="s">
        <v>6</v>
      </c>
      <c r="C2130" s="2">
        <v>1993</v>
      </c>
      <c r="D2130" s="2">
        <v>4</v>
      </c>
      <c r="E2130" s="2">
        <v>3</v>
      </c>
      <c r="F2130" s="1" t="s">
        <v>7</v>
      </c>
      <c r="G2130" s="2">
        <v>1</v>
      </c>
    </row>
    <row r="2131" spans="1:7" hidden="1">
      <c r="A2131" t="s">
        <v>6</v>
      </c>
      <c r="B2131" s="1" t="s">
        <v>6</v>
      </c>
      <c r="C2131" s="2">
        <v>1994</v>
      </c>
      <c r="D2131" s="2">
        <v>2</v>
      </c>
      <c r="E2131" s="2">
        <v>2</v>
      </c>
      <c r="F2131" s="1" t="s">
        <v>7</v>
      </c>
      <c r="G2131" s="1" t="s">
        <v>7</v>
      </c>
    </row>
    <row r="2132" spans="1:7" hidden="1">
      <c r="A2132" t="s">
        <v>6</v>
      </c>
      <c r="B2132" s="1" t="s">
        <v>6</v>
      </c>
      <c r="C2132" s="2">
        <v>1995</v>
      </c>
      <c r="D2132" s="2">
        <v>2</v>
      </c>
      <c r="E2132" s="2">
        <v>1</v>
      </c>
      <c r="F2132" s="1" t="s">
        <v>7</v>
      </c>
      <c r="G2132" s="2">
        <v>1</v>
      </c>
    </row>
    <row r="2133" spans="1:7" hidden="1">
      <c r="A2133" t="s">
        <v>6</v>
      </c>
      <c r="B2133" s="1" t="s">
        <v>6</v>
      </c>
      <c r="C2133" s="2">
        <v>1997</v>
      </c>
      <c r="D2133" s="2">
        <v>1</v>
      </c>
      <c r="E2133" s="1" t="s">
        <v>7</v>
      </c>
      <c r="F2133" s="1" t="s">
        <v>7</v>
      </c>
      <c r="G2133" s="2">
        <v>1</v>
      </c>
    </row>
    <row r="2134" spans="1:7" hidden="1">
      <c r="A2134" t="s">
        <v>6</v>
      </c>
      <c r="B2134" s="1" t="s">
        <v>6</v>
      </c>
      <c r="C2134" s="2">
        <v>2010</v>
      </c>
      <c r="D2134" s="2">
        <v>1</v>
      </c>
      <c r="E2134" s="2">
        <v>1</v>
      </c>
      <c r="F2134" s="1" t="s">
        <v>7</v>
      </c>
      <c r="G2134" s="1" t="s">
        <v>7</v>
      </c>
    </row>
    <row r="2135" spans="1:7" hidden="1">
      <c r="A2135" t="s">
        <v>6</v>
      </c>
      <c r="B2135" s="1" t="s">
        <v>6</v>
      </c>
      <c r="C2135" s="2">
        <v>2011</v>
      </c>
      <c r="D2135" s="2">
        <v>1</v>
      </c>
      <c r="E2135" s="2">
        <v>1</v>
      </c>
      <c r="F2135" s="1" t="s">
        <v>7</v>
      </c>
      <c r="G2135" s="1" t="s">
        <v>7</v>
      </c>
    </row>
    <row r="2136" spans="1:7" hidden="1">
      <c r="A2136" t="s">
        <v>6</v>
      </c>
      <c r="B2136" s="1" t="s">
        <v>6</v>
      </c>
      <c r="C2136" s="2">
        <v>2013</v>
      </c>
      <c r="D2136" s="2">
        <v>2</v>
      </c>
      <c r="E2136" s="2">
        <v>2</v>
      </c>
      <c r="F2136" s="1" t="s">
        <v>7</v>
      </c>
      <c r="G2136" s="1" t="s">
        <v>7</v>
      </c>
    </row>
    <row r="2137" spans="1:7" hidden="1">
      <c r="A2137" t="s">
        <v>6</v>
      </c>
      <c r="B2137" s="1" t="s">
        <v>6</v>
      </c>
      <c r="C2137" s="2">
        <v>2016</v>
      </c>
      <c r="D2137" s="2">
        <v>6</v>
      </c>
      <c r="E2137" s="2">
        <v>5</v>
      </c>
      <c r="F2137" s="2">
        <v>1</v>
      </c>
      <c r="G2137" s="1" t="s">
        <v>7</v>
      </c>
    </row>
    <row r="2138" spans="1:7" hidden="1">
      <c r="A2138" t="s">
        <v>6</v>
      </c>
      <c r="B2138" s="1" t="s">
        <v>6</v>
      </c>
      <c r="C2138" s="2">
        <v>2017</v>
      </c>
      <c r="D2138" s="2">
        <v>1</v>
      </c>
      <c r="E2138" s="1" t="s">
        <v>7</v>
      </c>
      <c r="F2138" s="2">
        <v>1</v>
      </c>
      <c r="G2138" s="1" t="s">
        <v>7</v>
      </c>
    </row>
    <row r="2139" spans="1:7" hidden="1">
      <c r="A2139" t="s">
        <v>6</v>
      </c>
      <c r="B2139" s="1" t="s">
        <v>6</v>
      </c>
      <c r="C2139" s="2">
        <v>2019</v>
      </c>
      <c r="D2139" s="2">
        <v>6</v>
      </c>
      <c r="E2139" s="2">
        <v>3</v>
      </c>
      <c r="F2139" s="2">
        <v>3</v>
      </c>
      <c r="G2139" s="1" t="s">
        <v>7</v>
      </c>
    </row>
    <row r="2140" spans="1:7" hidden="1">
      <c r="A2140" t="s">
        <v>6</v>
      </c>
      <c r="B2140" s="1" t="s">
        <v>6</v>
      </c>
      <c r="C2140" s="2">
        <v>2022</v>
      </c>
      <c r="D2140" s="2">
        <v>20</v>
      </c>
      <c r="E2140" s="2">
        <v>17</v>
      </c>
      <c r="F2140" s="2">
        <v>3</v>
      </c>
      <c r="G2140" s="1" t="s">
        <v>7</v>
      </c>
    </row>
    <row r="2141" spans="1:7" hidden="1">
      <c r="A2141" t="s">
        <v>6</v>
      </c>
      <c r="B2141" s="1" t="s">
        <v>6</v>
      </c>
      <c r="C2141" s="2">
        <v>2023</v>
      </c>
      <c r="D2141" s="2">
        <v>2</v>
      </c>
      <c r="E2141" s="2">
        <v>1</v>
      </c>
      <c r="F2141" s="2">
        <v>1</v>
      </c>
      <c r="G2141" s="1" t="s">
        <v>7</v>
      </c>
    </row>
    <row r="2142" spans="1:7" hidden="1">
      <c r="A2142" t="s">
        <v>6</v>
      </c>
      <c r="B2142" s="1" t="s">
        <v>6</v>
      </c>
      <c r="C2142" s="2">
        <v>2024</v>
      </c>
      <c r="D2142" s="2">
        <v>2</v>
      </c>
      <c r="E2142" s="2">
        <v>2</v>
      </c>
      <c r="F2142" s="1" t="s">
        <v>7</v>
      </c>
      <c r="G2142" s="1" t="s">
        <v>7</v>
      </c>
    </row>
  </sheetData>
  <autoFilter ref="A2:G2142" xr:uid="{70F9A322-96DE-4964-9701-72A304D68B88}">
    <filterColumn colId="0">
      <filters>
        <filter val="10-14 años"/>
        <filter val="1-4 años"/>
        <filter val="15-19 años"/>
        <filter val="20-24 años"/>
        <filter val="25-29 años"/>
        <filter val="30-34 años"/>
        <filter val="35-39 años"/>
        <filter val="40-44 años"/>
        <filter val="45-49 años"/>
        <filter val="50-54 años"/>
        <filter val="55-59 años"/>
        <filter val="5-9 años"/>
        <filter val="60-64 años"/>
        <filter val="65-69 años"/>
        <filter val="70-74 años"/>
        <filter val="75-79 años"/>
        <filter val="80-84 años"/>
        <filter val="85 años y más"/>
        <filter val="Menores de 1 año"/>
      </filters>
    </filterColumn>
    <filterColumn colId="1">
      <filters>
        <filter val="Total"/>
      </filters>
    </filterColumn>
    <filterColumn colId="2">
      <filters>
        <filter val="2010"/>
        <filter val="2019"/>
        <filter val="202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8702-85AA-4F04-B105-393031C71970}">
  <dimension ref="A1:D115"/>
  <sheetViews>
    <sheetView topLeftCell="A73" workbookViewId="0">
      <selection activeCell="D21" sqref="D21:D39"/>
    </sheetView>
  </sheetViews>
  <sheetFormatPr baseColWidth="10" defaultRowHeight="14.4"/>
  <cols>
    <col min="4" max="4" width="11.109375" customWidth="1"/>
  </cols>
  <sheetData>
    <row r="1" spans="1:4">
      <c r="A1" t="s">
        <v>89</v>
      </c>
      <c r="B1" t="s">
        <v>90</v>
      </c>
      <c r="C1" t="s">
        <v>0</v>
      </c>
      <c r="D1" t="s">
        <v>91</v>
      </c>
    </row>
    <row r="2" spans="1:4">
      <c r="A2">
        <v>2010</v>
      </c>
      <c r="B2" t="s">
        <v>92</v>
      </c>
      <c r="C2">
        <v>0</v>
      </c>
      <c r="D2" s="70">
        <v>68</v>
      </c>
    </row>
    <row r="3" spans="1:4">
      <c r="A3">
        <v>2010</v>
      </c>
      <c r="B3" t="s">
        <v>92</v>
      </c>
      <c r="C3">
        <v>1</v>
      </c>
      <c r="D3" s="70">
        <v>13</v>
      </c>
    </row>
    <row r="4" spans="1:4">
      <c r="A4">
        <v>2010</v>
      </c>
      <c r="B4" t="s">
        <v>92</v>
      </c>
      <c r="C4">
        <v>5</v>
      </c>
      <c r="D4" s="70">
        <v>8</v>
      </c>
    </row>
    <row r="5" spans="1:4">
      <c r="A5">
        <v>2010</v>
      </c>
      <c r="B5" t="s">
        <v>92</v>
      </c>
      <c r="C5">
        <v>10</v>
      </c>
      <c r="D5" s="70">
        <v>6</v>
      </c>
    </row>
    <row r="6" spans="1:4">
      <c r="A6">
        <v>2010</v>
      </c>
      <c r="B6" t="s">
        <v>92</v>
      </c>
      <c r="C6">
        <v>15</v>
      </c>
      <c r="D6" s="70">
        <v>32</v>
      </c>
    </row>
    <row r="7" spans="1:4">
      <c r="A7">
        <v>2010</v>
      </c>
      <c r="B7" t="s">
        <v>92</v>
      </c>
      <c r="C7">
        <v>20</v>
      </c>
      <c r="D7" s="70">
        <v>45</v>
      </c>
    </row>
    <row r="8" spans="1:4">
      <c r="A8">
        <v>2010</v>
      </c>
      <c r="B8" t="s">
        <v>92</v>
      </c>
      <c r="C8">
        <v>25</v>
      </c>
      <c r="D8" s="70">
        <v>48</v>
      </c>
    </row>
    <row r="9" spans="1:4">
      <c r="A9">
        <v>2010</v>
      </c>
      <c r="B9" t="s">
        <v>92</v>
      </c>
      <c r="C9">
        <v>30</v>
      </c>
      <c r="D9" s="70">
        <v>57</v>
      </c>
    </row>
    <row r="10" spans="1:4">
      <c r="A10">
        <v>2010</v>
      </c>
      <c r="B10" t="s">
        <v>92</v>
      </c>
      <c r="C10">
        <v>35</v>
      </c>
      <c r="D10" s="70">
        <v>90</v>
      </c>
    </row>
    <row r="11" spans="1:4">
      <c r="A11">
        <v>2010</v>
      </c>
      <c r="B11" t="s">
        <v>92</v>
      </c>
      <c r="C11">
        <v>40</v>
      </c>
      <c r="D11" s="70">
        <v>82</v>
      </c>
    </row>
    <row r="12" spans="1:4">
      <c r="A12">
        <v>2010</v>
      </c>
      <c r="B12" t="s">
        <v>92</v>
      </c>
      <c r="C12">
        <v>45</v>
      </c>
      <c r="D12" s="70">
        <v>91</v>
      </c>
    </row>
    <row r="13" spans="1:4">
      <c r="A13">
        <v>2010</v>
      </c>
      <c r="B13" t="s">
        <v>92</v>
      </c>
      <c r="C13">
        <v>50</v>
      </c>
      <c r="D13" s="70">
        <v>119</v>
      </c>
    </row>
    <row r="14" spans="1:4">
      <c r="A14">
        <v>2010</v>
      </c>
      <c r="B14" t="s">
        <v>92</v>
      </c>
      <c r="C14">
        <v>55</v>
      </c>
      <c r="D14" s="70">
        <v>117</v>
      </c>
    </row>
    <row r="15" spans="1:4">
      <c r="A15">
        <v>2010</v>
      </c>
      <c r="B15" t="s">
        <v>92</v>
      </c>
      <c r="C15">
        <v>60</v>
      </c>
      <c r="D15" s="70">
        <v>150</v>
      </c>
    </row>
    <row r="16" spans="1:4">
      <c r="A16">
        <v>2010</v>
      </c>
      <c r="B16" t="s">
        <v>92</v>
      </c>
      <c r="C16">
        <v>65</v>
      </c>
      <c r="D16" s="70">
        <v>159</v>
      </c>
    </row>
    <row r="17" spans="1:4">
      <c r="A17">
        <v>2010</v>
      </c>
      <c r="B17" t="s">
        <v>92</v>
      </c>
      <c r="C17">
        <v>70</v>
      </c>
      <c r="D17" s="70">
        <v>162</v>
      </c>
    </row>
    <row r="18" spans="1:4">
      <c r="A18">
        <v>2010</v>
      </c>
      <c r="B18" t="s">
        <v>92</v>
      </c>
      <c r="C18">
        <v>75</v>
      </c>
      <c r="D18" s="70">
        <v>170</v>
      </c>
    </row>
    <row r="19" spans="1:4">
      <c r="A19">
        <v>2010</v>
      </c>
      <c r="B19" t="s">
        <v>92</v>
      </c>
      <c r="C19">
        <v>80</v>
      </c>
      <c r="D19" s="70">
        <v>158</v>
      </c>
    </row>
    <row r="20" spans="1:4">
      <c r="A20">
        <v>2010</v>
      </c>
      <c r="B20" t="s">
        <v>92</v>
      </c>
      <c r="C20">
        <v>85</v>
      </c>
      <c r="D20" s="70">
        <v>283</v>
      </c>
    </row>
    <row r="21" spans="1:4">
      <c r="A21" s="5">
        <v>2019</v>
      </c>
      <c r="B21" s="5" t="s">
        <v>92</v>
      </c>
      <c r="C21" s="5">
        <v>0</v>
      </c>
      <c r="D21" s="79">
        <v>46</v>
      </c>
    </row>
    <row r="22" spans="1:4">
      <c r="A22" s="5">
        <v>2019</v>
      </c>
      <c r="B22" s="5" t="s">
        <v>92</v>
      </c>
      <c r="C22" s="5">
        <v>1</v>
      </c>
      <c r="D22" s="79">
        <v>11</v>
      </c>
    </row>
    <row r="23" spans="1:4">
      <c r="A23" s="5">
        <v>2019</v>
      </c>
      <c r="B23" s="5" t="s">
        <v>92</v>
      </c>
      <c r="C23" s="5">
        <v>5</v>
      </c>
      <c r="D23" s="79">
        <v>6</v>
      </c>
    </row>
    <row r="24" spans="1:4">
      <c r="A24" s="5">
        <v>2019</v>
      </c>
      <c r="B24" s="5" t="s">
        <v>92</v>
      </c>
      <c r="C24" s="5">
        <v>10</v>
      </c>
      <c r="D24" s="79">
        <v>7</v>
      </c>
    </row>
    <row r="25" spans="1:4">
      <c r="A25" s="5">
        <v>2019</v>
      </c>
      <c r="B25" s="5" t="s">
        <v>92</v>
      </c>
      <c r="C25" s="5">
        <v>15</v>
      </c>
      <c r="D25" s="79">
        <v>58</v>
      </c>
    </row>
    <row r="26" spans="1:4">
      <c r="A26" s="5">
        <v>2019</v>
      </c>
      <c r="B26" s="5" t="s">
        <v>92</v>
      </c>
      <c r="C26" s="5">
        <v>20</v>
      </c>
      <c r="D26" s="79">
        <v>129</v>
      </c>
    </row>
    <row r="27" spans="1:4">
      <c r="A27" s="5">
        <v>2019</v>
      </c>
      <c r="B27" s="5" t="s">
        <v>92</v>
      </c>
      <c r="C27" s="5">
        <v>25</v>
      </c>
      <c r="D27" s="79">
        <v>149</v>
      </c>
    </row>
    <row r="28" spans="1:4">
      <c r="A28" s="5">
        <v>2019</v>
      </c>
      <c r="B28" s="5" t="s">
        <v>92</v>
      </c>
      <c r="C28" s="5">
        <v>30</v>
      </c>
      <c r="D28" s="79">
        <v>141</v>
      </c>
    </row>
    <row r="29" spans="1:4">
      <c r="A29" s="5">
        <v>2019</v>
      </c>
      <c r="B29" s="5" t="s">
        <v>92</v>
      </c>
      <c r="C29" s="5">
        <v>35</v>
      </c>
      <c r="D29" s="79">
        <v>127</v>
      </c>
    </row>
    <row r="30" spans="1:4">
      <c r="A30" s="5">
        <v>2019</v>
      </c>
      <c r="B30" s="5" t="s">
        <v>92</v>
      </c>
      <c r="C30" s="5">
        <v>40</v>
      </c>
      <c r="D30" s="79">
        <v>156</v>
      </c>
    </row>
    <row r="31" spans="1:4">
      <c r="A31" s="5">
        <v>2019</v>
      </c>
      <c r="B31" s="5" t="s">
        <v>92</v>
      </c>
      <c r="C31" s="5">
        <v>45</v>
      </c>
      <c r="D31" s="79">
        <v>153</v>
      </c>
    </row>
    <row r="32" spans="1:4">
      <c r="A32" s="5">
        <v>2019</v>
      </c>
      <c r="B32" s="5" t="s">
        <v>92</v>
      </c>
      <c r="C32" s="5">
        <v>50</v>
      </c>
      <c r="D32" s="79">
        <v>160</v>
      </c>
    </row>
    <row r="33" spans="1:4">
      <c r="A33" s="5">
        <v>2019</v>
      </c>
      <c r="B33" s="5" t="s">
        <v>92</v>
      </c>
      <c r="C33" s="5">
        <v>55</v>
      </c>
      <c r="D33" s="79">
        <v>202</v>
      </c>
    </row>
    <row r="34" spans="1:4">
      <c r="A34" s="5">
        <v>2019</v>
      </c>
      <c r="B34" s="5" t="s">
        <v>92</v>
      </c>
      <c r="C34" s="5">
        <v>60</v>
      </c>
      <c r="D34" s="79">
        <v>233</v>
      </c>
    </row>
    <row r="35" spans="1:4">
      <c r="A35" s="5">
        <v>2019</v>
      </c>
      <c r="B35" s="5" t="s">
        <v>92</v>
      </c>
      <c r="C35" s="5">
        <v>65</v>
      </c>
      <c r="D35" s="79">
        <v>194</v>
      </c>
    </row>
    <row r="36" spans="1:4">
      <c r="A36" s="5">
        <v>2019</v>
      </c>
      <c r="B36" s="5" t="s">
        <v>92</v>
      </c>
      <c r="C36" s="5">
        <v>70</v>
      </c>
      <c r="D36" s="79">
        <v>218</v>
      </c>
    </row>
    <row r="37" spans="1:4">
      <c r="A37" s="5">
        <v>2019</v>
      </c>
      <c r="B37" s="5" t="s">
        <v>92</v>
      </c>
      <c r="C37" s="5">
        <v>75</v>
      </c>
      <c r="D37" s="79">
        <v>235</v>
      </c>
    </row>
    <row r="38" spans="1:4">
      <c r="A38" s="5">
        <v>2019</v>
      </c>
      <c r="B38" s="5" t="s">
        <v>92</v>
      </c>
      <c r="C38" s="5">
        <v>80</v>
      </c>
      <c r="D38" s="79">
        <v>185</v>
      </c>
    </row>
    <row r="39" spans="1:4">
      <c r="A39" s="5">
        <v>2019</v>
      </c>
      <c r="B39" s="5" t="s">
        <v>92</v>
      </c>
      <c r="C39" s="5">
        <v>85</v>
      </c>
      <c r="D39" s="79">
        <v>359</v>
      </c>
    </row>
    <row r="40" spans="1:4">
      <c r="A40">
        <v>2021</v>
      </c>
      <c r="B40" t="s">
        <v>92</v>
      </c>
      <c r="C40">
        <v>0</v>
      </c>
      <c r="D40" s="70">
        <v>49</v>
      </c>
    </row>
    <row r="41" spans="1:4">
      <c r="A41">
        <v>2021</v>
      </c>
      <c r="B41" t="s">
        <v>92</v>
      </c>
      <c r="C41">
        <v>1</v>
      </c>
      <c r="D41" s="70">
        <v>11</v>
      </c>
    </row>
    <row r="42" spans="1:4">
      <c r="A42">
        <v>2021</v>
      </c>
      <c r="B42" t="s">
        <v>92</v>
      </c>
      <c r="C42">
        <v>5</v>
      </c>
      <c r="D42" s="70">
        <v>9</v>
      </c>
    </row>
    <row r="43" spans="1:4">
      <c r="A43">
        <v>2021</v>
      </c>
      <c r="B43" t="s">
        <v>92</v>
      </c>
      <c r="C43">
        <v>10</v>
      </c>
      <c r="D43" s="70">
        <v>8</v>
      </c>
    </row>
    <row r="44" spans="1:4">
      <c r="A44">
        <v>2021</v>
      </c>
      <c r="B44" t="s">
        <v>92</v>
      </c>
      <c r="C44">
        <v>15</v>
      </c>
      <c r="D44" s="70">
        <v>50</v>
      </c>
    </row>
    <row r="45" spans="1:4">
      <c r="A45">
        <v>2021</v>
      </c>
      <c r="B45" t="s">
        <v>92</v>
      </c>
      <c r="C45">
        <v>20</v>
      </c>
      <c r="D45" s="70">
        <v>123</v>
      </c>
    </row>
    <row r="46" spans="1:4">
      <c r="A46">
        <v>2021</v>
      </c>
      <c r="B46" t="s">
        <v>92</v>
      </c>
      <c r="C46">
        <v>25</v>
      </c>
      <c r="D46" s="70">
        <v>162</v>
      </c>
    </row>
    <row r="47" spans="1:4">
      <c r="A47">
        <v>2021</v>
      </c>
      <c r="B47" t="s">
        <v>92</v>
      </c>
      <c r="C47">
        <v>30</v>
      </c>
      <c r="D47" s="70">
        <v>156</v>
      </c>
    </row>
    <row r="48" spans="1:4">
      <c r="A48">
        <v>2021</v>
      </c>
      <c r="B48" t="s">
        <v>92</v>
      </c>
      <c r="C48">
        <v>35</v>
      </c>
      <c r="D48" s="70">
        <v>185</v>
      </c>
    </row>
    <row r="49" spans="1:4">
      <c r="A49">
        <v>2021</v>
      </c>
      <c r="B49" t="s">
        <v>92</v>
      </c>
      <c r="C49">
        <v>40</v>
      </c>
      <c r="D49" s="70">
        <v>199</v>
      </c>
    </row>
    <row r="50" spans="1:4">
      <c r="A50">
        <v>2021</v>
      </c>
      <c r="B50" t="s">
        <v>92</v>
      </c>
      <c r="C50">
        <v>45</v>
      </c>
      <c r="D50" s="70">
        <v>210</v>
      </c>
    </row>
    <row r="51" spans="1:4">
      <c r="A51">
        <v>2021</v>
      </c>
      <c r="B51" t="s">
        <v>92</v>
      </c>
      <c r="C51">
        <v>50</v>
      </c>
      <c r="D51" s="70">
        <v>278</v>
      </c>
    </row>
    <row r="52" spans="1:4">
      <c r="A52">
        <v>2021</v>
      </c>
      <c r="B52" t="s">
        <v>92</v>
      </c>
      <c r="C52">
        <v>55</v>
      </c>
      <c r="D52" s="70">
        <v>314</v>
      </c>
    </row>
    <row r="53" spans="1:4">
      <c r="A53">
        <v>2021</v>
      </c>
      <c r="B53" t="s">
        <v>92</v>
      </c>
      <c r="C53">
        <v>60</v>
      </c>
      <c r="D53" s="70">
        <v>389</v>
      </c>
    </row>
    <row r="54" spans="1:4">
      <c r="A54">
        <v>2021</v>
      </c>
      <c r="B54" t="s">
        <v>92</v>
      </c>
      <c r="C54">
        <v>65</v>
      </c>
      <c r="D54" s="70">
        <v>436</v>
      </c>
    </row>
    <row r="55" spans="1:4">
      <c r="A55">
        <v>2021</v>
      </c>
      <c r="B55" t="s">
        <v>92</v>
      </c>
      <c r="C55">
        <v>70</v>
      </c>
      <c r="D55" s="70">
        <v>419</v>
      </c>
    </row>
    <row r="56" spans="1:4">
      <c r="A56">
        <v>2021</v>
      </c>
      <c r="B56" t="s">
        <v>92</v>
      </c>
      <c r="C56">
        <v>75</v>
      </c>
      <c r="D56" s="70">
        <v>388</v>
      </c>
    </row>
    <row r="57" spans="1:4">
      <c r="A57">
        <v>2021</v>
      </c>
      <c r="B57" t="s">
        <v>92</v>
      </c>
      <c r="C57">
        <v>80</v>
      </c>
      <c r="D57" s="70">
        <v>359</v>
      </c>
    </row>
    <row r="58" spans="1:4">
      <c r="A58">
        <v>2021</v>
      </c>
      <c r="B58" t="s">
        <v>92</v>
      </c>
      <c r="C58">
        <v>85</v>
      </c>
      <c r="D58" s="70">
        <v>517</v>
      </c>
    </row>
    <row r="59" spans="1:4">
      <c r="A59">
        <v>2010</v>
      </c>
      <c r="B59" t="s">
        <v>93</v>
      </c>
      <c r="C59">
        <v>0</v>
      </c>
      <c r="D59" s="70">
        <v>59</v>
      </c>
    </row>
    <row r="60" spans="1:4">
      <c r="A60">
        <v>2010</v>
      </c>
      <c r="B60" t="s">
        <v>93</v>
      </c>
      <c r="C60">
        <v>1</v>
      </c>
      <c r="D60" s="70">
        <v>15</v>
      </c>
    </row>
    <row r="61" spans="1:4">
      <c r="A61">
        <v>2010</v>
      </c>
      <c r="B61" t="s">
        <v>93</v>
      </c>
      <c r="C61">
        <v>5</v>
      </c>
      <c r="D61" s="70">
        <v>5</v>
      </c>
    </row>
    <row r="62" spans="1:4">
      <c r="A62">
        <v>2010</v>
      </c>
      <c r="B62" t="s">
        <v>93</v>
      </c>
      <c r="C62">
        <v>10</v>
      </c>
      <c r="D62" s="70">
        <v>7</v>
      </c>
    </row>
    <row r="63" spans="1:4">
      <c r="A63">
        <v>2010</v>
      </c>
      <c r="B63" t="s">
        <v>93</v>
      </c>
      <c r="C63">
        <v>15</v>
      </c>
      <c r="D63" s="70">
        <v>8</v>
      </c>
    </row>
    <row r="64" spans="1:4">
      <c r="A64">
        <v>2010</v>
      </c>
      <c r="B64" t="s">
        <v>93</v>
      </c>
      <c r="C64">
        <v>20</v>
      </c>
      <c r="D64" s="70">
        <v>12</v>
      </c>
    </row>
    <row r="65" spans="1:4">
      <c r="A65">
        <v>2010</v>
      </c>
      <c r="B65" t="s">
        <v>93</v>
      </c>
      <c r="C65">
        <v>25</v>
      </c>
      <c r="D65" s="70">
        <v>15</v>
      </c>
    </row>
    <row r="66" spans="1:4">
      <c r="A66">
        <v>2010</v>
      </c>
      <c r="B66" t="s">
        <v>93</v>
      </c>
      <c r="C66">
        <v>30</v>
      </c>
      <c r="D66" s="70">
        <v>26</v>
      </c>
    </row>
    <row r="67" spans="1:4">
      <c r="A67">
        <v>2010</v>
      </c>
      <c r="B67" t="s">
        <v>93</v>
      </c>
      <c r="C67">
        <v>35</v>
      </c>
      <c r="D67" s="70">
        <v>22</v>
      </c>
    </row>
    <row r="68" spans="1:4">
      <c r="A68">
        <v>2010</v>
      </c>
      <c r="B68" t="s">
        <v>93</v>
      </c>
      <c r="C68">
        <v>40</v>
      </c>
      <c r="D68" s="70">
        <v>31</v>
      </c>
    </row>
    <row r="69" spans="1:4">
      <c r="A69">
        <v>2010</v>
      </c>
      <c r="B69" t="s">
        <v>93</v>
      </c>
      <c r="C69">
        <v>45</v>
      </c>
      <c r="D69" s="70">
        <v>44</v>
      </c>
    </row>
    <row r="70" spans="1:4">
      <c r="A70">
        <v>2010</v>
      </c>
      <c r="B70" t="s">
        <v>93</v>
      </c>
      <c r="C70">
        <v>50</v>
      </c>
      <c r="D70" s="70">
        <v>44</v>
      </c>
    </row>
    <row r="71" spans="1:4">
      <c r="A71">
        <v>2010</v>
      </c>
      <c r="B71" t="s">
        <v>93</v>
      </c>
      <c r="C71">
        <v>55</v>
      </c>
      <c r="D71" s="70">
        <v>72</v>
      </c>
    </row>
    <row r="72" spans="1:4">
      <c r="A72">
        <v>2010</v>
      </c>
      <c r="B72" t="s">
        <v>93</v>
      </c>
      <c r="C72">
        <v>60</v>
      </c>
      <c r="D72" s="70">
        <v>95</v>
      </c>
    </row>
    <row r="73" spans="1:4">
      <c r="A73">
        <v>2010</v>
      </c>
      <c r="B73" t="s">
        <v>93</v>
      </c>
      <c r="C73">
        <v>65</v>
      </c>
      <c r="D73" s="70">
        <v>114</v>
      </c>
    </row>
    <row r="74" spans="1:4">
      <c r="A74">
        <v>2010</v>
      </c>
      <c r="B74" t="s">
        <v>93</v>
      </c>
      <c r="C74">
        <v>70</v>
      </c>
      <c r="D74" s="70">
        <v>121</v>
      </c>
    </row>
    <row r="75" spans="1:4">
      <c r="A75">
        <v>2010</v>
      </c>
      <c r="B75" t="s">
        <v>93</v>
      </c>
      <c r="C75">
        <v>75</v>
      </c>
      <c r="D75" s="70">
        <v>153</v>
      </c>
    </row>
    <row r="76" spans="1:4">
      <c r="A76">
        <v>2010</v>
      </c>
      <c r="B76" t="s">
        <v>93</v>
      </c>
      <c r="C76">
        <v>80</v>
      </c>
      <c r="D76" s="70">
        <v>144</v>
      </c>
    </row>
    <row r="77" spans="1:4">
      <c r="A77">
        <v>2010</v>
      </c>
      <c r="B77" t="s">
        <v>93</v>
      </c>
      <c r="C77">
        <v>85</v>
      </c>
      <c r="D77" s="70">
        <v>346</v>
      </c>
    </row>
    <row r="78" spans="1:4">
      <c r="A78" s="4">
        <v>2019</v>
      </c>
      <c r="B78" s="4" t="s">
        <v>93</v>
      </c>
      <c r="C78" s="4">
        <v>0</v>
      </c>
      <c r="D78" s="78">
        <v>34</v>
      </c>
    </row>
    <row r="79" spans="1:4">
      <c r="A79" s="4">
        <v>2019</v>
      </c>
      <c r="B79" s="4" t="s">
        <v>93</v>
      </c>
      <c r="C79" s="4">
        <v>1</v>
      </c>
      <c r="D79" s="78">
        <v>17</v>
      </c>
    </row>
    <row r="80" spans="1:4">
      <c r="A80" s="4">
        <v>2019</v>
      </c>
      <c r="B80" s="4" t="s">
        <v>93</v>
      </c>
      <c r="C80" s="4">
        <v>5</v>
      </c>
      <c r="D80" s="78">
        <v>8</v>
      </c>
    </row>
    <row r="81" spans="1:4">
      <c r="A81" s="4">
        <v>2019</v>
      </c>
      <c r="B81" s="4" t="s">
        <v>93</v>
      </c>
      <c r="C81" s="4">
        <v>10</v>
      </c>
      <c r="D81" s="78">
        <v>5</v>
      </c>
    </row>
    <row r="82" spans="1:4">
      <c r="A82" s="4">
        <v>2019</v>
      </c>
      <c r="B82" s="4" t="s">
        <v>93</v>
      </c>
      <c r="C82" s="4">
        <v>15</v>
      </c>
      <c r="D82" s="78">
        <v>15</v>
      </c>
    </row>
    <row r="83" spans="1:4">
      <c r="A83" s="4">
        <v>2019</v>
      </c>
      <c r="B83" s="4" t="s">
        <v>93</v>
      </c>
      <c r="C83" s="4">
        <v>20</v>
      </c>
      <c r="D83" s="78">
        <v>35</v>
      </c>
    </row>
    <row r="84" spans="1:4">
      <c r="A84" s="4">
        <v>2019</v>
      </c>
      <c r="B84" s="4" t="s">
        <v>93</v>
      </c>
      <c r="C84" s="4">
        <v>25</v>
      </c>
      <c r="D84" s="78">
        <v>39</v>
      </c>
    </row>
    <row r="85" spans="1:4">
      <c r="A85" s="4">
        <v>2019</v>
      </c>
      <c r="B85" s="4" t="s">
        <v>93</v>
      </c>
      <c r="C85" s="4">
        <v>30</v>
      </c>
      <c r="D85" s="78">
        <v>31</v>
      </c>
    </row>
    <row r="86" spans="1:4">
      <c r="A86" s="4">
        <v>2019</v>
      </c>
      <c r="B86" s="4" t="s">
        <v>93</v>
      </c>
      <c r="C86" s="4">
        <v>35</v>
      </c>
      <c r="D86" s="78">
        <v>32</v>
      </c>
    </row>
    <row r="87" spans="1:4">
      <c r="A87" s="4">
        <v>2019</v>
      </c>
      <c r="B87" s="4" t="s">
        <v>93</v>
      </c>
      <c r="C87" s="4">
        <v>40</v>
      </c>
      <c r="D87" s="78">
        <v>44</v>
      </c>
    </row>
    <row r="88" spans="1:4">
      <c r="A88" s="4">
        <v>2019</v>
      </c>
      <c r="B88" s="4" t="s">
        <v>93</v>
      </c>
      <c r="C88" s="4">
        <v>45</v>
      </c>
      <c r="D88" s="78">
        <v>73</v>
      </c>
    </row>
    <row r="89" spans="1:4">
      <c r="A89" s="4">
        <v>2019</v>
      </c>
      <c r="B89" s="4" t="s">
        <v>93</v>
      </c>
      <c r="C89" s="4">
        <v>50</v>
      </c>
      <c r="D89" s="78">
        <v>80</v>
      </c>
    </row>
    <row r="90" spans="1:4">
      <c r="A90" s="4">
        <v>2019</v>
      </c>
      <c r="B90" s="4" t="s">
        <v>93</v>
      </c>
      <c r="C90" s="4">
        <v>55</v>
      </c>
      <c r="D90" s="78">
        <v>91</v>
      </c>
    </row>
    <row r="91" spans="1:4">
      <c r="A91" s="4">
        <v>2019</v>
      </c>
      <c r="B91" s="4" t="s">
        <v>93</v>
      </c>
      <c r="C91" s="4">
        <v>60</v>
      </c>
      <c r="D91" s="78">
        <v>133</v>
      </c>
    </row>
    <row r="92" spans="1:4">
      <c r="A92" s="4">
        <v>2019</v>
      </c>
      <c r="B92" s="4" t="s">
        <v>93</v>
      </c>
      <c r="C92" s="4">
        <v>65</v>
      </c>
      <c r="D92" s="78">
        <v>158</v>
      </c>
    </row>
    <row r="93" spans="1:4">
      <c r="A93" s="4">
        <v>2019</v>
      </c>
      <c r="B93" s="4" t="s">
        <v>93</v>
      </c>
      <c r="C93" s="4">
        <v>70</v>
      </c>
      <c r="D93" s="78">
        <v>153</v>
      </c>
    </row>
    <row r="94" spans="1:4">
      <c r="A94" s="4">
        <v>2019</v>
      </c>
      <c r="B94" s="4" t="s">
        <v>93</v>
      </c>
      <c r="C94" s="4">
        <v>75</v>
      </c>
      <c r="D94" s="78">
        <v>197</v>
      </c>
    </row>
    <row r="95" spans="1:4">
      <c r="A95" s="4">
        <v>2019</v>
      </c>
      <c r="B95" s="4" t="s">
        <v>93</v>
      </c>
      <c r="C95" s="4">
        <v>80</v>
      </c>
      <c r="D95" s="78">
        <v>205</v>
      </c>
    </row>
    <row r="96" spans="1:4">
      <c r="A96" s="4">
        <v>2019</v>
      </c>
      <c r="B96" s="4" t="s">
        <v>93</v>
      </c>
      <c r="C96" s="4">
        <v>85</v>
      </c>
      <c r="D96" s="78">
        <v>438</v>
      </c>
    </row>
    <row r="97" spans="1:4">
      <c r="A97">
        <v>2021</v>
      </c>
      <c r="B97" t="s">
        <v>93</v>
      </c>
      <c r="C97">
        <v>0</v>
      </c>
      <c r="D97" s="70">
        <v>35</v>
      </c>
    </row>
    <row r="98" spans="1:4">
      <c r="A98">
        <v>2021</v>
      </c>
      <c r="B98" t="s">
        <v>93</v>
      </c>
      <c r="C98">
        <v>1</v>
      </c>
      <c r="D98" s="70">
        <v>5</v>
      </c>
    </row>
    <row r="99" spans="1:4">
      <c r="A99">
        <v>2021</v>
      </c>
      <c r="B99" t="s">
        <v>93</v>
      </c>
      <c r="C99">
        <v>5</v>
      </c>
      <c r="D99" s="70">
        <v>10</v>
      </c>
    </row>
    <row r="100" spans="1:4">
      <c r="A100">
        <v>2021</v>
      </c>
      <c r="B100" t="s">
        <v>93</v>
      </c>
      <c r="C100">
        <v>10</v>
      </c>
      <c r="D100" s="70">
        <v>10</v>
      </c>
    </row>
    <row r="101" spans="1:4">
      <c r="A101">
        <v>2021</v>
      </c>
      <c r="B101" t="s">
        <v>93</v>
      </c>
      <c r="C101">
        <v>15</v>
      </c>
      <c r="D101" s="70">
        <v>18</v>
      </c>
    </row>
    <row r="102" spans="1:4">
      <c r="A102">
        <v>2021</v>
      </c>
      <c r="B102" t="s">
        <v>93</v>
      </c>
      <c r="C102">
        <v>20</v>
      </c>
      <c r="D102" s="70">
        <v>21</v>
      </c>
    </row>
    <row r="103" spans="1:4">
      <c r="A103">
        <v>2021</v>
      </c>
      <c r="B103" t="s">
        <v>93</v>
      </c>
      <c r="C103">
        <v>25</v>
      </c>
      <c r="D103" s="70">
        <v>35</v>
      </c>
    </row>
    <row r="104" spans="1:4">
      <c r="A104">
        <v>2021</v>
      </c>
      <c r="B104" t="s">
        <v>93</v>
      </c>
      <c r="C104">
        <v>30</v>
      </c>
      <c r="D104" s="70">
        <v>48</v>
      </c>
    </row>
    <row r="105" spans="1:4">
      <c r="A105">
        <v>2021</v>
      </c>
      <c r="B105" t="s">
        <v>93</v>
      </c>
      <c r="C105">
        <v>35</v>
      </c>
      <c r="D105" s="70">
        <v>59</v>
      </c>
    </row>
    <row r="106" spans="1:4">
      <c r="A106">
        <v>2021</v>
      </c>
      <c r="B106" t="s">
        <v>93</v>
      </c>
      <c r="C106">
        <v>40</v>
      </c>
      <c r="D106" s="70">
        <v>66</v>
      </c>
    </row>
    <row r="107" spans="1:4">
      <c r="A107">
        <v>2021</v>
      </c>
      <c r="B107" t="s">
        <v>93</v>
      </c>
      <c r="C107">
        <v>45</v>
      </c>
      <c r="D107" s="70">
        <v>114</v>
      </c>
    </row>
    <row r="108" spans="1:4">
      <c r="A108">
        <v>2021</v>
      </c>
      <c r="B108" t="s">
        <v>93</v>
      </c>
      <c r="C108">
        <v>50</v>
      </c>
      <c r="D108" s="70">
        <v>149</v>
      </c>
    </row>
    <row r="109" spans="1:4">
      <c r="A109">
        <v>2021</v>
      </c>
      <c r="B109" t="s">
        <v>93</v>
      </c>
      <c r="C109">
        <v>55</v>
      </c>
      <c r="D109" s="70">
        <v>199</v>
      </c>
    </row>
    <row r="110" spans="1:4">
      <c r="A110">
        <v>2021</v>
      </c>
      <c r="B110" t="s">
        <v>93</v>
      </c>
      <c r="C110">
        <v>60</v>
      </c>
      <c r="D110" s="70">
        <v>230</v>
      </c>
    </row>
    <row r="111" spans="1:4">
      <c r="A111">
        <v>2021</v>
      </c>
      <c r="B111" t="s">
        <v>93</v>
      </c>
      <c r="C111">
        <v>65</v>
      </c>
      <c r="D111" s="70">
        <v>290</v>
      </c>
    </row>
    <row r="112" spans="1:4">
      <c r="A112">
        <v>2021</v>
      </c>
      <c r="B112" t="s">
        <v>93</v>
      </c>
      <c r="C112">
        <v>70</v>
      </c>
      <c r="D112" s="70">
        <v>327</v>
      </c>
    </row>
    <row r="113" spans="1:4">
      <c r="A113">
        <v>2021</v>
      </c>
      <c r="B113" t="s">
        <v>93</v>
      </c>
      <c r="C113">
        <v>75</v>
      </c>
      <c r="D113" s="70">
        <v>317</v>
      </c>
    </row>
    <row r="114" spans="1:4">
      <c r="A114">
        <v>2021</v>
      </c>
      <c r="B114" t="s">
        <v>93</v>
      </c>
      <c r="C114">
        <v>80</v>
      </c>
      <c r="D114" s="70">
        <v>312</v>
      </c>
    </row>
    <row r="115" spans="1:4">
      <c r="A115">
        <v>2021</v>
      </c>
      <c r="B115" t="s">
        <v>93</v>
      </c>
      <c r="C115">
        <v>85</v>
      </c>
      <c r="D115" s="70">
        <v>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F544-68F5-4943-8739-C81269E0C7A3}">
  <sheetPr filterMode="1"/>
  <dimension ref="A2:G1245"/>
  <sheetViews>
    <sheetView workbookViewId="0">
      <selection activeCell="H739" sqref="H739"/>
    </sheetView>
  </sheetViews>
  <sheetFormatPr baseColWidth="10" defaultRowHeight="14.4"/>
  <cols>
    <col min="7" max="7" width="16.44140625" customWidth="1"/>
  </cols>
  <sheetData>
    <row r="2" spans="1:7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idden="1">
      <c r="A3" t="s">
        <v>3</v>
      </c>
      <c r="B3" s="1" t="s">
        <v>3</v>
      </c>
      <c r="C3" s="71">
        <v>1990</v>
      </c>
      <c r="D3" s="71">
        <v>78</v>
      </c>
      <c r="E3" s="71">
        <v>76</v>
      </c>
      <c r="F3" s="71">
        <v>2</v>
      </c>
      <c r="G3" s="71" t="s">
        <v>7</v>
      </c>
    </row>
    <row r="4" spans="1:7" hidden="1">
      <c r="A4" t="s">
        <v>3</v>
      </c>
      <c r="B4" s="1" t="s">
        <v>3</v>
      </c>
      <c r="C4" s="71">
        <v>1991</v>
      </c>
      <c r="D4" s="71">
        <v>99</v>
      </c>
      <c r="E4" s="71">
        <v>89</v>
      </c>
      <c r="F4" s="71">
        <v>10</v>
      </c>
      <c r="G4" s="71" t="s">
        <v>7</v>
      </c>
    </row>
    <row r="5" spans="1:7" hidden="1">
      <c r="A5" t="s">
        <v>3</v>
      </c>
      <c r="B5" s="1" t="s">
        <v>3</v>
      </c>
      <c r="C5" s="71">
        <v>1992</v>
      </c>
      <c r="D5" s="71">
        <v>121</v>
      </c>
      <c r="E5" s="71">
        <v>112</v>
      </c>
      <c r="F5" s="71">
        <v>9</v>
      </c>
      <c r="G5" s="71" t="s">
        <v>7</v>
      </c>
    </row>
    <row r="6" spans="1:7" hidden="1">
      <c r="A6" t="s">
        <v>3</v>
      </c>
      <c r="B6" s="1" t="s">
        <v>3</v>
      </c>
      <c r="C6" s="71">
        <v>1993</v>
      </c>
      <c r="D6" s="71">
        <v>70</v>
      </c>
      <c r="E6" s="71">
        <v>64</v>
      </c>
      <c r="F6" s="71">
        <v>6</v>
      </c>
      <c r="G6" s="71" t="s">
        <v>7</v>
      </c>
    </row>
    <row r="7" spans="1:7" hidden="1">
      <c r="A7" t="s">
        <v>3</v>
      </c>
      <c r="B7" s="1" t="s">
        <v>3</v>
      </c>
      <c r="C7" s="71">
        <v>1994</v>
      </c>
      <c r="D7" s="71">
        <v>78</v>
      </c>
      <c r="E7" s="71">
        <v>70</v>
      </c>
      <c r="F7" s="71">
        <v>8</v>
      </c>
      <c r="G7" s="71" t="s">
        <v>7</v>
      </c>
    </row>
    <row r="8" spans="1:7" hidden="1">
      <c r="A8" t="s">
        <v>3</v>
      </c>
      <c r="B8" s="1" t="s">
        <v>3</v>
      </c>
      <c r="C8" s="71">
        <v>1995</v>
      </c>
      <c r="D8" s="71">
        <v>62</v>
      </c>
      <c r="E8" s="71">
        <v>56</v>
      </c>
      <c r="F8" s="71">
        <v>6</v>
      </c>
      <c r="G8" s="71" t="s">
        <v>7</v>
      </c>
    </row>
    <row r="9" spans="1:7" hidden="1">
      <c r="A9" t="s">
        <v>3</v>
      </c>
      <c r="B9" s="1" t="s">
        <v>3</v>
      </c>
      <c r="C9" s="71">
        <v>1996</v>
      </c>
      <c r="D9" s="71">
        <v>45</v>
      </c>
      <c r="E9" s="71">
        <v>40</v>
      </c>
      <c r="F9" s="71">
        <v>5</v>
      </c>
      <c r="G9" s="71" t="s">
        <v>7</v>
      </c>
    </row>
    <row r="10" spans="1:7" hidden="1">
      <c r="A10" t="s">
        <v>3</v>
      </c>
      <c r="B10" s="1" t="s">
        <v>3</v>
      </c>
      <c r="C10" s="71">
        <v>1997</v>
      </c>
      <c r="D10" s="71">
        <v>51</v>
      </c>
      <c r="E10" s="71">
        <v>47</v>
      </c>
      <c r="F10" s="71">
        <v>4</v>
      </c>
      <c r="G10" s="71" t="s">
        <v>7</v>
      </c>
    </row>
    <row r="11" spans="1:7" hidden="1">
      <c r="A11" t="s">
        <v>3</v>
      </c>
      <c r="B11" s="1" t="s">
        <v>3</v>
      </c>
      <c r="C11" s="71">
        <v>1998</v>
      </c>
      <c r="D11" s="71">
        <v>64</v>
      </c>
      <c r="E11" s="71">
        <v>49</v>
      </c>
      <c r="F11" s="71">
        <v>14</v>
      </c>
      <c r="G11" s="71">
        <v>1</v>
      </c>
    </row>
    <row r="12" spans="1:7" hidden="1">
      <c r="A12" t="s">
        <v>3</v>
      </c>
      <c r="B12" s="1" t="s">
        <v>3</v>
      </c>
      <c r="C12" s="71">
        <v>1999</v>
      </c>
      <c r="D12" s="71">
        <v>60</v>
      </c>
      <c r="E12" s="71">
        <v>50</v>
      </c>
      <c r="F12" s="71">
        <v>10</v>
      </c>
      <c r="G12" s="71" t="s">
        <v>7</v>
      </c>
    </row>
    <row r="13" spans="1:7" hidden="1">
      <c r="A13" t="s">
        <v>3</v>
      </c>
      <c r="B13" s="1" t="s">
        <v>3</v>
      </c>
      <c r="C13" s="71">
        <v>2000</v>
      </c>
      <c r="D13" s="71">
        <v>57</v>
      </c>
      <c r="E13" s="71">
        <v>48</v>
      </c>
      <c r="F13" s="71">
        <v>9</v>
      </c>
      <c r="G13" s="71" t="s">
        <v>7</v>
      </c>
    </row>
    <row r="14" spans="1:7" hidden="1">
      <c r="A14" t="s">
        <v>3</v>
      </c>
      <c r="B14" s="1" t="s">
        <v>3</v>
      </c>
      <c r="C14" s="71">
        <v>2001</v>
      </c>
      <c r="D14" s="71">
        <v>57</v>
      </c>
      <c r="E14" s="71">
        <v>48</v>
      </c>
      <c r="F14" s="71">
        <v>9</v>
      </c>
      <c r="G14" s="71" t="s">
        <v>7</v>
      </c>
    </row>
    <row r="15" spans="1:7" hidden="1">
      <c r="A15" t="s">
        <v>3</v>
      </c>
      <c r="B15" s="1" t="s">
        <v>3</v>
      </c>
      <c r="C15" s="71">
        <v>2002</v>
      </c>
      <c r="D15" s="71">
        <v>43</v>
      </c>
      <c r="E15" s="71">
        <v>40</v>
      </c>
      <c r="F15" s="71">
        <v>3</v>
      </c>
      <c r="G15" s="71" t="s">
        <v>7</v>
      </c>
    </row>
    <row r="16" spans="1:7" hidden="1">
      <c r="A16" t="s">
        <v>3</v>
      </c>
      <c r="B16" s="1" t="s">
        <v>3</v>
      </c>
      <c r="C16" s="71">
        <v>2003</v>
      </c>
      <c r="D16" s="71">
        <v>42</v>
      </c>
      <c r="E16" s="71">
        <v>35</v>
      </c>
      <c r="F16" s="71">
        <v>7</v>
      </c>
      <c r="G16" s="71" t="s">
        <v>7</v>
      </c>
    </row>
    <row r="17" spans="1:7" hidden="1">
      <c r="A17" t="s">
        <v>3</v>
      </c>
      <c r="B17" s="1" t="s">
        <v>3</v>
      </c>
      <c r="C17" s="71">
        <v>2004</v>
      </c>
      <c r="D17" s="71">
        <v>53</v>
      </c>
      <c r="E17" s="71">
        <v>47</v>
      </c>
      <c r="F17" s="71">
        <v>6</v>
      </c>
      <c r="G17" s="71" t="s">
        <v>7</v>
      </c>
    </row>
    <row r="18" spans="1:7" hidden="1">
      <c r="A18" t="s">
        <v>3</v>
      </c>
      <c r="B18" s="1" t="s">
        <v>3</v>
      </c>
      <c r="C18" s="71">
        <v>2005</v>
      </c>
      <c r="D18" s="71">
        <v>49</v>
      </c>
      <c r="E18" s="71">
        <v>39</v>
      </c>
      <c r="F18" s="71">
        <v>10</v>
      </c>
      <c r="G18" s="71" t="s">
        <v>7</v>
      </c>
    </row>
    <row r="19" spans="1:7" hidden="1">
      <c r="A19" t="s">
        <v>3</v>
      </c>
      <c r="B19" s="1" t="s">
        <v>3</v>
      </c>
      <c r="C19" s="71">
        <v>2006</v>
      </c>
      <c r="D19" s="71">
        <v>43</v>
      </c>
      <c r="E19" s="71">
        <v>39</v>
      </c>
      <c r="F19" s="71">
        <v>4</v>
      </c>
      <c r="G19" s="71" t="s">
        <v>7</v>
      </c>
    </row>
    <row r="20" spans="1:7" hidden="1">
      <c r="A20" t="s">
        <v>3</v>
      </c>
      <c r="B20" s="1" t="s">
        <v>3</v>
      </c>
      <c r="C20" s="71">
        <v>2007</v>
      </c>
      <c r="D20" s="71">
        <v>43</v>
      </c>
      <c r="E20" s="71">
        <v>37</v>
      </c>
      <c r="F20" s="71">
        <v>6</v>
      </c>
      <c r="G20" s="71" t="s">
        <v>7</v>
      </c>
    </row>
    <row r="21" spans="1:7" hidden="1">
      <c r="A21" t="s">
        <v>3</v>
      </c>
      <c r="B21" s="1" t="s">
        <v>3</v>
      </c>
      <c r="C21" s="71">
        <v>2008</v>
      </c>
      <c r="D21" s="71">
        <v>56</v>
      </c>
      <c r="E21" s="71">
        <v>49</v>
      </c>
      <c r="F21" s="71">
        <v>7</v>
      </c>
      <c r="G21" s="71" t="s">
        <v>7</v>
      </c>
    </row>
    <row r="22" spans="1:7" hidden="1">
      <c r="A22" t="s">
        <v>3</v>
      </c>
      <c r="B22" s="1" t="s">
        <v>3</v>
      </c>
      <c r="C22" s="71">
        <v>2009</v>
      </c>
      <c r="D22" s="71">
        <v>61</v>
      </c>
      <c r="E22" s="71">
        <v>51</v>
      </c>
      <c r="F22" s="71">
        <v>10</v>
      </c>
      <c r="G22" s="71" t="s">
        <v>7</v>
      </c>
    </row>
    <row r="23" spans="1:7" hidden="1">
      <c r="A23" t="s">
        <v>3</v>
      </c>
      <c r="B23" s="1" t="s">
        <v>3</v>
      </c>
      <c r="C23" s="71">
        <v>2010</v>
      </c>
      <c r="D23" s="71">
        <v>131</v>
      </c>
      <c r="E23" s="71">
        <v>126</v>
      </c>
      <c r="F23" s="71">
        <v>5</v>
      </c>
      <c r="G23" s="71" t="s">
        <v>7</v>
      </c>
    </row>
    <row r="24" spans="1:7" hidden="1">
      <c r="A24" t="s">
        <v>3</v>
      </c>
      <c r="B24" s="1" t="s">
        <v>3</v>
      </c>
      <c r="C24" s="71">
        <v>2011</v>
      </c>
      <c r="D24" s="71">
        <v>169</v>
      </c>
      <c r="E24" s="71">
        <v>151</v>
      </c>
      <c r="F24" s="71">
        <v>17</v>
      </c>
      <c r="G24" s="71" t="s">
        <v>122</v>
      </c>
    </row>
    <row r="25" spans="1:7" hidden="1">
      <c r="A25" t="s">
        <v>3</v>
      </c>
      <c r="B25" s="1" t="s">
        <v>3</v>
      </c>
      <c r="C25" s="71">
        <v>2012</v>
      </c>
      <c r="D25" s="71">
        <v>265</v>
      </c>
      <c r="E25" s="71">
        <v>240</v>
      </c>
      <c r="F25" s="71">
        <v>25</v>
      </c>
      <c r="G25" s="71" t="s">
        <v>7</v>
      </c>
    </row>
    <row r="26" spans="1:7" hidden="1">
      <c r="A26" t="s">
        <v>3</v>
      </c>
      <c r="B26" s="1" t="s">
        <v>3</v>
      </c>
      <c r="C26" s="71">
        <v>2013</v>
      </c>
      <c r="D26" s="71">
        <v>227</v>
      </c>
      <c r="E26" s="71">
        <v>209</v>
      </c>
      <c r="F26" s="71">
        <v>18</v>
      </c>
      <c r="G26" s="71" t="s">
        <v>7</v>
      </c>
    </row>
    <row r="27" spans="1:7" hidden="1">
      <c r="A27" t="s">
        <v>3</v>
      </c>
      <c r="B27" s="1" t="s">
        <v>3</v>
      </c>
      <c r="C27" s="71">
        <v>2014</v>
      </c>
      <c r="D27" s="71">
        <v>138</v>
      </c>
      <c r="E27" s="71">
        <v>119</v>
      </c>
      <c r="F27" s="71">
        <v>19</v>
      </c>
      <c r="G27" s="71" t="s">
        <v>7</v>
      </c>
    </row>
    <row r="28" spans="1:7" hidden="1">
      <c r="A28" t="s">
        <v>3</v>
      </c>
      <c r="B28" s="1" t="s">
        <v>3</v>
      </c>
      <c r="C28" s="71">
        <v>2015</v>
      </c>
      <c r="D28" s="71">
        <v>229</v>
      </c>
      <c r="E28" s="71">
        <v>203</v>
      </c>
      <c r="F28" s="71">
        <v>26</v>
      </c>
      <c r="G28" s="71" t="s">
        <v>7</v>
      </c>
    </row>
    <row r="29" spans="1:7" hidden="1">
      <c r="A29" t="s">
        <v>3</v>
      </c>
      <c r="B29" s="1" t="s">
        <v>3</v>
      </c>
      <c r="C29" s="71">
        <v>2016</v>
      </c>
      <c r="D29" s="71">
        <v>612</v>
      </c>
      <c r="E29" s="71">
        <v>544</v>
      </c>
      <c r="F29" s="71">
        <v>63</v>
      </c>
      <c r="G29" s="71" t="s">
        <v>124</v>
      </c>
    </row>
    <row r="30" spans="1:7" hidden="1">
      <c r="A30" t="s">
        <v>3</v>
      </c>
      <c r="B30" s="1" t="s">
        <v>3</v>
      </c>
      <c r="C30" s="71">
        <v>2017</v>
      </c>
      <c r="D30" s="71">
        <v>828</v>
      </c>
      <c r="E30" s="71">
        <v>750</v>
      </c>
      <c r="F30" s="71">
        <v>74</v>
      </c>
      <c r="G30" s="71" t="s">
        <v>125</v>
      </c>
    </row>
    <row r="31" spans="1:7" hidden="1">
      <c r="A31" t="s">
        <v>3</v>
      </c>
      <c r="B31" s="1" t="s">
        <v>3</v>
      </c>
      <c r="C31" s="71">
        <v>2018</v>
      </c>
      <c r="D31" s="71">
        <v>683</v>
      </c>
      <c r="E31" s="71">
        <v>601</v>
      </c>
      <c r="F31" s="71">
        <v>81</v>
      </c>
      <c r="G31" s="71" t="s">
        <v>122</v>
      </c>
    </row>
    <row r="32" spans="1:7" hidden="1">
      <c r="A32" t="s">
        <v>3</v>
      </c>
      <c r="B32" s="1" t="s">
        <v>3</v>
      </c>
      <c r="C32" s="71">
        <v>2019</v>
      </c>
      <c r="D32" s="71">
        <v>706</v>
      </c>
      <c r="E32" s="71">
        <v>615</v>
      </c>
      <c r="F32" s="71">
        <v>91</v>
      </c>
      <c r="G32" s="71" t="s">
        <v>7</v>
      </c>
    </row>
    <row r="33" spans="1:7" hidden="1">
      <c r="A33" t="s">
        <v>3</v>
      </c>
      <c r="B33" s="1" t="s">
        <v>3</v>
      </c>
      <c r="C33" s="71">
        <v>2020</v>
      </c>
      <c r="D33" s="71">
        <v>624</v>
      </c>
      <c r="E33" s="71">
        <v>530</v>
      </c>
      <c r="F33" s="71">
        <v>94</v>
      </c>
      <c r="G33" s="71" t="s">
        <v>7</v>
      </c>
    </row>
    <row r="34" spans="1:7" hidden="1">
      <c r="A34" t="s">
        <v>3</v>
      </c>
      <c r="B34" s="1" t="s">
        <v>3</v>
      </c>
      <c r="C34" s="71">
        <v>2021</v>
      </c>
      <c r="D34" s="71">
        <v>551</v>
      </c>
      <c r="E34" s="71">
        <v>490</v>
      </c>
      <c r="F34" s="71">
        <v>60</v>
      </c>
      <c r="G34" s="71" t="s">
        <v>122</v>
      </c>
    </row>
    <row r="35" spans="1:7" hidden="1">
      <c r="A35" t="s">
        <v>3</v>
      </c>
      <c r="B35" s="1" t="s">
        <v>3</v>
      </c>
      <c r="C35" s="71">
        <v>2022</v>
      </c>
      <c r="D35" s="71">
        <v>848</v>
      </c>
      <c r="E35" s="71">
        <v>742</v>
      </c>
      <c r="F35" s="71">
        <v>106</v>
      </c>
      <c r="G35" s="71" t="s">
        <v>7</v>
      </c>
    </row>
    <row r="36" spans="1:7" hidden="1">
      <c r="A36" t="s">
        <v>3</v>
      </c>
      <c r="B36" s="1" t="s">
        <v>3</v>
      </c>
      <c r="C36" s="71">
        <v>2023</v>
      </c>
      <c r="D36" s="71">
        <v>849</v>
      </c>
      <c r="E36" s="71">
        <v>720</v>
      </c>
      <c r="F36" s="71">
        <v>128</v>
      </c>
      <c r="G36" s="71" t="s">
        <v>122</v>
      </c>
    </row>
    <row r="37" spans="1:7" hidden="1">
      <c r="A37" t="s">
        <v>3</v>
      </c>
      <c r="B37" s="1" t="s">
        <v>3</v>
      </c>
      <c r="C37" s="71">
        <v>2024</v>
      </c>
      <c r="D37" s="71">
        <v>875</v>
      </c>
      <c r="E37" s="71">
        <v>743</v>
      </c>
      <c r="F37" s="71">
        <v>132</v>
      </c>
      <c r="G37" s="71" t="s">
        <v>7</v>
      </c>
    </row>
    <row r="38" spans="1:7" hidden="1">
      <c r="A38" t="s">
        <v>3</v>
      </c>
      <c r="B38" s="1" t="s">
        <v>8</v>
      </c>
      <c r="C38" s="2">
        <v>1998</v>
      </c>
      <c r="D38" s="2">
        <v>1</v>
      </c>
      <c r="E38" s="2">
        <v>1</v>
      </c>
      <c r="F38" s="1" t="s">
        <v>7</v>
      </c>
      <c r="G38" s="1" t="s">
        <v>7</v>
      </c>
    </row>
    <row r="39" spans="1:7" hidden="1">
      <c r="A39" t="s">
        <v>3</v>
      </c>
      <c r="B39" s="1" t="s">
        <v>35</v>
      </c>
      <c r="C39" s="2">
        <v>1990</v>
      </c>
      <c r="D39" s="2">
        <v>64</v>
      </c>
      <c r="E39" s="2">
        <v>62</v>
      </c>
      <c r="F39" s="2">
        <v>2</v>
      </c>
      <c r="G39" s="1" t="s">
        <v>7</v>
      </c>
    </row>
    <row r="40" spans="1:7" hidden="1">
      <c r="A40" t="s">
        <v>3</v>
      </c>
      <c r="B40" s="1" t="s">
        <v>36</v>
      </c>
      <c r="C40" s="2">
        <v>1991</v>
      </c>
      <c r="D40" s="2">
        <v>84</v>
      </c>
      <c r="E40" s="2">
        <v>75</v>
      </c>
      <c r="F40" s="2">
        <v>9</v>
      </c>
      <c r="G40" s="1" t="s">
        <v>7</v>
      </c>
    </row>
    <row r="41" spans="1:7" hidden="1">
      <c r="A41" t="s">
        <v>3</v>
      </c>
      <c r="B41" s="1" t="s">
        <v>37</v>
      </c>
      <c r="C41" s="2">
        <v>1992</v>
      </c>
      <c r="D41" s="2">
        <v>77</v>
      </c>
      <c r="E41" s="2">
        <v>70</v>
      </c>
      <c r="F41" s="2">
        <v>7</v>
      </c>
      <c r="G41" s="1" t="s">
        <v>7</v>
      </c>
    </row>
    <row r="42" spans="1:7" hidden="1">
      <c r="A42" t="s">
        <v>3</v>
      </c>
      <c r="B42" s="1" t="s">
        <v>38</v>
      </c>
      <c r="C42" s="2">
        <v>1993</v>
      </c>
      <c r="D42" s="2">
        <v>63</v>
      </c>
      <c r="E42" s="2">
        <v>57</v>
      </c>
      <c r="F42" s="2">
        <v>6</v>
      </c>
      <c r="G42" s="1" t="s">
        <v>7</v>
      </c>
    </row>
    <row r="43" spans="1:7" hidden="1">
      <c r="A43" t="s">
        <v>3</v>
      </c>
      <c r="B43" s="1" t="s">
        <v>38</v>
      </c>
      <c r="C43" s="2">
        <v>1994</v>
      </c>
      <c r="D43" s="2">
        <v>1</v>
      </c>
      <c r="E43" s="2">
        <v>1</v>
      </c>
      <c r="F43" s="1" t="s">
        <v>7</v>
      </c>
      <c r="G43" s="1" t="s">
        <v>7</v>
      </c>
    </row>
    <row r="44" spans="1:7" hidden="1">
      <c r="A44" t="s">
        <v>3</v>
      </c>
      <c r="B44" s="1" t="s">
        <v>38</v>
      </c>
      <c r="C44" s="2">
        <v>1998</v>
      </c>
      <c r="D44" s="2">
        <v>1</v>
      </c>
      <c r="E44" s="2">
        <v>1</v>
      </c>
      <c r="F44" s="1" t="s">
        <v>7</v>
      </c>
      <c r="G44" s="1" t="s">
        <v>7</v>
      </c>
    </row>
    <row r="45" spans="1:7" hidden="1">
      <c r="A45" t="s">
        <v>3</v>
      </c>
      <c r="B45" s="1" t="s">
        <v>39</v>
      </c>
      <c r="C45" s="2">
        <v>1994</v>
      </c>
      <c r="D45" s="2">
        <v>75</v>
      </c>
      <c r="E45" s="2">
        <v>67</v>
      </c>
      <c r="F45" s="2">
        <v>8</v>
      </c>
      <c r="G45" s="1" t="s">
        <v>7</v>
      </c>
    </row>
    <row r="46" spans="1:7" hidden="1">
      <c r="A46" t="s">
        <v>3</v>
      </c>
      <c r="B46" s="1" t="s">
        <v>39</v>
      </c>
      <c r="C46" s="2">
        <v>1995</v>
      </c>
      <c r="D46" s="2">
        <v>1</v>
      </c>
      <c r="E46" s="2">
        <v>1</v>
      </c>
      <c r="F46" s="1" t="s">
        <v>7</v>
      </c>
      <c r="G46" s="1" t="s">
        <v>7</v>
      </c>
    </row>
    <row r="47" spans="1:7" hidden="1">
      <c r="A47" t="s">
        <v>3</v>
      </c>
      <c r="B47" s="1" t="s">
        <v>40</v>
      </c>
      <c r="C47" s="2">
        <v>1995</v>
      </c>
      <c r="D47" s="2">
        <v>59</v>
      </c>
      <c r="E47" s="2">
        <v>53</v>
      </c>
      <c r="F47" s="2">
        <v>6</v>
      </c>
      <c r="G47" s="1" t="s">
        <v>7</v>
      </c>
    </row>
    <row r="48" spans="1:7" hidden="1">
      <c r="A48" t="s">
        <v>3</v>
      </c>
      <c r="B48" s="1" t="s">
        <v>41</v>
      </c>
      <c r="C48" s="2">
        <v>1996</v>
      </c>
      <c r="D48" s="2">
        <v>44</v>
      </c>
      <c r="E48" s="2">
        <v>39</v>
      </c>
      <c r="F48" s="2">
        <v>5</v>
      </c>
      <c r="G48" s="1" t="s">
        <v>7</v>
      </c>
    </row>
    <row r="49" spans="1:7" hidden="1">
      <c r="A49" t="s">
        <v>3</v>
      </c>
      <c r="B49" s="1" t="s">
        <v>41</v>
      </c>
      <c r="C49" s="2">
        <v>1997</v>
      </c>
      <c r="D49" s="2">
        <v>2</v>
      </c>
      <c r="E49" s="2">
        <v>2</v>
      </c>
      <c r="F49" s="1" t="s">
        <v>7</v>
      </c>
      <c r="G49" s="1" t="s">
        <v>7</v>
      </c>
    </row>
    <row r="50" spans="1:7" hidden="1">
      <c r="A50" t="s">
        <v>3</v>
      </c>
      <c r="B50" s="1" t="s">
        <v>42</v>
      </c>
      <c r="C50" s="2">
        <v>1997</v>
      </c>
      <c r="D50" s="2">
        <v>49</v>
      </c>
      <c r="E50" s="2">
        <v>45</v>
      </c>
      <c r="F50" s="2">
        <v>4</v>
      </c>
      <c r="G50" s="1" t="s">
        <v>7</v>
      </c>
    </row>
    <row r="51" spans="1:7" hidden="1">
      <c r="A51" t="s">
        <v>3</v>
      </c>
      <c r="B51" s="1" t="s">
        <v>42</v>
      </c>
      <c r="C51" s="2">
        <v>1998</v>
      </c>
      <c r="D51" s="2">
        <v>1</v>
      </c>
      <c r="E51" s="2">
        <v>1</v>
      </c>
      <c r="F51" s="1" t="s">
        <v>7</v>
      </c>
      <c r="G51" s="1" t="s">
        <v>7</v>
      </c>
    </row>
    <row r="52" spans="1:7" hidden="1">
      <c r="A52" t="s">
        <v>3</v>
      </c>
      <c r="B52" s="1" t="s">
        <v>43</v>
      </c>
      <c r="C52" s="2">
        <v>1998</v>
      </c>
      <c r="D52" s="2">
        <v>61</v>
      </c>
      <c r="E52" s="2">
        <v>46</v>
      </c>
      <c r="F52" s="2">
        <v>14</v>
      </c>
      <c r="G52" s="1" t="s">
        <v>122</v>
      </c>
    </row>
    <row r="53" spans="1:7" hidden="1">
      <c r="A53" t="s">
        <v>3</v>
      </c>
      <c r="B53" s="1" t="s">
        <v>44</v>
      </c>
      <c r="C53" s="2">
        <v>1999</v>
      </c>
      <c r="D53" s="2">
        <v>60</v>
      </c>
      <c r="E53" s="2">
        <v>50</v>
      </c>
      <c r="F53" s="2">
        <v>10</v>
      </c>
      <c r="G53" s="1" t="s">
        <v>7</v>
      </c>
    </row>
    <row r="54" spans="1:7" hidden="1">
      <c r="A54" t="s">
        <v>3</v>
      </c>
      <c r="B54" s="1" t="s">
        <v>44</v>
      </c>
      <c r="C54" s="2">
        <v>2000</v>
      </c>
      <c r="D54" s="2">
        <v>2</v>
      </c>
      <c r="E54" s="2">
        <v>2</v>
      </c>
      <c r="F54" s="1" t="s">
        <v>7</v>
      </c>
      <c r="G54" s="1" t="s">
        <v>7</v>
      </c>
    </row>
    <row r="55" spans="1:7" hidden="1">
      <c r="A55" t="s">
        <v>3</v>
      </c>
      <c r="B55" s="1" t="s">
        <v>45</v>
      </c>
      <c r="C55" s="2">
        <v>2000</v>
      </c>
      <c r="D55" s="2">
        <v>55</v>
      </c>
      <c r="E55" s="2">
        <v>46</v>
      </c>
      <c r="F55" s="2">
        <v>9</v>
      </c>
      <c r="G55" s="1" t="s">
        <v>7</v>
      </c>
    </row>
    <row r="56" spans="1:7" hidden="1">
      <c r="A56" t="s">
        <v>3</v>
      </c>
      <c r="B56" s="1" t="s">
        <v>45</v>
      </c>
      <c r="C56" s="2">
        <v>2001</v>
      </c>
      <c r="D56" s="2">
        <v>1</v>
      </c>
      <c r="E56" s="1" t="s">
        <v>7</v>
      </c>
      <c r="F56" s="2">
        <v>1</v>
      </c>
      <c r="G56" s="1" t="s">
        <v>7</v>
      </c>
    </row>
    <row r="57" spans="1:7" hidden="1">
      <c r="A57" t="s">
        <v>3</v>
      </c>
      <c r="B57" s="1" t="s">
        <v>46</v>
      </c>
      <c r="C57" s="2">
        <v>2001</v>
      </c>
      <c r="D57" s="2">
        <v>56</v>
      </c>
      <c r="E57" s="2">
        <v>48</v>
      </c>
      <c r="F57" s="2">
        <v>8</v>
      </c>
      <c r="G57" s="1" t="s">
        <v>7</v>
      </c>
    </row>
    <row r="58" spans="1:7" hidden="1">
      <c r="A58" t="s">
        <v>3</v>
      </c>
      <c r="B58" s="1" t="s">
        <v>46</v>
      </c>
      <c r="C58" s="2">
        <v>2002</v>
      </c>
      <c r="D58" s="2">
        <v>1</v>
      </c>
      <c r="E58" s="2">
        <v>1</v>
      </c>
      <c r="F58" s="1" t="s">
        <v>7</v>
      </c>
      <c r="G58" s="1" t="s">
        <v>7</v>
      </c>
    </row>
    <row r="59" spans="1:7" hidden="1">
      <c r="A59" t="s">
        <v>3</v>
      </c>
      <c r="B59" s="1" t="s">
        <v>47</v>
      </c>
      <c r="C59" s="2">
        <v>2002</v>
      </c>
      <c r="D59" s="2">
        <v>42</v>
      </c>
      <c r="E59" s="2">
        <v>39</v>
      </c>
      <c r="F59" s="2">
        <v>3</v>
      </c>
      <c r="G59" s="1" t="s">
        <v>7</v>
      </c>
    </row>
    <row r="60" spans="1:7" hidden="1">
      <c r="A60" t="s">
        <v>3</v>
      </c>
      <c r="B60" s="1" t="s">
        <v>48</v>
      </c>
      <c r="C60" s="2">
        <v>2003</v>
      </c>
      <c r="D60" s="2">
        <v>42</v>
      </c>
      <c r="E60" s="2">
        <v>35</v>
      </c>
      <c r="F60" s="2">
        <v>7</v>
      </c>
      <c r="G60" s="1" t="s">
        <v>7</v>
      </c>
    </row>
    <row r="61" spans="1:7" hidden="1">
      <c r="A61" t="s">
        <v>3</v>
      </c>
      <c r="B61" s="1" t="s">
        <v>48</v>
      </c>
      <c r="C61" s="2">
        <v>2004</v>
      </c>
      <c r="D61" s="2">
        <v>1</v>
      </c>
      <c r="E61" s="2">
        <v>1</v>
      </c>
      <c r="F61" s="1" t="s">
        <v>7</v>
      </c>
      <c r="G61" s="1" t="s">
        <v>7</v>
      </c>
    </row>
    <row r="62" spans="1:7" hidden="1">
      <c r="A62" t="s">
        <v>3</v>
      </c>
      <c r="B62" s="1" t="s">
        <v>49</v>
      </c>
      <c r="C62" s="2">
        <v>2004</v>
      </c>
      <c r="D62" s="2">
        <v>52</v>
      </c>
      <c r="E62" s="2">
        <v>46</v>
      </c>
      <c r="F62" s="2">
        <v>6</v>
      </c>
      <c r="G62" s="1" t="s">
        <v>7</v>
      </c>
    </row>
    <row r="63" spans="1:7" hidden="1">
      <c r="A63" t="s">
        <v>3</v>
      </c>
      <c r="B63" s="1" t="s">
        <v>49</v>
      </c>
      <c r="C63" s="2">
        <v>2005</v>
      </c>
      <c r="D63" s="2">
        <v>1</v>
      </c>
      <c r="E63" s="2">
        <v>1</v>
      </c>
      <c r="F63" s="1" t="s">
        <v>7</v>
      </c>
      <c r="G63" s="1" t="s">
        <v>7</v>
      </c>
    </row>
    <row r="64" spans="1:7" hidden="1">
      <c r="A64" t="s">
        <v>3</v>
      </c>
      <c r="B64" s="1" t="s">
        <v>50</v>
      </c>
      <c r="C64" s="2">
        <v>2005</v>
      </c>
      <c r="D64" s="2">
        <v>48</v>
      </c>
      <c r="E64" s="2">
        <v>38</v>
      </c>
      <c r="F64" s="2">
        <v>10</v>
      </c>
      <c r="G64" s="1" t="s">
        <v>7</v>
      </c>
    </row>
    <row r="65" spans="1:7" hidden="1">
      <c r="A65" t="s">
        <v>3</v>
      </c>
      <c r="B65" s="1" t="s">
        <v>51</v>
      </c>
      <c r="C65" s="2">
        <v>2006</v>
      </c>
      <c r="D65" s="2">
        <v>43</v>
      </c>
      <c r="E65" s="2">
        <v>39</v>
      </c>
      <c r="F65" s="2">
        <v>4</v>
      </c>
      <c r="G65" s="1" t="s">
        <v>7</v>
      </c>
    </row>
    <row r="66" spans="1:7" hidden="1">
      <c r="A66" t="s">
        <v>3</v>
      </c>
      <c r="B66" s="1" t="s">
        <v>52</v>
      </c>
      <c r="C66" s="2">
        <v>2007</v>
      </c>
      <c r="D66" s="2">
        <v>43</v>
      </c>
      <c r="E66" s="2">
        <v>37</v>
      </c>
      <c r="F66" s="2">
        <v>6</v>
      </c>
      <c r="G66" s="1" t="s">
        <v>7</v>
      </c>
    </row>
    <row r="67" spans="1:7" hidden="1">
      <c r="A67" t="s">
        <v>3</v>
      </c>
      <c r="B67" s="1" t="s">
        <v>52</v>
      </c>
      <c r="C67" s="2">
        <v>2008</v>
      </c>
      <c r="D67" s="2">
        <v>1</v>
      </c>
      <c r="E67" s="2">
        <v>1</v>
      </c>
      <c r="F67" s="1" t="s">
        <v>7</v>
      </c>
      <c r="G67" s="1" t="s">
        <v>7</v>
      </c>
    </row>
    <row r="68" spans="1:7" hidden="1">
      <c r="A68" t="s">
        <v>3</v>
      </c>
      <c r="B68" s="1" t="s">
        <v>53</v>
      </c>
      <c r="C68" s="2">
        <v>2008</v>
      </c>
      <c r="D68" s="2">
        <v>55</v>
      </c>
      <c r="E68" s="2">
        <v>48</v>
      </c>
      <c r="F68" s="2">
        <v>7</v>
      </c>
      <c r="G68" s="1" t="s">
        <v>7</v>
      </c>
    </row>
    <row r="69" spans="1:7" hidden="1">
      <c r="A69" t="s">
        <v>3</v>
      </c>
      <c r="B69" s="1" t="s">
        <v>53</v>
      </c>
      <c r="C69" s="2">
        <v>2009</v>
      </c>
      <c r="D69" s="2">
        <v>2</v>
      </c>
      <c r="E69" s="2">
        <v>2</v>
      </c>
      <c r="F69" s="1" t="s">
        <v>7</v>
      </c>
      <c r="G69" s="1" t="s">
        <v>7</v>
      </c>
    </row>
    <row r="70" spans="1:7" hidden="1">
      <c r="A70" t="s">
        <v>3</v>
      </c>
      <c r="B70" s="1" t="s">
        <v>54</v>
      </c>
      <c r="C70" s="2">
        <v>2009</v>
      </c>
      <c r="D70" s="2">
        <v>59</v>
      </c>
      <c r="E70" s="2">
        <v>49</v>
      </c>
      <c r="F70" s="2">
        <v>10</v>
      </c>
      <c r="G70" s="1" t="s">
        <v>7</v>
      </c>
    </row>
    <row r="71" spans="1:7" hidden="1">
      <c r="A71" t="s">
        <v>3</v>
      </c>
      <c r="B71" s="1" t="s">
        <v>55</v>
      </c>
      <c r="C71" s="2">
        <v>2010</v>
      </c>
      <c r="D71" s="2">
        <v>130</v>
      </c>
      <c r="E71" s="2">
        <v>125</v>
      </c>
      <c r="F71" s="2">
        <v>5</v>
      </c>
      <c r="G71" s="1" t="s">
        <v>7</v>
      </c>
    </row>
    <row r="72" spans="1:7" hidden="1">
      <c r="A72" t="s">
        <v>3</v>
      </c>
      <c r="B72" s="1" t="s">
        <v>56</v>
      </c>
      <c r="C72" s="2">
        <v>2011</v>
      </c>
      <c r="D72" s="2">
        <v>169</v>
      </c>
      <c r="E72" s="2">
        <v>151</v>
      </c>
      <c r="F72" s="2">
        <v>17</v>
      </c>
      <c r="G72" s="1" t="s">
        <v>122</v>
      </c>
    </row>
    <row r="73" spans="1:7" hidden="1">
      <c r="A73" t="s">
        <v>3</v>
      </c>
      <c r="B73" s="1" t="s">
        <v>56</v>
      </c>
      <c r="C73" s="2">
        <v>2012</v>
      </c>
      <c r="D73" s="2">
        <v>2</v>
      </c>
      <c r="E73" s="2">
        <v>2</v>
      </c>
      <c r="F73" s="1" t="s">
        <v>7</v>
      </c>
      <c r="G73" s="1" t="s">
        <v>7</v>
      </c>
    </row>
    <row r="74" spans="1:7" hidden="1">
      <c r="A74" t="s">
        <v>3</v>
      </c>
      <c r="B74" s="1" t="s">
        <v>57</v>
      </c>
      <c r="C74" s="2">
        <v>2012</v>
      </c>
      <c r="D74" s="2">
        <v>263</v>
      </c>
      <c r="E74" s="2">
        <v>238</v>
      </c>
      <c r="F74" s="2">
        <v>25</v>
      </c>
      <c r="G74" s="1" t="s">
        <v>7</v>
      </c>
    </row>
    <row r="75" spans="1:7" hidden="1">
      <c r="A75" t="s">
        <v>3</v>
      </c>
      <c r="B75" s="1" t="s">
        <v>57</v>
      </c>
      <c r="C75" s="2">
        <v>2013</v>
      </c>
      <c r="D75" s="2">
        <v>7</v>
      </c>
      <c r="E75" s="2">
        <v>7</v>
      </c>
      <c r="F75" s="1" t="s">
        <v>7</v>
      </c>
      <c r="G75" s="1" t="s">
        <v>7</v>
      </c>
    </row>
    <row r="76" spans="1:7" hidden="1">
      <c r="A76" t="s">
        <v>3</v>
      </c>
      <c r="B76" s="1" t="s">
        <v>57</v>
      </c>
      <c r="C76" s="2">
        <v>2014</v>
      </c>
      <c r="D76" s="2">
        <v>2</v>
      </c>
      <c r="E76" s="2">
        <v>2</v>
      </c>
      <c r="F76" s="1" t="s">
        <v>7</v>
      </c>
      <c r="G76" s="1" t="s">
        <v>7</v>
      </c>
    </row>
    <row r="77" spans="1:7" hidden="1">
      <c r="A77" t="s">
        <v>3</v>
      </c>
      <c r="B77" s="1" t="s">
        <v>57</v>
      </c>
      <c r="C77" s="2">
        <v>2016</v>
      </c>
      <c r="D77" s="2">
        <v>3</v>
      </c>
      <c r="E77" s="2">
        <v>3</v>
      </c>
      <c r="F77" s="1" t="s">
        <v>7</v>
      </c>
      <c r="G77" s="1" t="s">
        <v>7</v>
      </c>
    </row>
    <row r="78" spans="1:7" hidden="1">
      <c r="A78" t="s">
        <v>3</v>
      </c>
      <c r="B78" s="1" t="s">
        <v>58</v>
      </c>
      <c r="C78" s="2">
        <v>2013</v>
      </c>
      <c r="D78" s="2">
        <v>218</v>
      </c>
      <c r="E78" s="2">
        <v>200</v>
      </c>
      <c r="F78" s="2">
        <v>18</v>
      </c>
      <c r="G78" s="1" t="s">
        <v>7</v>
      </c>
    </row>
    <row r="79" spans="1:7" hidden="1">
      <c r="A79" t="s">
        <v>3</v>
      </c>
      <c r="B79" s="1" t="s">
        <v>58</v>
      </c>
      <c r="C79" s="2">
        <v>2014</v>
      </c>
      <c r="D79" s="2">
        <v>5</v>
      </c>
      <c r="E79" s="2">
        <v>3</v>
      </c>
      <c r="F79" s="2">
        <v>2</v>
      </c>
      <c r="G79" s="1" t="s">
        <v>7</v>
      </c>
    </row>
    <row r="80" spans="1:7" hidden="1">
      <c r="A80" t="s">
        <v>3</v>
      </c>
      <c r="B80" s="1" t="s">
        <v>58</v>
      </c>
      <c r="C80" s="2">
        <v>2016</v>
      </c>
      <c r="D80" s="2">
        <v>3</v>
      </c>
      <c r="E80" s="2">
        <v>1</v>
      </c>
      <c r="F80" s="1" t="s">
        <v>7</v>
      </c>
      <c r="G80" s="1" t="s">
        <v>121</v>
      </c>
    </row>
    <row r="81" spans="1:7" hidden="1">
      <c r="A81" t="s">
        <v>3</v>
      </c>
      <c r="B81" s="1" t="s">
        <v>59</v>
      </c>
      <c r="C81" s="2">
        <v>2014</v>
      </c>
      <c r="D81" s="2">
        <v>131</v>
      </c>
      <c r="E81" s="2">
        <v>114</v>
      </c>
      <c r="F81" s="2">
        <v>17</v>
      </c>
      <c r="G81" s="1" t="s">
        <v>7</v>
      </c>
    </row>
    <row r="82" spans="1:7" hidden="1">
      <c r="A82" t="s">
        <v>3</v>
      </c>
      <c r="B82" s="1" t="s">
        <v>59</v>
      </c>
      <c r="C82" s="2">
        <v>2015</v>
      </c>
      <c r="D82" s="2">
        <v>2</v>
      </c>
      <c r="E82" s="2">
        <v>1</v>
      </c>
      <c r="F82" s="2">
        <v>1</v>
      </c>
      <c r="G82" s="1" t="s">
        <v>7</v>
      </c>
    </row>
    <row r="83" spans="1:7" hidden="1">
      <c r="A83" t="s">
        <v>3</v>
      </c>
      <c r="B83" s="1" t="s">
        <v>59</v>
      </c>
      <c r="C83" s="2">
        <v>2016</v>
      </c>
      <c r="D83" s="2">
        <v>1</v>
      </c>
      <c r="E83" s="2">
        <v>1</v>
      </c>
      <c r="F83" s="1" t="s">
        <v>7</v>
      </c>
      <c r="G83" s="1" t="s">
        <v>7</v>
      </c>
    </row>
    <row r="84" spans="1:7" hidden="1">
      <c r="A84" t="s">
        <v>3</v>
      </c>
      <c r="B84" s="1" t="s">
        <v>59</v>
      </c>
      <c r="C84" s="2">
        <v>2018</v>
      </c>
      <c r="D84" s="2">
        <v>1</v>
      </c>
      <c r="E84" s="2">
        <v>1</v>
      </c>
      <c r="F84" s="1" t="s">
        <v>7</v>
      </c>
      <c r="G84" s="1" t="s">
        <v>7</v>
      </c>
    </row>
    <row r="85" spans="1:7" hidden="1">
      <c r="A85" t="s">
        <v>3</v>
      </c>
      <c r="B85" s="1" t="s">
        <v>60</v>
      </c>
      <c r="C85" s="2">
        <v>2015</v>
      </c>
      <c r="D85" s="2">
        <v>227</v>
      </c>
      <c r="E85" s="2">
        <v>202</v>
      </c>
      <c r="F85" s="2">
        <v>25</v>
      </c>
      <c r="G85" s="1" t="s">
        <v>7</v>
      </c>
    </row>
    <row r="86" spans="1:7" hidden="1">
      <c r="A86" t="s">
        <v>3</v>
      </c>
      <c r="B86" s="1" t="s">
        <v>60</v>
      </c>
      <c r="C86" s="2">
        <v>2016</v>
      </c>
      <c r="D86" s="2">
        <v>3</v>
      </c>
      <c r="E86" s="2">
        <v>2</v>
      </c>
      <c r="F86" s="2">
        <v>1</v>
      </c>
      <c r="G86" s="1" t="s">
        <v>7</v>
      </c>
    </row>
    <row r="87" spans="1:7" hidden="1">
      <c r="A87" t="s">
        <v>3</v>
      </c>
      <c r="B87" s="1" t="s">
        <v>61</v>
      </c>
      <c r="C87" s="2">
        <v>2016</v>
      </c>
      <c r="D87" s="2">
        <v>597</v>
      </c>
      <c r="E87" s="2">
        <v>533</v>
      </c>
      <c r="F87" s="2">
        <v>61</v>
      </c>
      <c r="G87" s="1" t="s">
        <v>123</v>
      </c>
    </row>
    <row r="88" spans="1:7" hidden="1">
      <c r="A88" t="s">
        <v>3</v>
      </c>
      <c r="B88" s="1" t="s">
        <v>61</v>
      </c>
      <c r="C88" s="2">
        <v>2017</v>
      </c>
      <c r="D88" s="2">
        <v>15</v>
      </c>
      <c r="E88" s="2">
        <v>14</v>
      </c>
      <c r="F88" s="2">
        <v>1</v>
      </c>
      <c r="G88" s="1" t="s">
        <v>7</v>
      </c>
    </row>
    <row r="89" spans="1:7" hidden="1">
      <c r="A89" t="s">
        <v>3</v>
      </c>
      <c r="B89" s="1" t="s">
        <v>61</v>
      </c>
      <c r="C89" s="2">
        <v>2018</v>
      </c>
      <c r="D89" s="2">
        <v>1</v>
      </c>
      <c r="E89" s="2">
        <v>1</v>
      </c>
      <c r="F89" s="1" t="s">
        <v>7</v>
      </c>
      <c r="G89" s="1" t="s">
        <v>7</v>
      </c>
    </row>
    <row r="90" spans="1:7" hidden="1">
      <c r="A90" t="s">
        <v>3</v>
      </c>
      <c r="B90" s="1" t="s">
        <v>62</v>
      </c>
      <c r="C90" s="2">
        <v>2017</v>
      </c>
      <c r="D90" s="2">
        <v>803</v>
      </c>
      <c r="E90" s="2">
        <v>729</v>
      </c>
      <c r="F90" s="2">
        <v>73</v>
      </c>
      <c r="G90" s="1" t="s">
        <v>122</v>
      </c>
    </row>
    <row r="91" spans="1:7" hidden="1">
      <c r="A91" t="s">
        <v>3</v>
      </c>
      <c r="B91" s="1" t="s">
        <v>62</v>
      </c>
      <c r="C91" s="2">
        <v>2018</v>
      </c>
      <c r="D91" s="2">
        <v>14</v>
      </c>
      <c r="E91" s="2">
        <v>13</v>
      </c>
      <c r="F91" s="2">
        <v>1</v>
      </c>
      <c r="G91" s="1" t="s">
        <v>7</v>
      </c>
    </row>
    <row r="92" spans="1:7" hidden="1">
      <c r="A92" t="s">
        <v>3</v>
      </c>
      <c r="B92" s="1" t="s">
        <v>63</v>
      </c>
      <c r="C92" s="2">
        <v>2018</v>
      </c>
      <c r="D92" s="2">
        <v>665</v>
      </c>
      <c r="E92" s="2">
        <v>585</v>
      </c>
      <c r="F92" s="2">
        <v>80</v>
      </c>
      <c r="G92" s="1" t="s">
        <v>7</v>
      </c>
    </row>
    <row r="93" spans="1:7" hidden="1">
      <c r="A93" t="s">
        <v>3</v>
      </c>
      <c r="B93" s="1" t="s">
        <v>63</v>
      </c>
      <c r="C93" s="2">
        <v>2019</v>
      </c>
      <c r="D93" s="2">
        <v>42</v>
      </c>
      <c r="E93" s="2">
        <v>32</v>
      </c>
      <c r="F93" s="2">
        <v>10</v>
      </c>
      <c r="G93" s="1" t="s">
        <v>7</v>
      </c>
    </row>
    <row r="94" spans="1:7" hidden="1">
      <c r="A94" t="s">
        <v>3</v>
      </c>
      <c r="B94" s="1" t="s">
        <v>63</v>
      </c>
      <c r="C94" s="2">
        <v>2020</v>
      </c>
      <c r="D94" s="2">
        <v>37</v>
      </c>
      <c r="E94" s="2">
        <v>29</v>
      </c>
      <c r="F94" s="2">
        <v>8</v>
      </c>
      <c r="G94" s="1" t="s">
        <v>7</v>
      </c>
    </row>
    <row r="95" spans="1:7" hidden="1">
      <c r="A95" t="s">
        <v>3</v>
      </c>
      <c r="B95" s="1" t="s">
        <v>63</v>
      </c>
      <c r="C95" s="2">
        <v>2023</v>
      </c>
      <c r="D95" s="2">
        <v>1</v>
      </c>
      <c r="E95" s="2">
        <v>1</v>
      </c>
      <c r="F95" s="1" t="s">
        <v>7</v>
      </c>
      <c r="G95" s="1" t="s">
        <v>7</v>
      </c>
    </row>
    <row r="96" spans="1:7" hidden="1">
      <c r="A96" t="s">
        <v>3</v>
      </c>
      <c r="B96" s="1" t="s">
        <v>64</v>
      </c>
      <c r="C96" s="2">
        <v>2019</v>
      </c>
      <c r="D96" s="2">
        <v>661</v>
      </c>
      <c r="E96" s="2">
        <v>582</v>
      </c>
      <c r="F96" s="2">
        <v>79</v>
      </c>
      <c r="G96" s="1" t="s">
        <v>7</v>
      </c>
    </row>
    <row r="97" spans="1:7" hidden="1">
      <c r="A97" t="s">
        <v>3</v>
      </c>
      <c r="B97" s="1" t="s">
        <v>64</v>
      </c>
      <c r="C97" s="2">
        <v>2020</v>
      </c>
      <c r="D97" s="2">
        <v>16</v>
      </c>
      <c r="E97" s="2">
        <v>16</v>
      </c>
      <c r="F97" s="1" t="s">
        <v>7</v>
      </c>
      <c r="G97" s="1" t="s">
        <v>7</v>
      </c>
    </row>
    <row r="98" spans="1:7" hidden="1">
      <c r="A98" t="s">
        <v>3</v>
      </c>
      <c r="B98" s="1" t="s">
        <v>64</v>
      </c>
      <c r="C98" s="2">
        <v>2021</v>
      </c>
      <c r="D98" s="2">
        <v>7</v>
      </c>
      <c r="E98" s="2">
        <v>5</v>
      </c>
      <c r="F98" s="2">
        <v>2</v>
      </c>
      <c r="G98" s="1" t="s">
        <v>7</v>
      </c>
    </row>
    <row r="99" spans="1:7" hidden="1">
      <c r="A99" t="s">
        <v>3</v>
      </c>
      <c r="B99" s="1" t="s">
        <v>64</v>
      </c>
      <c r="C99" s="2">
        <v>2022</v>
      </c>
      <c r="D99" s="2">
        <v>1</v>
      </c>
      <c r="E99" s="2">
        <v>1</v>
      </c>
      <c r="F99" s="1" t="s">
        <v>7</v>
      </c>
      <c r="G99" s="1" t="s">
        <v>7</v>
      </c>
    </row>
    <row r="100" spans="1:7" hidden="1">
      <c r="A100" t="s">
        <v>3</v>
      </c>
      <c r="B100" s="1" t="s">
        <v>64</v>
      </c>
      <c r="C100" s="2">
        <v>2024</v>
      </c>
      <c r="D100" s="2">
        <v>1</v>
      </c>
      <c r="E100" s="2">
        <v>1</v>
      </c>
      <c r="F100" s="1" t="s">
        <v>7</v>
      </c>
      <c r="G100" s="1" t="s">
        <v>7</v>
      </c>
    </row>
    <row r="101" spans="1:7" hidden="1">
      <c r="A101" t="s">
        <v>3</v>
      </c>
      <c r="B101" s="1" t="s">
        <v>65</v>
      </c>
      <c r="C101" s="2">
        <v>2020</v>
      </c>
      <c r="D101" s="2">
        <v>565</v>
      </c>
      <c r="E101" s="2">
        <v>481</v>
      </c>
      <c r="F101" s="2">
        <v>84</v>
      </c>
      <c r="G101" s="1" t="s">
        <v>7</v>
      </c>
    </row>
    <row r="102" spans="1:7" hidden="1">
      <c r="A102" t="s">
        <v>3</v>
      </c>
      <c r="B102" s="1" t="s">
        <v>65</v>
      </c>
      <c r="C102" s="2">
        <v>2021</v>
      </c>
      <c r="D102" s="2">
        <v>32</v>
      </c>
      <c r="E102" s="2">
        <v>26</v>
      </c>
      <c r="F102" s="2">
        <v>6</v>
      </c>
      <c r="G102" s="1" t="s">
        <v>7</v>
      </c>
    </row>
    <row r="103" spans="1:7" hidden="1">
      <c r="A103" t="s">
        <v>3</v>
      </c>
      <c r="B103" s="1" t="s">
        <v>65</v>
      </c>
      <c r="C103" s="2">
        <v>2022</v>
      </c>
      <c r="D103" s="2">
        <v>3</v>
      </c>
      <c r="E103" s="2">
        <v>2</v>
      </c>
      <c r="F103" s="2">
        <v>1</v>
      </c>
      <c r="G103" s="1" t="s">
        <v>7</v>
      </c>
    </row>
    <row r="104" spans="1:7" hidden="1">
      <c r="A104" t="s">
        <v>3</v>
      </c>
      <c r="B104" s="1" t="s">
        <v>66</v>
      </c>
      <c r="C104" s="2">
        <v>2021</v>
      </c>
      <c r="D104" s="2">
        <v>493</v>
      </c>
      <c r="E104" s="2">
        <v>445</v>
      </c>
      <c r="F104" s="2">
        <v>48</v>
      </c>
      <c r="G104" s="1" t="s">
        <v>7</v>
      </c>
    </row>
    <row r="105" spans="1:7" hidden="1">
      <c r="A105" t="s">
        <v>3</v>
      </c>
      <c r="B105" s="1" t="s">
        <v>66</v>
      </c>
      <c r="C105" s="2">
        <v>2022</v>
      </c>
      <c r="D105" s="2">
        <v>10</v>
      </c>
      <c r="E105" s="2">
        <v>10</v>
      </c>
      <c r="F105" s="1" t="s">
        <v>7</v>
      </c>
      <c r="G105" s="1" t="s">
        <v>7</v>
      </c>
    </row>
    <row r="106" spans="1:7" hidden="1">
      <c r="A106" t="s">
        <v>3</v>
      </c>
      <c r="B106" s="1" t="s">
        <v>66</v>
      </c>
      <c r="C106" s="2">
        <v>2023</v>
      </c>
      <c r="D106" s="2">
        <v>1</v>
      </c>
      <c r="E106" s="2">
        <v>1</v>
      </c>
      <c r="F106" s="1" t="s">
        <v>7</v>
      </c>
      <c r="G106" s="1" t="s">
        <v>7</v>
      </c>
    </row>
    <row r="107" spans="1:7" hidden="1">
      <c r="A107" t="s">
        <v>3</v>
      </c>
      <c r="B107" s="1" t="s">
        <v>66</v>
      </c>
      <c r="C107" s="2">
        <v>2024</v>
      </c>
      <c r="D107" s="2">
        <v>1</v>
      </c>
      <c r="E107" s="2">
        <v>1</v>
      </c>
      <c r="F107" s="1" t="s">
        <v>7</v>
      </c>
      <c r="G107" s="1" t="s">
        <v>7</v>
      </c>
    </row>
    <row r="108" spans="1:7" hidden="1">
      <c r="A108" t="s">
        <v>3</v>
      </c>
      <c r="B108" s="1" t="s">
        <v>67</v>
      </c>
      <c r="C108" s="2">
        <v>2022</v>
      </c>
      <c r="D108" s="2">
        <v>799</v>
      </c>
      <c r="E108" s="2">
        <v>702</v>
      </c>
      <c r="F108" s="2">
        <v>97</v>
      </c>
      <c r="G108" s="1" t="s">
        <v>7</v>
      </c>
    </row>
    <row r="109" spans="1:7" hidden="1">
      <c r="A109" t="s">
        <v>3</v>
      </c>
      <c r="B109" s="1" t="s">
        <v>67</v>
      </c>
      <c r="C109" s="2">
        <v>2023</v>
      </c>
      <c r="D109" s="2">
        <v>9</v>
      </c>
      <c r="E109" s="2">
        <v>9</v>
      </c>
      <c r="F109" s="1" t="s">
        <v>7</v>
      </c>
      <c r="G109" s="1" t="s">
        <v>7</v>
      </c>
    </row>
    <row r="110" spans="1:7" hidden="1">
      <c r="A110" t="s">
        <v>3</v>
      </c>
      <c r="B110" s="1" t="s">
        <v>67</v>
      </c>
      <c r="C110" s="2">
        <v>2024</v>
      </c>
      <c r="D110" s="2">
        <v>15</v>
      </c>
      <c r="E110" s="2">
        <v>13</v>
      </c>
      <c r="F110" s="2">
        <v>2</v>
      </c>
      <c r="G110" s="1" t="s">
        <v>7</v>
      </c>
    </row>
    <row r="111" spans="1:7" hidden="1">
      <c r="A111" t="s">
        <v>3</v>
      </c>
      <c r="B111" s="1" t="s">
        <v>68</v>
      </c>
      <c r="C111" s="2">
        <v>2023</v>
      </c>
      <c r="D111" s="2">
        <v>822</v>
      </c>
      <c r="E111" s="2">
        <v>695</v>
      </c>
      <c r="F111" s="2">
        <v>126</v>
      </c>
      <c r="G111" s="1" t="s">
        <v>122</v>
      </c>
    </row>
    <row r="112" spans="1:7" hidden="1">
      <c r="A112" t="s">
        <v>3</v>
      </c>
      <c r="B112" s="1" t="s">
        <v>68</v>
      </c>
      <c r="C112" s="2">
        <v>2024</v>
      </c>
      <c r="D112" s="2">
        <v>24</v>
      </c>
      <c r="E112" s="2">
        <v>19</v>
      </c>
      <c r="F112" s="2">
        <v>5</v>
      </c>
      <c r="G112" s="1" t="s">
        <v>7</v>
      </c>
    </row>
    <row r="113" spans="1:7" hidden="1">
      <c r="A113" t="s">
        <v>3</v>
      </c>
      <c r="B113" s="1" t="s">
        <v>69</v>
      </c>
      <c r="C113" s="2">
        <v>2024</v>
      </c>
      <c r="D113" s="2">
        <v>822</v>
      </c>
      <c r="E113" s="2">
        <v>698</v>
      </c>
      <c r="F113" s="2">
        <v>124</v>
      </c>
      <c r="G113" s="1" t="s">
        <v>7</v>
      </c>
    </row>
    <row r="114" spans="1:7" hidden="1">
      <c r="A114" t="s">
        <v>3</v>
      </c>
      <c r="B114" s="1" t="s">
        <v>6</v>
      </c>
      <c r="C114" s="2">
        <v>1990</v>
      </c>
      <c r="D114" s="2">
        <v>14</v>
      </c>
      <c r="E114" s="2">
        <v>14</v>
      </c>
      <c r="F114" s="1" t="s">
        <v>7</v>
      </c>
      <c r="G114" s="1" t="s">
        <v>7</v>
      </c>
    </row>
    <row r="115" spans="1:7" hidden="1">
      <c r="A115" t="s">
        <v>3</v>
      </c>
      <c r="B115" s="1" t="s">
        <v>6</v>
      </c>
      <c r="C115" s="2">
        <v>1991</v>
      </c>
      <c r="D115" s="2">
        <v>15</v>
      </c>
      <c r="E115" s="2">
        <v>14</v>
      </c>
      <c r="F115" s="2">
        <v>1</v>
      </c>
      <c r="G115" s="1" t="s">
        <v>7</v>
      </c>
    </row>
    <row r="116" spans="1:7" hidden="1">
      <c r="A116" t="s">
        <v>3</v>
      </c>
      <c r="B116" s="1" t="s">
        <v>6</v>
      </c>
      <c r="C116" s="2">
        <v>1992</v>
      </c>
      <c r="D116" s="2">
        <v>44</v>
      </c>
      <c r="E116" s="2">
        <v>42</v>
      </c>
      <c r="F116" s="2">
        <v>2</v>
      </c>
      <c r="G116" s="1" t="s">
        <v>7</v>
      </c>
    </row>
    <row r="117" spans="1:7" hidden="1">
      <c r="A117" t="s">
        <v>3</v>
      </c>
      <c r="B117" s="1" t="s">
        <v>6</v>
      </c>
      <c r="C117" s="2">
        <v>1993</v>
      </c>
      <c r="D117" s="2">
        <v>7</v>
      </c>
      <c r="E117" s="2">
        <v>7</v>
      </c>
      <c r="F117" s="1" t="s">
        <v>7</v>
      </c>
      <c r="G117" s="1" t="s">
        <v>7</v>
      </c>
    </row>
    <row r="118" spans="1:7" hidden="1">
      <c r="A118" t="s">
        <v>3</v>
      </c>
      <c r="B118" s="1" t="s">
        <v>6</v>
      </c>
      <c r="C118" s="2">
        <v>1994</v>
      </c>
      <c r="D118" s="2">
        <v>2</v>
      </c>
      <c r="E118" s="2">
        <v>2</v>
      </c>
      <c r="F118" s="1" t="s">
        <v>7</v>
      </c>
      <c r="G118" s="1" t="s">
        <v>7</v>
      </c>
    </row>
    <row r="119" spans="1:7" hidden="1">
      <c r="A119" t="s">
        <v>3</v>
      </c>
      <c r="B119" s="1" t="s">
        <v>6</v>
      </c>
      <c r="C119" s="2">
        <v>1995</v>
      </c>
      <c r="D119" s="2">
        <v>2</v>
      </c>
      <c r="E119" s="2">
        <v>2</v>
      </c>
      <c r="F119" s="1" t="s">
        <v>7</v>
      </c>
      <c r="G119" s="1" t="s">
        <v>7</v>
      </c>
    </row>
    <row r="120" spans="1:7" hidden="1">
      <c r="A120" t="s">
        <v>3</v>
      </c>
      <c r="B120" s="1" t="s">
        <v>6</v>
      </c>
      <c r="C120" s="2">
        <v>1996</v>
      </c>
      <c r="D120" s="2">
        <v>1</v>
      </c>
      <c r="E120" s="2">
        <v>1</v>
      </c>
      <c r="F120" s="1" t="s">
        <v>7</v>
      </c>
      <c r="G120" s="1" t="s">
        <v>7</v>
      </c>
    </row>
    <row r="121" spans="1:7" hidden="1">
      <c r="A121" t="s">
        <v>3</v>
      </c>
      <c r="B121" s="1" t="s">
        <v>6</v>
      </c>
      <c r="C121" s="2">
        <v>2010</v>
      </c>
      <c r="D121" s="2">
        <v>1</v>
      </c>
      <c r="E121" s="2">
        <v>1</v>
      </c>
      <c r="F121" s="1" t="s">
        <v>7</v>
      </c>
      <c r="G121" s="1" t="s">
        <v>7</v>
      </c>
    </row>
    <row r="122" spans="1:7" hidden="1">
      <c r="A122" t="s">
        <v>3</v>
      </c>
      <c r="B122" s="1" t="s">
        <v>6</v>
      </c>
      <c r="C122" s="2">
        <v>2013</v>
      </c>
      <c r="D122" s="2">
        <v>2</v>
      </c>
      <c r="E122" s="2">
        <v>2</v>
      </c>
      <c r="F122" s="1" t="s">
        <v>7</v>
      </c>
      <c r="G122" s="1" t="s">
        <v>7</v>
      </c>
    </row>
    <row r="123" spans="1:7" hidden="1">
      <c r="A123" t="s">
        <v>3</v>
      </c>
      <c r="B123" s="1" t="s">
        <v>6</v>
      </c>
      <c r="C123" s="2">
        <v>2016</v>
      </c>
      <c r="D123" s="2">
        <v>5</v>
      </c>
      <c r="E123" s="2">
        <v>4</v>
      </c>
      <c r="F123" s="2">
        <v>1</v>
      </c>
      <c r="G123" s="1" t="s">
        <v>7</v>
      </c>
    </row>
    <row r="124" spans="1:7" hidden="1">
      <c r="A124" t="s">
        <v>3</v>
      </c>
      <c r="B124" s="1" t="s">
        <v>6</v>
      </c>
      <c r="C124" s="2">
        <v>2017</v>
      </c>
      <c r="D124" s="2">
        <v>10</v>
      </c>
      <c r="E124" s="2">
        <v>7</v>
      </c>
      <c r="F124" s="1" t="s">
        <v>7</v>
      </c>
      <c r="G124" s="1" t="s">
        <v>123</v>
      </c>
    </row>
    <row r="125" spans="1:7" hidden="1">
      <c r="A125" t="s">
        <v>3</v>
      </c>
      <c r="B125" s="1" t="s">
        <v>6</v>
      </c>
      <c r="C125" s="2">
        <v>2018</v>
      </c>
      <c r="D125" s="2">
        <v>2</v>
      </c>
      <c r="E125" s="2">
        <v>1</v>
      </c>
      <c r="F125" s="1" t="s">
        <v>7</v>
      </c>
      <c r="G125" s="1" t="s">
        <v>122</v>
      </c>
    </row>
    <row r="126" spans="1:7" hidden="1">
      <c r="A126" t="s">
        <v>3</v>
      </c>
      <c r="B126" s="1" t="s">
        <v>6</v>
      </c>
      <c r="C126" s="2">
        <v>2019</v>
      </c>
      <c r="D126" s="2">
        <v>3</v>
      </c>
      <c r="E126" s="2">
        <v>1</v>
      </c>
      <c r="F126" s="2">
        <v>2</v>
      </c>
      <c r="G126" s="1" t="s">
        <v>7</v>
      </c>
    </row>
    <row r="127" spans="1:7" hidden="1">
      <c r="A127" t="s">
        <v>3</v>
      </c>
      <c r="B127" s="1" t="s">
        <v>6</v>
      </c>
      <c r="C127" s="2">
        <v>2020</v>
      </c>
      <c r="D127" s="2">
        <v>6</v>
      </c>
      <c r="E127" s="2">
        <v>4</v>
      </c>
      <c r="F127" s="2">
        <v>2</v>
      </c>
      <c r="G127" s="1" t="s">
        <v>7</v>
      </c>
    </row>
    <row r="128" spans="1:7" hidden="1">
      <c r="A128" t="s">
        <v>3</v>
      </c>
      <c r="B128" s="1" t="s">
        <v>6</v>
      </c>
      <c r="C128" s="2">
        <v>2021</v>
      </c>
      <c r="D128" s="2">
        <v>19</v>
      </c>
      <c r="E128" s="2">
        <v>14</v>
      </c>
      <c r="F128" s="2">
        <v>4</v>
      </c>
      <c r="G128" s="1" t="s">
        <v>122</v>
      </c>
    </row>
    <row r="129" spans="1:7" hidden="1">
      <c r="A129" t="s">
        <v>3</v>
      </c>
      <c r="B129" s="1" t="s">
        <v>6</v>
      </c>
      <c r="C129" s="2">
        <v>2022</v>
      </c>
      <c r="D129" s="2">
        <v>35</v>
      </c>
      <c r="E129" s="2">
        <v>27</v>
      </c>
      <c r="F129" s="2">
        <v>8</v>
      </c>
      <c r="G129" s="1" t="s">
        <v>7</v>
      </c>
    </row>
    <row r="130" spans="1:7" hidden="1">
      <c r="A130" t="s">
        <v>3</v>
      </c>
      <c r="B130" s="1" t="s">
        <v>6</v>
      </c>
      <c r="C130" s="2">
        <v>2023</v>
      </c>
      <c r="D130" s="2">
        <v>16</v>
      </c>
      <c r="E130" s="2">
        <v>14</v>
      </c>
      <c r="F130" s="2">
        <v>2</v>
      </c>
      <c r="G130" s="1" t="s">
        <v>7</v>
      </c>
    </row>
    <row r="131" spans="1:7" hidden="1">
      <c r="A131" t="s">
        <v>3</v>
      </c>
      <c r="B131" s="1" t="s">
        <v>6</v>
      </c>
      <c r="C131" s="2">
        <v>2024</v>
      </c>
      <c r="D131" s="2">
        <v>12</v>
      </c>
      <c r="E131" s="2">
        <v>11</v>
      </c>
      <c r="F131" s="2">
        <v>1</v>
      </c>
      <c r="G131" s="1" t="s">
        <v>7</v>
      </c>
    </row>
    <row r="132" spans="1:7" hidden="1">
      <c r="A132" t="s">
        <v>70</v>
      </c>
      <c r="B132" s="1" t="s">
        <v>3</v>
      </c>
      <c r="C132" s="63">
        <v>1992</v>
      </c>
      <c r="D132" s="63">
        <v>1</v>
      </c>
      <c r="E132" s="63" t="s">
        <v>7</v>
      </c>
      <c r="F132" s="63">
        <v>1</v>
      </c>
      <c r="G132" s="63" t="s">
        <v>7</v>
      </c>
    </row>
    <row r="133" spans="1:7" hidden="1">
      <c r="A133" t="s">
        <v>70</v>
      </c>
      <c r="B133" s="1" t="s">
        <v>3</v>
      </c>
      <c r="C133" s="63">
        <v>1993</v>
      </c>
      <c r="D133" s="63">
        <v>1</v>
      </c>
      <c r="E133" s="63">
        <v>1</v>
      </c>
      <c r="F133" s="63" t="s">
        <v>7</v>
      </c>
      <c r="G133" s="63" t="s">
        <v>7</v>
      </c>
    </row>
    <row r="134" spans="1:7" hidden="1">
      <c r="A134" t="s">
        <v>70</v>
      </c>
      <c r="B134" s="1" t="s">
        <v>3</v>
      </c>
      <c r="C134" s="63">
        <v>1996</v>
      </c>
      <c r="D134" s="63">
        <v>3</v>
      </c>
      <c r="E134" s="63" t="s">
        <v>7</v>
      </c>
      <c r="F134" s="63">
        <v>3</v>
      </c>
      <c r="G134" s="63" t="s">
        <v>7</v>
      </c>
    </row>
    <row r="135" spans="1:7" hidden="1">
      <c r="A135" t="s">
        <v>70</v>
      </c>
      <c r="B135" s="1" t="s">
        <v>3</v>
      </c>
      <c r="C135" s="63">
        <v>1997</v>
      </c>
      <c r="D135" s="63">
        <v>1</v>
      </c>
      <c r="E135" s="63">
        <v>1</v>
      </c>
      <c r="F135" s="63" t="s">
        <v>7</v>
      </c>
      <c r="G135" s="63" t="s">
        <v>7</v>
      </c>
    </row>
    <row r="136" spans="1:7" hidden="1">
      <c r="A136" t="s">
        <v>70</v>
      </c>
      <c r="B136" s="1" t="s">
        <v>3</v>
      </c>
      <c r="C136" s="63">
        <v>1998</v>
      </c>
      <c r="D136" s="63">
        <v>1</v>
      </c>
      <c r="E136" s="63">
        <v>1</v>
      </c>
      <c r="F136" s="63" t="s">
        <v>7</v>
      </c>
      <c r="G136" s="63" t="s">
        <v>7</v>
      </c>
    </row>
    <row r="137" spans="1:7" hidden="1">
      <c r="A137" t="s">
        <v>70</v>
      </c>
      <c r="B137" s="1" t="s">
        <v>3</v>
      </c>
      <c r="C137" s="63">
        <v>2008</v>
      </c>
      <c r="D137" s="63">
        <v>3</v>
      </c>
      <c r="E137" s="63">
        <v>2</v>
      </c>
      <c r="F137" s="63">
        <v>1</v>
      </c>
      <c r="G137" s="63" t="s">
        <v>7</v>
      </c>
    </row>
    <row r="138" spans="1:7" hidden="1">
      <c r="A138" t="s">
        <v>70</v>
      </c>
      <c r="B138" s="1" t="s">
        <v>3</v>
      </c>
      <c r="C138" s="63">
        <v>2009</v>
      </c>
      <c r="D138" s="63">
        <v>1</v>
      </c>
      <c r="E138" s="63">
        <v>1</v>
      </c>
      <c r="F138" s="63" t="s">
        <v>7</v>
      </c>
      <c r="G138" s="63" t="s">
        <v>7</v>
      </c>
    </row>
    <row r="139" spans="1:7" hidden="1">
      <c r="A139" t="s">
        <v>70</v>
      </c>
      <c r="B139" s="1" t="s">
        <v>3</v>
      </c>
      <c r="C139" s="63">
        <v>2014</v>
      </c>
      <c r="D139" s="63">
        <v>1</v>
      </c>
      <c r="E139" s="63">
        <v>1</v>
      </c>
      <c r="F139" s="63" t="s">
        <v>7</v>
      </c>
      <c r="G139" s="63" t="s">
        <v>7</v>
      </c>
    </row>
    <row r="140" spans="1:7" hidden="1">
      <c r="A140" t="s">
        <v>70</v>
      </c>
      <c r="B140" s="1" t="s">
        <v>3</v>
      </c>
      <c r="C140" s="63">
        <v>2020</v>
      </c>
      <c r="D140" s="63">
        <v>1</v>
      </c>
      <c r="E140" s="63">
        <v>1</v>
      </c>
      <c r="F140" s="63" t="s">
        <v>7</v>
      </c>
      <c r="G140" s="63" t="s">
        <v>7</v>
      </c>
    </row>
    <row r="141" spans="1:7" hidden="1">
      <c r="A141" t="s">
        <v>70</v>
      </c>
      <c r="B141" s="1" t="s">
        <v>37</v>
      </c>
      <c r="C141" s="2">
        <v>1992</v>
      </c>
      <c r="D141" s="2">
        <v>1</v>
      </c>
      <c r="E141" s="1" t="s">
        <v>7</v>
      </c>
      <c r="F141" s="2">
        <v>1</v>
      </c>
      <c r="G141" s="1" t="s">
        <v>7</v>
      </c>
    </row>
    <row r="142" spans="1:7" hidden="1">
      <c r="A142" t="s">
        <v>70</v>
      </c>
      <c r="B142" s="1" t="s">
        <v>41</v>
      </c>
      <c r="C142" s="2">
        <v>1996</v>
      </c>
      <c r="D142" s="2">
        <v>3</v>
      </c>
      <c r="E142" s="1" t="s">
        <v>7</v>
      </c>
      <c r="F142" s="2">
        <v>3</v>
      </c>
      <c r="G142" s="1" t="s">
        <v>7</v>
      </c>
    </row>
    <row r="143" spans="1:7" hidden="1">
      <c r="A143" t="s">
        <v>70</v>
      </c>
      <c r="B143" s="1" t="s">
        <v>42</v>
      </c>
      <c r="C143" s="2">
        <v>1997</v>
      </c>
      <c r="D143" s="2">
        <v>1</v>
      </c>
      <c r="E143" s="2">
        <v>1</v>
      </c>
      <c r="F143" s="1" t="s">
        <v>7</v>
      </c>
      <c r="G143" s="1" t="s">
        <v>7</v>
      </c>
    </row>
    <row r="144" spans="1:7" hidden="1">
      <c r="A144" t="s">
        <v>70</v>
      </c>
      <c r="B144" s="1" t="s">
        <v>43</v>
      </c>
      <c r="C144" s="2">
        <v>1998</v>
      </c>
      <c r="D144" s="2">
        <v>1</v>
      </c>
      <c r="E144" s="2">
        <v>1</v>
      </c>
      <c r="F144" s="1" t="s">
        <v>7</v>
      </c>
      <c r="G144" s="1" t="s">
        <v>7</v>
      </c>
    </row>
    <row r="145" spans="1:7" hidden="1">
      <c r="A145" t="s">
        <v>70</v>
      </c>
      <c r="B145" s="1" t="s">
        <v>53</v>
      </c>
      <c r="C145" s="2">
        <v>2008</v>
      </c>
      <c r="D145" s="2">
        <v>3</v>
      </c>
      <c r="E145" s="2">
        <v>2</v>
      </c>
      <c r="F145" s="2">
        <v>1</v>
      </c>
      <c r="G145" s="1" t="s">
        <v>7</v>
      </c>
    </row>
    <row r="146" spans="1:7" hidden="1">
      <c r="A146" t="s">
        <v>70</v>
      </c>
      <c r="B146" s="1" t="s">
        <v>54</v>
      </c>
      <c r="C146" s="2">
        <v>2009</v>
      </c>
      <c r="D146" s="2">
        <v>1</v>
      </c>
      <c r="E146" s="2">
        <v>1</v>
      </c>
      <c r="F146" s="1" t="s">
        <v>7</v>
      </c>
      <c r="G146" s="1" t="s">
        <v>7</v>
      </c>
    </row>
    <row r="147" spans="1:7" hidden="1">
      <c r="A147" t="s">
        <v>70</v>
      </c>
      <c r="B147" s="1" t="s">
        <v>59</v>
      </c>
      <c r="C147" s="2">
        <v>2014</v>
      </c>
      <c r="D147" s="2">
        <v>1</v>
      </c>
      <c r="E147" s="2">
        <v>1</v>
      </c>
      <c r="F147" s="1" t="s">
        <v>7</v>
      </c>
      <c r="G147" s="1" t="s">
        <v>7</v>
      </c>
    </row>
    <row r="148" spans="1:7" hidden="1">
      <c r="A148" t="s">
        <v>70</v>
      </c>
      <c r="B148" s="1" t="s">
        <v>65</v>
      </c>
      <c r="C148" s="2">
        <v>2020</v>
      </c>
      <c r="D148" s="2">
        <v>1</v>
      </c>
      <c r="E148" s="2">
        <v>1</v>
      </c>
      <c r="F148" s="1" t="s">
        <v>7</v>
      </c>
      <c r="G148" s="1" t="s">
        <v>7</v>
      </c>
    </row>
    <row r="149" spans="1:7" hidden="1">
      <c r="A149" t="s">
        <v>70</v>
      </c>
      <c r="B149" s="1" t="s">
        <v>6</v>
      </c>
      <c r="C149" s="2">
        <v>1993</v>
      </c>
      <c r="D149" s="2">
        <v>1</v>
      </c>
      <c r="E149" s="2">
        <v>1</v>
      </c>
      <c r="F149" s="1" t="s">
        <v>7</v>
      </c>
      <c r="G149" s="1" t="s">
        <v>7</v>
      </c>
    </row>
    <row r="150" spans="1:7" hidden="1">
      <c r="A150" t="s">
        <v>71</v>
      </c>
      <c r="B150" s="1" t="s">
        <v>3</v>
      </c>
      <c r="C150" s="63">
        <v>1990</v>
      </c>
      <c r="D150" s="63">
        <v>1</v>
      </c>
      <c r="E150" s="63" t="s">
        <v>7</v>
      </c>
      <c r="F150" s="63">
        <v>1</v>
      </c>
      <c r="G150" s="63" t="s">
        <v>7</v>
      </c>
    </row>
    <row r="151" spans="1:7" hidden="1">
      <c r="A151" t="s">
        <v>71</v>
      </c>
      <c r="B151" s="1" t="s">
        <v>3</v>
      </c>
      <c r="C151" s="63">
        <v>1991</v>
      </c>
      <c r="D151" s="63">
        <v>1</v>
      </c>
      <c r="E151" s="63">
        <v>1</v>
      </c>
      <c r="F151" s="63" t="s">
        <v>7</v>
      </c>
      <c r="G151" s="63" t="s">
        <v>7</v>
      </c>
    </row>
    <row r="152" spans="1:7" hidden="1">
      <c r="A152" t="s">
        <v>71</v>
      </c>
      <c r="B152" s="1" t="s">
        <v>3</v>
      </c>
      <c r="C152" s="63">
        <v>1992</v>
      </c>
      <c r="D152" s="63">
        <v>2</v>
      </c>
      <c r="E152" s="63">
        <v>2</v>
      </c>
      <c r="F152" s="63" t="s">
        <v>7</v>
      </c>
      <c r="G152" s="63" t="s">
        <v>7</v>
      </c>
    </row>
    <row r="153" spans="1:7" hidden="1">
      <c r="A153" t="s">
        <v>71</v>
      </c>
      <c r="B153" s="1" t="s">
        <v>3</v>
      </c>
      <c r="C153" s="63">
        <v>1993</v>
      </c>
      <c r="D153" s="63">
        <v>1</v>
      </c>
      <c r="E153" s="63">
        <v>1</v>
      </c>
      <c r="F153" s="63" t="s">
        <v>7</v>
      </c>
      <c r="G153" s="63" t="s">
        <v>7</v>
      </c>
    </row>
    <row r="154" spans="1:7" hidden="1">
      <c r="A154" t="s">
        <v>71</v>
      </c>
      <c r="B154" s="1" t="s">
        <v>3</v>
      </c>
      <c r="C154" s="63">
        <v>1994</v>
      </c>
      <c r="D154" s="63">
        <v>1</v>
      </c>
      <c r="E154" s="63">
        <v>1</v>
      </c>
      <c r="F154" s="63" t="s">
        <v>7</v>
      </c>
      <c r="G154" s="63" t="s">
        <v>7</v>
      </c>
    </row>
    <row r="155" spans="1:7" hidden="1">
      <c r="A155" t="s">
        <v>71</v>
      </c>
      <c r="B155" s="1" t="s">
        <v>3</v>
      </c>
      <c r="C155" s="63">
        <v>1998</v>
      </c>
      <c r="D155" s="63">
        <v>1</v>
      </c>
      <c r="E155" s="63" t="s">
        <v>7</v>
      </c>
      <c r="F155" s="63">
        <v>1</v>
      </c>
      <c r="G155" s="63" t="s">
        <v>7</v>
      </c>
    </row>
    <row r="156" spans="1:7" hidden="1">
      <c r="A156" t="s">
        <v>71</v>
      </c>
      <c r="B156" s="1" t="s">
        <v>3</v>
      </c>
      <c r="C156" s="63">
        <v>1999</v>
      </c>
      <c r="D156" s="63">
        <v>2</v>
      </c>
      <c r="E156" s="63">
        <v>1</v>
      </c>
      <c r="F156" s="63">
        <v>1</v>
      </c>
      <c r="G156" s="63" t="s">
        <v>7</v>
      </c>
    </row>
    <row r="157" spans="1:7" hidden="1">
      <c r="A157" t="s">
        <v>71</v>
      </c>
      <c r="B157" s="1" t="s">
        <v>3</v>
      </c>
      <c r="C157" s="63">
        <v>2000</v>
      </c>
      <c r="D157" s="63">
        <v>2</v>
      </c>
      <c r="E157" s="63" t="s">
        <v>7</v>
      </c>
      <c r="F157" s="63">
        <v>2</v>
      </c>
      <c r="G157" s="63" t="s">
        <v>7</v>
      </c>
    </row>
    <row r="158" spans="1:7" hidden="1">
      <c r="A158" t="s">
        <v>71</v>
      </c>
      <c r="B158" s="1" t="s">
        <v>3</v>
      </c>
      <c r="C158" s="63">
        <v>2001</v>
      </c>
      <c r="D158" s="63">
        <v>3</v>
      </c>
      <c r="E158" s="63" t="s">
        <v>7</v>
      </c>
      <c r="F158" s="63">
        <v>3</v>
      </c>
      <c r="G158" s="63" t="s">
        <v>7</v>
      </c>
    </row>
    <row r="159" spans="1:7" hidden="1">
      <c r="A159" t="s">
        <v>71</v>
      </c>
      <c r="B159" s="1" t="s">
        <v>3</v>
      </c>
      <c r="C159" s="63">
        <v>2002</v>
      </c>
      <c r="D159" s="63">
        <v>1</v>
      </c>
      <c r="E159" s="63" t="s">
        <v>7</v>
      </c>
      <c r="F159" s="63">
        <v>1</v>
      </c>
      <c r="G159" s="63" t="s">
        <v>7</v>
      </c>
    </row>
    <row r="160" spans="1:7" hidden="1">
      <c r="A160" t="s">
        <v>71</v>
      </c>
      <c r="B160" s="1" t="s">
        <v>3</v>
      </c>
      <c r="C160" s="63">
        <v>2004</v>
      </c>
      <c r="D160" s="63">
        <v>1</v>
      </c>
      <c r="E160" s="63">
        <v>1</v>
      </c>
      <c r="F160" s="63" t="s">
        <v>7</v>
      </c>
      <c r="G160" s="63" t="s">
        <v>7</v>
      </c>
    </row>
    <row r="161" spans="1:7" hidden="1">
      <c r="A161" t="s">
        <v>71</v>
      </c>
      <c r="B161" s="1" t="s">
        <v>3</v>
      </c>
      <c r="C161" s="63">
        <v>2005</v>
      </c>
      <c r="D161" s="63">
        <v>3</v>
      </c>
      <c r="E161" s="63">
        <v>2</v>
      </c>
      <c r="F161" s="63">
        <v>1</v>
      </c>
      <c r="G161" s="63" t="s">
        <v>7</v>
      </c>
    </row>
    <row r="162" spans="1:7" hidden="1">
      <c r="A162" t="s">
        <v>71</v>
      </c>
      <c r="B162" s="1" t="s">
        <v>3</v>
      </c>
      <c r="C162" s="63">
        <v>2006</v>
      </c>
      <c r="D162" s="63">
        <v>1</v>
      </c>
      <c r="E162" s="63">
        <v>1</v>
      </c>
      <c r="F162" s="63" t="s">
        <v>7</v>
      </c>
      <c r="G162" s="63" t="s">
        <v>7</v>
      </c>
    </row>
    <row r="163" spans="1:7" hidden="1">
      <c r="A163" t="s">
        <v>71</v>
      </c>
      <c r="B163" s="1" t="s">
        <v>3</v>
      </c>
      <c r="C163" s="63">
        <v>2008</v>
      </c>
      <c r="D163" s="63">
        <v>1</v>
      </c>
      <c r="E163" s="63" t="s">
        <v>7</v>
      </c>
      <c r="F163" s="63">
        <v>1</v>
      </c>
      <c r="G163" s="63" t="s">
        <v>7</v>
      </c>
    </row>
    <row r="164" spans="1:7" hidden="1">
      <c r="A164" t="s">
        <v>71</v>
      </c>
      <c r="B164" s="1" t="s">
        <v>3</v>
      </c>
      <c r="C164" s="63">
        <v>2009</v>
      </c>
      <c r="D164" s="63">
        <v>2</v>
      </c>
      <c r="E164" s="63" t="s">
        <v>7</v>
      </c>
      <c r="F164" s="63">
        <v>2</v>
      </c>
      <c r="G164" s="63" t="s">
        <v>7</v>
      </c>
    </row>
    <row r="165" spans="1:7">
      <c r="A165" t="s">
        <v>71</v>
      </c>
      <c r="B165" s="1" t="s">
        <v>3</v>
      </c>
      <c r="C165" s="63">
        <v>2010</v>
      </c>
      <c r="D165" s="63">
        <v>1</v>
      </c>
      <c r="E165" s="63">
        <v>1</v>
      </c>
      <c r="F165" s="63" t="s">
        <v>7</v>
      </c>
      <c r="G165" s="63" t="s">
        <v>7</v>
      </c>
    </row>
    <row r="166" spans="1:7" hidden="1">
      <c r="A166" t="s">
        <v>71</v>
      </c>
      <c r="B166" s="1" t="s">
        <v>3</v>
      </c>
      <c r="C166" s="63">
        <v>2011</v>
      </c>
      <c r="D166" s="63">
        <v>1</v>
      </c>
      <c r="E166" s="63">
        <v>1</v>
      </c>
      <c r="F166" s="63" t="s">
        <v>7</v>
      </c>
      <c r="G166" s="63" t="s">
        <v>7</v>
      </c>
    </row>
    <row r="167" spans="1:7" hidden="1">
      <c r="A167" t="s">
        <v>71</v>
      </c>
      <c r="B167" s="1" t="s">
        <v>3</v>
      </c>
      <c r="C167" s="63">
        <v>2015</v>
      </c>
      <c r="D167" s="63">
        <v>2</v>
      </c>
      <c r="E167" s="63">
        <v>1</v>
      </c>
      <c r="F167" s="63">
        <v>1</v>
      </c>
      <c r="G167" s="63" t="s">
        <v>7</v>
      </c>
    </row>
    <row r="168" spans="1:7" hidden="1">
      <c r="A168" t="s">
        <v>71</v>
      </c>
      <c r="B168" s="1" t="s">
        <v>3</v>
      </c>
      <c r="C168" s="63">
        <v>2017</v>
      </c>
      <c r="D168" s="63">
        <v>2</v>
      </c>
      <c r="E168" s="63">
        <v>2</v>
      </c>
      <c r="F168" s="63" t="s">
        <v>7</v>
      </c>
      <c r="G168" s="63" t="s">
        <v>7</v>
      </c>
    </row>
    <row r="169" spans="1:7">
      <c r="A169" t="s">
        <v>71</v>
      </c>
      <c r="B169" s="1" t="s">
        <v>3</v>
      </c>
      <c r="C169" s="63">
        <v>2019</v>
      </c>
      <c r="D169" s="63">
        <v>1</v>
      </c>
      <c r="E169" s="63" t="s">
        <v>7</v>
      </c>
      <c r="F169" s="63">
        <v>1</v>
      </c>
      <c r="G169" s="63" t="s">
        <v>7</v>
      </c>
    </row>
    <row r="170" spans="1:7">
      <c r="A170" t="s">
        <v>71</v>
      </c>
      <c r="B170" s="1" t="s">
        <v>3</v>
      </c>
      <c r="C170" s="63">
        <v>2021</v>
      </c>
      <c r="D170" s="63">
        <v>1</v>
      </c>
      <c r="E170" s="63">
        <v>1</v>
      </c>
      <c r="F170" s="63" t="s">
        <v>7</v>
      </c>
      <c r="G170" s="63" t="s">
        <v>7</v>
      </c>
    </row>
    <row r="171" spans="1:7" hidden="1">
      <c r="A171" t="s">
        <v>71</v>
      </c>
      <c r="B171" s="1" t="s">
        <v>3</v>
      </c>
      <c r="C171" s="63">
        <v>2024</v>
      </c>
      <c r="D171" s="63">
        <v>2</v>
      </c>
      <c r="E171" s="63" t="s">
        <v>7</v>
      </c>
      <c r="F171" s="63">
        <v>2</v>
      </c>
      <c r="G171" s="63" t="s">
        <v>7</v>
      </c>
    </row>
    <row r="172" spans="1:7" hidden="1">
      <c r="A172" t="s">
        <v>71</v>
      </c>
      <c r="B172" s="1" t="s">
        <v>35</v>
      </c>
      <c r="C172" s="2">
        <v>1990</v>
      </c>
      <c r="D172" s="2">
        <v>1</v>
      </c>
      <c r="E172" s="1" t="s">
        <v>7</v>
      </c>
      <c r="F172" s="2">
        <v>1</v>
      </c>
      <c r="G172" s="1" t="s">
        <v>7</v>
      </c>
    </row>
    <row r="173" spans="1:7" hidden="1">
      <c r="A173" t="s">
        <v>71</v>
      </c>
      <c r="B173" s="1" t="s">
        <v>36</v>
      </c>
      <c r="C173" s="2">
        <v>1991</v>
      </c>
      <c r="D173" s="2">
        <v>1</v>
      </c>
      <c r="E173" s="2">
        <v>1</v>
      </c>
      <c r="F173" s="1" t="s">
        <v>7</v>
      </c>
      <c r="G173" s="1" t="s">
        <v>7</v>
      </c>
    </row>
    <row r="174" spans="1:7" hidden="1">
      <c r="A174" t="s">
        <v>71</v>
      </c>
      <c r="B174" s="1" t="s">
        <v>37</v>
      </c>
      <c r="C174" s="2">
        <v>1992</v>
      </c>
      <c r="D174" s="2">
        <v>1</v>
      </c>
      <c r="E174" s="2">
        <v>1</v>
      </c>
      <c r="F174" s="1" t="s">
        <v>7</v>
      </c>
      <c r="G174" s="1" t="s">
        <v>7</v>
      </c>
    </row>
    <row r="175" spans="1:7" hidden="1">
      <c r="A175" t="s">
        <v>71</v>
      </c>
      <c r="B175" s="1" t="s">
        <v>38</v>
      </c>
      <c r="C175" s="2">
        <v>1993</v>
      </c>
      <c r="D175" s="2">
        <v>1</v>
      </c>
      <c r="E175" s="2">
        <v>1</v>
      </c>
      <c r="F175" s="1" t="s">
        <v>7</v>
      </c>
      <c r="G175" s="1" t="s">
        <v>7</v>
      </c>
    </row>
    <row r="176" spans="1:7" hidden="1">
      <c r="A176" t="s">
        <v>71</v>
      </c>
      <c r="B176" s="1" t="s">
        <v>39</v>
      </c>
      <c r="C176" s="2">
        <v>1994</v>
      </c>
      <c r="D176" s="2">
        <v>1</v>
      </c>
      <c r="E176" s="2">
        <v>1</v>
      </c>
      <c r="F176" s="1" t="s">
        <v>7</v>
      </c>
      <c r="G176" s="1" t="s">
        <v>7</v>
      </c>
    </row>
    <row r="177" spans="1:7" hidden="1">
      <c r="A177" t="s">
        <v>71</v>
      </c>
      <c r="B177" s="1" t="s">
        <v>43</v>
      </c>
      <c r="C177" s="2">
        <v>1998</v>
      </c>
      <c r="D177" s="2">
        <v>1</v>
      </c>
      <c r="E177" s="1" t="s">
        <v>7</v>
      </c>
      <c r="F177" s="2">
        <v>1</v>
      </c>
      <c r="G177" s="1" t="s">
        <v>7</v>
      </c>
    </row>
    <row r="178" spans="1:7" hidden="1">
      <c r="A178" t="s">
        <v>71</v>
      </c>
      <c r="B178" s="1" t="s">
        <v>44</v>
      </c>
      <c r="C178" s="2">
        <v>1999</v>
      </c>
      <c r="D178" s="2">
        <v>2</v>
      </c>
      <c r="E178" s="2">
        <v>1</v>
      </c>
      <c r="F178" s="2">
        <v>1</v>
      </c>
      <c r="G178" s="1" t="s">
        <v>7</v>
      </c>
    </row>
    <row r="179" spans="1:7" hidden="1">
      <c r="A179" t="s">
        <v>71</v>
      </c>
      <c r="B179" s="1" t="s">
        <v>45</v>
      </c>
      <c r="C179" s="2">
        <v>2000</v>
      </c>
      <c r="D179" s="2">
        <v>2</v>
      </c>
      <c r="E179" s="1" t="s">
        <v>7</v>
      </c>
      <c r="F179" s="2">
        <v>2</v>
      </c>
      <c r="G179" s="1" t="s">
        <v>7</v>
      </c>
    </row>
    <row r="180" spans="1:7" hidden="1">
      <c r="A180" t="s">
        <v>71</v>
      </c>
      <c r="B180" s="1" t="s">
        <v>45</v>
      </c>
      <c r="C180" s="2">
        <v>2001</v>
      </c>
      <c r="D180" s="2">
        <v>1</v>
      </c>
      <c r="E180" s="1" t="s">
        <v>7</v>
      </c>
      <c r="F180" s="2">
        <v>1</v>
      </c>
      <c r="G180" s="1" t="s">
        <v>7</v>
      </c>
    </row>
    <row r="181" spans="1:7" hidden="1">
      <c r="A181" t="s">
        <v>71</v>
      </c>
      <c r="B181" s="1" t="s">
        <v>46</v>
      </c>
      <c r="C181" s="2">
        <v>2001</v>
      </c>
      <c r="D181" s="2">
        <v>2</v>
      </c>
      <c r="E181" s="1" t="s">
        <v>7</v>
      </c>
      <c r="F181" s="2">
        <v>2</v>
      </c>
      <c r="G181" s="1" t="s">
        <v>7</v>
      </c>
    </row>
    <row r="182" spans="1:7" hidden="1">
      <c r="A182" t="s">
        <v>71</v>
      </c>
      <c r="B182" s="1" t="s">
        <v>47</v>
      </c>
      <c r="C182" s="2">
        <v>2002</v>
      </c>
      <c r="D182" s="2">
        <v>1</v>
      </c>
      <c r="E182" s="1" t="s">
        <v>7</v>
      </c>
      <c r="F182" s="2">
        <v>1</v>
      </c>
      <c r="G182" s="1" t="s">
        <v>7</v>
      </c>
    </row>
    <row r="183" spans="1:7" hidden="1">
      <c r="A183" t="s">
        <v>71</v>
      </c>
      <c r="B183" s="1" t="s">
        <v>48</v>
      </c>
      <c r="C183" s="2">
        <v>2004</v>
      </c>
      <c r="D183" s="2">
        <v>1</v>
      </c>
      <c r="E183" s="2">
        <v>1</v>
      </c>
      <c r="F183" s="1" t="s">
        <v>7</v>
      </c>
      <c r="G183" s="1" t="s">
        <v>7</v>
      </c>
    </row>
    <row r="184" spans="1:7" hidden="1">
      <c r="A184" t="s">
        <v>71</v>
      </c>
      <c r="B184" s="1" t="s">
        <v>50</v>
      </c>
      <c r="C184" s="2">
        <v>2005</v>
      </c>
      <c r="D184" s="2">
        <v>3</v>
      </c>
      <c r="E184" s="2">
        <v>2</v>
      </c>
      <c r="F184" s="2">
        <v>1</v>
      </c>
      <c r="G184" s="1" t="s">
        <v>7</v>
      </c>
    </row>
    <row r="185" spans="1:7" hidden="1">
      <c r="A185" t="s">
        <v>71</v>
      </c>
      <c r="B185" s="1" t="s">
        <v>51</v>
      </c>
      <c r="C185" s="2">
        <v>2006</v>
      </c>
      <c r="D185" s="2">
        <v>1</v>
      </c>
      <c r="E185" s="2">
        <v>1</v>
      </c>
      <c r="F185" s="1" t="s">
        <v>7</v>
      </c>
      <c r="G185" s="1" t="s">
        <v>7</v>
      </c>
    </row>
    <row r="186" spans="1:7" hidden="1">
      <c r="A186" t="s">
        <v>71</v>
      </c>
      <c r="B186" s="1" t="s">
        <v>53</v>
      </c>
      <c r="C186" s="2">
        <v>2008</v>
      </c>
      <c r="D186" s="2">
        <v>1</v>
      </c>
      <c r="E186" s="1" t="s">
        <v>7</v>
      </c>
      <c r="F186" s="2">
        <v>1</v>
      </c>
      <c r="G186" s="1" t="s">
        <v>7</v>
      </c>
    </row>
    <row r="187" spans="1:7" hidden="1">
      <c r="A187" t="s">
        <v>71</v>
      </c>
      <c r="B187" s="1" t="s">
        <v>54</v>
      </c>
      <c r="C187" s="2">
        <v>2009</v>
      </c>
      <c r="D187" s="2">
        <v>2</v>
      </c>
      <c r="E187" s="1" t="s">
        <v>7</v>
      </c>
      <c r="F187" s="2">
        <v>2</v>
      </c>
      <c r="G187" s="1" t="s">
        <v>7</v>
      </c>
    </row>
    <row r="188" spans="1:7" hidden="1">
      <c r="A188" t="s">
        <v>71</v>
      </c>
      <c r="B188" s="1" t="s">
        <v>55</v>
      </c>
      <c r="C188" s="2">
        <v>2010</v>
      </c>
      <c r="D188" s="2">
        <v>1</v>
      </c>
      <c r="E188" s="2">
        <v>1</v>
      </c>
      <c r="F188" s="1" t="s">
        <v>7</v>
      </c>
      <c r="G188" s="1" t="s">
        <v>7</v>
      </c>
    </row>
    <row r="189" spans="1:7" hidden="1">
      <c r="A189" t="s">
        <v>71</v>
      </c>
      <c r="B189" s="1" t="s">
        <v>56</v>
      </c>
      <c r="C189" s="2">
        <v>2011</v>
      </c>
      <c r="D189" s="2">
        <v>1</v>
      </c>
      <c r="E189" s="2">
        <v>1</v>
      </c>
      <c r="F189" s="1" t="s">
        <v>7</v>
      </c>
      <c r="G189" s="1" t="s">
        <v>7</v>
      </c>
    </row>
    <row r="190" spans="1:7" hidden="1">
      <c r="A190" t="s">
        <v>71</v>
      </c>
      <c r="B190" s="1" t="s">
        <v>60</v>
      </c>
      <c r="C190" s="2">
        <v>2015</v>
      </c>
      <c r="D190" s="2">
        <v>2</v>
      </c>
      <c r="E190" s="2">
        <v>1</v>
      </c>
      <c r="F190" s="2">
        <v>1</v>
      </c>
      <c r="G190" s="1" t="s">
        <v>7</v>
      </c>
    </row>
    <row r="191" spans="1:7" hidden="1">
      <c r="A191" t="s">
        <v>71</v>
      </c>
      <c r="B191" s="1" t="s">
        <v>62</v>
      </c>
      <c r="C191" s="2">
        <v>2017</v>
      </c>
      <c r="D191" s="2">
        <v>2</v>
      </c>
      <c r="E191" s="2">
        <v>2</v>
      </c>
      <c r="F191" s="1" t="s">
        <v>7</v>
      </c>
      <c r="G191" s="1" t="s">
        <v>7</v>
      </c>
    </row>
    <row r="192" spans="1:7" hidden="1">
      <c r="A192" t="s">
        <v>71</v>
      </c>
      <c r="B192" s="1" t="s">
        <v>64</v>
      </c>
      <c r="C192" s="2">
        <v>2019</v>
      </c>
      <c r="D192" s="2">
        <v>1</v>
      </c>
      <c r="E192" s="1" t="s">
        <v>7</v>
      </c>
      <c r="F192" s="2">
        <v>1</v>
      </c>
      <c r="G192" s="1" t="s">
        <v>7</v>
      </c>
    </row>
    <row r="193" spans="1:7" hidden="1">
      <c r="A193" t="s">
        <v>71</v>
      </c>
      <c r="B193" s="1" t="s">
        <v>66</v>
      </c>
      <c r="C193" s="2">
        <v>2021</v>
      </c>
      <c r="D193" s="2">
        <v>1</v>
      </c>
      <c r="E193" s="2">
        <v>1</v>
      </c>
      <c r="F193" s="1" t="s">
        <v>7</v>
      </c>
      <c r="G193" s="1" t="s">
        <v>7</v>
      </c>
    </row>
    <row r="194" spans="1:7" hidden="1">
      <c r="A194" t="s">
        <v>71</v>
      </c>
      <c r="B194" s="1" t="s">
        <v>69</v>
      </c>
      <c r="C194" s="2">
        <v>2024</v>
      </c>
      <c r="D194" s="2">
        <v>2</v>
      </c>
      <c r="E194" s="1" t="s">
        <v>7</v>
      </c>
      <c r="F194" s="2">
        <v>2</v>
      </c>
      <c r="G194" s="1" t="s">
        <v>7</v>
      </c>
    </row>
    <row r="195" spans="1:7" hidden="1">
      <c r="A195" t="s">
        <v>71</v>
      </c>
      <c r="B195" s="1" t="s">
        <v>6</v>
      </c>
      <c r="C195" s="2">
        <v>1992</v>
      </c>
      <c r="D195" s="2">
        <v>1</v>
      </c>
      <c r="E195" s="2">
        <v>1</v>
      </c>
      <c r="F195" s="1" t="s">
        <v>7</v>
      </c>
      <c r="G195" s="1" t="s">
        <v>7</v>
      </c>
    </row>
    <row r="196" spans="1:7" hidden="1">
      <c r="A196" t="s">
        <v>72</v>
      </c>
      <c r="B196" s="1" t="s">
        <v>3</v>
      </c>
      <c r="C196" s="63">
        <v>1990</v>
      </c>
      <c r="D196" s="63">
        <v>1</v>
      </c>
      <c r="E196" s="63">
        <v>1</v>
      </c>
      <c r="F196" s="63" t="s">
        <v>7</v>
      </c>
      <c r="G196" s="63" t="s">
        <v>7</v>
      </c>
    </row>
    <row r="197" spans="1:7" hidden="1">
      <c r="A197" t="s">
        <v>72</v>
      </c>
      <c r="B197" s="1" t="s">
        <v>3</v>
      </c>
      <c r="C197" s="63">
        <v>1992</v>
      </c>
      <c r="D197" s="63">
        <v>1</v>
      </c>
      <c r="E197" s="63">
        <v>1</v>
      </c>
      <c r="F197" s="63" t="s">
        <v>7</v>
      </c>
      <c r="G197" s="63" t="s">
        <v>7</v>
      </c>
    </row>
    <row r="198" spans="1:7" hidden="1">
      <c r="A198" t="s">
        <v>72</v>
      </c>
      <c r="B198" s="1" t="s">
        <v>3</v>
      </c>
      <c r="C198" s="63">
        <v>1994</v>
      </c>
      <c r="D198" s="63">
        <v>2</v>
      </c>
      <c r="E198" s="63" t="s">
        <v>7</v>
      </c>
      <c r="F198" s="63">
        <v>2</v>
      </c>
      <c r="G198" s="63" t="s">
        <v>7</v>
      </c>
    </row>
    <row r="199" spans="1:7" hidden="1">
      <c r="A199" t="s">
        <v>72</v>
      </c>
      <c r="B199" s="1" t="s">
        <v>3</v>
      </c>
      <c r="C199" s="63">
        <v>2001</v>
      </c>
      <c r="D199" s="63">
        <v>1</v>
      </c>
      <c r="E199" s="63" t="s">
        <v>7</v>
      </c>
      <c r="F199" s="63">
        <v>1</v>
      </c>
      <c r="G199" s="63" t="s">
        <v>7</v>
      </c>
    </row>
    <row r="200" spans="1:7" hidden="1">
      <c r="A200" t="s">
        <v>72</v>
      </c>
      <c r="B200" s="1" t="s">
        <v>3</v>
      </c>
      <c r="C200" s="63">
        <v>2004</v>
      </c>
      <c r="D200" s="63">
        <v>1</v>
      </c>
      <c r="E200" s="63" t="s">
        <v>7</v>
      </c>
      <c r="F200" s="63">
        <v>1</v>
      </c>
      <c r="G200" s="63" t="s">
        <v>7</v>
      </c>
    </row>
    <row r="201" spans="1:7" hidden="1">
      <c r="A201" t="s">
        <v>72</v>
      </c>
      <c r="B201" s="1" t="s">
        <v>3</v>
      </c>
      <c r="C201" s="63">
        <v>2005</v>
      </c>
      <c r="D201" s="63">
        <v>2</v>
      </c>
      <c r="E201" s="63" t="s">
        <v>7</v>
      </c>
      <c r="F201" s="63">
        <v>2</v>
      </c>
      <c r="G201" s="63" t="s">
        <v>7</v>
      </c>
    </row>
    <row r="202" spans="1:7" hidden="1">
      <c r="A202" t="s">
        <v>72</v>
      </c>
      <c r="B202" s="1" t="s">
        <v>3</v>
      </c>
      <c r="C202" s="63">
        <v>2007</v>
      </c>
      <c r="D202" s="63">
        <v>1</v>
      </c>
      <c r="E202" s="63">
        <v>1</v>
      </c>
      <c r="F202" s="63" t="s">
        <v>7</v>
      </c>
      <c r="G202" s="63" t="s">
        <v>7</v>
      </c>
    </row>
    <row r="203" spans="1:7" hidden="1">
      <c r="A203" t="s">
        <v>72</v>
      </c>
      <c r="B203" s="1" t="s">
        <v>3</v>
      </c>
      <c r="C203" s="63">
        <v>2009</v>
      </c>
      <c r="D203" s="63">
        <v>1</v>
      </c>
      <c r="E203" s="63">
        <v>1</v>
      </c>
      <c r="F203" s="63" t="s">
        <v>7</v>
      </c>
      <c r="G203" s="63" t="s">
        <v>7</v>
      </c>
    </row>
    <row r="204" spans="1:7" hidden="1">
      <c r="A204" t="s">
        <v>72</v>
      </c>
      <c r="B204" s="1" t="s">
        <v>3</v>
      </c>
      <c r="C204" s="63">
        <v>2012</v>
      </c>
      <c r="D204" s="63">
        <v>1</v>
      </c>
      <c r="E204" s="63" t="s">
        <v>7</v>
      </c>
      <c r="F204" s="63">
        <v>1</v>
      </c>
      <c r="G204" s="63" t="s">
        <v>7</v>
      </c>
    </row>
    <row r="205" spans="1:7" hidden="1">
      <c r="A205" t="s">
        <v>72</v>
      </c>
      <c r="B205" s="1" t="s">
        <v>3</v>
      </c>
      <c r="C205" s="63">
        <v>2016</v>
      </c>
      <c r="D205" s="63">
        <v>5</v>
      </c>
      <c r="E205" s="63">
        <v>4</v>
      </c>
      <c r="F205" s="63">
        <v>1</v>
      </c>
      <c r="G205" s="63" t="s">
        <v>7</v>
      </c>
    </row>
    <row r="206" spans="1:7" hidden="1">
      <c r="A206" t="s">
        <v>72</v>
      </c>
      <c r="B206" s="1" t="s">
        <v>3</v>
      </c>
      <c r="C206" s="63">
        <v>2018</v>
      </c>
      <c r="D206" s="63">
        <v>2</v>
      </c>
      <c r="E206" s="63">
        <v>1</v>
      </c>
      <c r="F206" s="63">
        <v>1</v>
      </c>
      <c r="G206" s="63" t="s">
        <v>7</v>
      </c>
    </row>
    <row r="207" spans="1:7" hidden="1">
      <c r="A207" t="s">
        <v>72</v>
      </c>
      <c r="B207" s="1" t="s">
        <v>3</v>
      </c>
      <c r="C207" s="63">
        <v>2022</v>
      </c>
      <c r="D207" s="63">
        <v>1</v>
      </c>
      <c r="E207" s="63">
        <v>1</v>
      </c>
      <c r="F207" s="63" t="s">
        <v>7</v>
      </c>
      <c r="G207" s="63" t="s">
        <v>7</v>
      </c>
    </row>
    <row r="208" spans="1:7" hidden="1">
      <c r="A208" t="s">
        <v>72</v>
      </c>
      <c r="B208" s="1" t="s">
        <v>3</v>
      </c>
      <c r="C208" s="63">
        <v>2024</v>
      </c>
      <c r="D208" s="63">
        <v>1</v>
      </c>
      <c r="E208" s="63" t="s">
        <v>7</v>
      </c>
      <c r="F208" s="63">
        <v>1</v>
      </c>
      <c r="G208" s="63" t="s">
        <v>7</v>
      </c>
    </row>
    <row r="209" spans="1:7" hidden="1">
      <c r="A209" t="s">
        <v>72</v>
      </c>
      <c r="B209" s="1" t="s">
        <v>37</v>
      </c>
      <c r="C209" s="2">
        <v>1992</v>
      </c>
      <c r="D209" s="2">
        <v>1</v>
      </c>
      <c r="E209" s="2">
        <v>1</v>
      </c>
      <c r="F209" s="1" t="s">
        <v>7</v>
      </c>
      <c r="G209" s="1" t="s">
        <v>7</v>
      </c>
    </row>
    <row r="210" spans="1:7" hidden="1">
      <c r="A210" t="s">
        <v>72</v>
      </c>
      <c r="B210" s="1" t="s">
        <v>39</v>
      </c>
      <c r="C210" s="2">
        <v>1994</v>
      </c>
      <c r="D210" s="2">
        <v>2</v>
      </c>
      <c r="E210" s="1" t="s">
        <v>7</v>
      </c>
      <c r="F210" s="2">
        <v>2</v>
      </c>
      <c r="G210" s="1" t="s">
        <v>7</v>
      </c>
    </row>
    <row r="211" spans="1:7" hidden="1">
      <c r="A211" t="s">
        <v>72</v>
      </c>
      <c r="B211" s="1" t="s">
        <v>46</v>
      </c>
      <c r="C211" s="2">
        <v>2001</v>
      </c>
      <c r="D211" s="2">
        <v>1</v>
      </c>
      <c r="E211" s="1" t="s">
        <v>7</v>
      </c>
      <c r="F211" s="2">
        <v>1</v>
      </c>
      <c r="G211" s="1" t="s">
        <v>7</v>
      </c>
    </row>
    <row r="212" spans="1:7" hidden="1">
      <c r="A212" t="s">
        <v>72</v>
      </c>
      <c r="B212" s="1" t="s">
        <v>49</v>
      </c>
      <c r="C212" s="2">
        <v>2004</v>
      </c>
      <c r="D212" s="2">
        <v>1</v>
      </c>
      <c r="E212" s="1" t="s">
        <v>7</v>
      </c>
      <c r="F212" s="2">
        <v>1</v>
      </c>
      <c r="G212" s="1" t="s">
        <v>7</v>
      </c>
    </row>
    <row r="213" spans="1:7" hidden="1">
      <c r="A213" t="s">
        <v>72</v>
      </c>
      <c r="B213" s="1" t="s">
        <v>50</v>
      </c>
      <c r="C213" s="2">
        <v>2005</v>
      </c>
      <c r="D213" s="2">
        <v>2</v>
      </c>
      <c r="E213" s="1" t="s">
        <v>7</v>
      </c>
      <c r="F213" s="2">
        <v>2</v>
      </c>
      <c r="G213" s="1" t="s">
        <v>7</v>
      </c>
    </row>
    <row r="214" spans="1:7" hidden="1">
      <c r="A214" t="s">
        <v>72</v>
      </c>
      <c r="B214" s="1" t="s">
        <v>52</v>
      </c>
      <c r="C214" s="2">
        <v>2007</v>
      </c>
      <c r="D214" s="2">
        <v>1</v>
      </c>
      <c r="E214" s="2">
        <v>1</v>
      </c>
      <c r="F214" s="1" t="s">
        <v>7</v>
      </c>
      <c r="G214" s="1" t="s">
        <v>7</v>
      </c>
    </row>
    <row r="215" spans="1:7" hidden="1">
      <c r="A215" t="s">
        <v>72</v>
      </c>
      <c r="B215" s="1" t="s">
        <v>54</v>
      </c>
      <c r="C215" s="2">
        <v>2009</v>
      </c>
      <c r="D215" s="2">
        <v>1</v>
      </c>
      <c r="E215" s="2">
        <v>1</v>
      </c>
      <c r="F215" s="1" t="s">
        <v>7</v>
      </c>
      <c r="G215" s="1" t="s">
        <v>7</v>
      </c>
    </row>
    <row r="216" spans="1:7" hidden="1">
      <c r="A216" t="s">
        <v>72</v>
      </c>
      <c r="B216" s="1" t="s">
        <v>57</v>
      </c>
      <c r="C216" s="2">
        <v>2012</v>
      </c>
      <c r="D216" s="2">
        <v>1</v>
      </c>
      <c r="E216" s="1" t="s">
        <v>7</v>
      </c>
      <c r="F216" s="2">
        <v>1</v>
      </c>
      <c r="G216" s="1" t="s">
        <v>7</v>
      </c>
    </row>
    <row r="217" spans="1:7" hidden="1">
      <c r="A217" t="s">
        <v>72</v>
      </c>
      <c r="B217" s="1" t="s">
        <v>61</v>
      </c>
      <c r="C217" s="2">
        <v>2016</v>
      </c>
      <c r="D217" s="2">
        <v>5</v>
      </c>
      <c r="E217" s="2">
        <v>4</v>
      </c>
      <c r="F217" s="2">
        <v>1</v>
      </c>
      <c r="G217" s="1" t="s">
        <v>7</v>
      </c>
    </row>
    <row r="218" spans="1:7" hidden="1">
      <c r="A218" t="s">
        <v>72</v>
      </c>
      <c r="B218" s="1" t="s">
        <v>63</v>
      </c>
      <c r="C218" s="2">
        <v>2018</v>
      </c>
      <c r="D218" s="2">
        <v>2</v>
      </c>
      <c r="E218" s="2">
        <v>1</v>
      </c>
      <c r="F218" s="2">
        <v>1</v>
      </c>
      <c r="G218" s="1" t="s">
        <v>7</v>
      </c>
    </row>
    <row r="219" spans="1:7" hidden="1">
      <c r="A219" t="s">
        <v>72</v>
      </c>
      <c r="B219" s="1" t="s">
        <v>67</v>
      </c>
      <c r="C219" s="2">
        <v>2022</v>
      </c>
      <c r="D219" s="2">
        <v>1</v>
      </c>
      <c r="E219" s="2">
        <v>1</v>
      </c>
      <c r="F219" s="1" t="s">
        <v>7</v>
      </c>
      <c r="G219" s="1" t="s">
        <v>7</v>
      </c>
    </row>
    <row r="220" spans="1:7" hidden="1">
      <c r="A220" t="s">
        <v>72</v>
      </c>
      <c r="B220" s="1" t="s">
        <v>69</v>
      </c>
      <c r="C220" s="2">
        <v>2024</v>
      </c>
      <c r="D220" s="2">
        <v>1</v>
      </c>
      <c r="E220" s="1" t="s">
        <v>7</v>
      </c>
      <c r="F220" s="2">
        <v>1</v>
      </c>
      <c r="G220" s="1" t="s">
        <v>7</v>
      </c>
    </row>
    <row r="221" spans="1:7" hidden="1">
      <c r="A221" t="s">
        <v>72</v>
      </c>
      <c r="B221" s="1" t="s">
        <v>6</v>
      </c>
      <c r="C221" s="2">
        <v>1990</v>
      </c>
      <c r="D221" s="2">
        <v>1</v>
      </c>
      <c r="E221" s="2">
        <v>1</v>
      </c>
      <c r="F221" s="1" t="s">
        <v>7</v>
      </c>
      <c r="G221" s="1" t="s">
        <v>7</v>
      </c>
    </row>
    <row r="222" spans="1:7" hidden="1">
      <c r="A222" t="s">
        <v>73</v>
      </c>
      <c r="B222" s="1" t="s">
        <v>3</v>
      </c>
      <c r="C222" s="63">
        <v>1990</v>
      </c>
      <c r="D222" s="63">
        <v>1</v>
      </c>
      <c r="E222" s="63">
        <v>1</v>
      </c>
      <c r="F222" s="63" t="s">
        <v>7</v>
      </c>
      <c r="G222" s="63" t="s">
        <v>7</v>
      </c>
    </row>
    <row r="223" spans="1:7" hidden="1">
      <c r="A223" t="s">
        <v>73</v>
      </c>
      <c r="B223" s="1" t="s">
        <v>3</v>
      </c>
      <c r="C223" s="63">
        <v>1992</v>
      </c>
      <c r="D223" s="63">
        <v>3</v>
      </c>
      <c r="E223" s="63">
        <v>3</v>
      </c>
      <c r="F223" s="63" t="s">
        <v>7</v>
      </c>
      <c r="G223" s="63" t="s">
        <v>7</v>
      </c>
    </row>
    <row r="224" spans="1:7" hidden="1">
      <c r="A224" t="s">
        <v>73</v>
      </c>
      <c r="B224" s="1" t="s">
        <v>3</v>
      </c>
      <c r="C224" s="63">
        <v>1994</v>
      </c>
      <c r="D224" s="63">
        <v>3</v>
      </c>
      <c r="E224" s="63">
        <v>3</v>
      </c>
      <c r="F224" s="63" t="s">
        <v>7</v>
      </c>
      <c r="G224" s="63" t="s">
        <v>7</v>
      </c>
    </row>
    <row r="225" spans="1:7" hidden="1">
      <c r="A225" t="s">
        <v>73</v>
      </c>
      <c r="B225" s="1" t="s">
        <v>3</v>
      </c>
      <c r="C225" s="63">
        <v>1995</v>
      </c>
      <c r="D225" s="63">
        <v>2</v>
      </c>
      <c r="E225" s="63">
        <v>2</v>
      </c>
      <c r="F225" s="63" t="s">
        <v>7</v>
      </c>
      <c r="G225" s="63" t="s">
        <v>7</v>
      </c>
    </row>
    <row r="226" spans="1:7" hidden="1">
      <c r="A226" t="s">
        <v>73</v>
      </c>
      <c r="B226" s="1" t="s">
        <v>3</v>
      </c>
      <c r="C226" s="63">
        <v>1998</v>
      </c>
      <c r="D226" s="63">
        <v>1</v>
      </c>
      <c r="E226" s="63" t="s">
        <v>7</v>
      </c>
      <c r="F226" s="63">
        <v>1</v>
      </c>
      <c r="G226" s="63" t="s">
        <v>7</v>
      </c>
    </row>
    <row r="227" spans="1:7" hidden="1">
      <c r="A227" t="s">
        <v>73</v>
      </c>
      <c r="B227" s="1" t="s">
        <v>3</v>
      </c>
      <c r="C227" s="63">
        <v>1999</v>
      </c>
      <c r="D227" s="63">
        <v>4</v>
      </c>
      <c r="E227" s="63">
        <v>1</v>
      </c>
      <c r="F227" s="63">
        <v>3</v>
      </c>
      <c r="G227" s="63" t="s">
        <v>7</v>
      </c>
    </row>
    <row r="228" spans="1:7" hidden="1">
      <c r="A228" t="s">
        <v>73</v>
      </c>
      <c r="B228" s="1" t="s">
        <v>3</v>
      </c>
      <c r="C228" s="63">
        <v>2001</v>
      </c>
      <c r="D228" s="63">
        <v>1</v>
      </c>
      <c r="E228" s="63" t="s">
        <v>7</v>
      </c>
      <c r="F228" s="63">
        <v>1</v>
      </c>
      <c r="G228" s="63" t="s">
        <v>7</v>
      </c>
    </row>
    <row r="229" spans="1:7" hidden="1">
      <c r="A229" t="s">
        <v>73</v>
      </c>
      <c r="B229" s="1" t="s">
        <v>3</v>
      </c>
      <c r="C229" s="63">
        <v>2002</v>
      </c>
      <c r="D229" s="63">
        <v>1</v>
      </c>
      <c r="E229" s="63">
        <v>1</v>
      </c>
      <c r="F229" s="63" t="s">
        <v>7</v>
      </c>
      <c r="G229" s="63" t="s">
        <v>7</v>
      </c>
    </row>
    <row r="230" spans="1:7" hidden="1">
      <c r="A230" t="s">
        <v>73</v>
      </c>
      <c r="B230" s="1" t="s">
        <v>3</v>
      </c>
      <c r="C230" s="63">
        <v>2003</v>
      </c>
      <c r="D230" s="63">
        <v>1</v>
      </c>
      <c r="E230" s="63" t="s">
        <v>7</v>
      </c>
      <c r="F230" s="63">
        <v>1</v>
      </c>
      <c r="G230" s="63" t="s">
        <v>7</v>
      </c>
    </row>
    <row r="231" spans="1:7" hidden="1">
      <c r="A231" t="s">
        <v>73</v>
      </c>
      <c r="B231" s="1" t="s">
        <v>3</v>
      </c>
      <c r="C231" s="63">
        <v>2004</v>
      </c>
      <c r="D231" s="63">
        <v>1</v>
      </c>
      <c r="E231" s="63">
        <v>1</v>
      </c>
      <c r="F231" s="63" t="s">
        <v>7</v>
      </c>
      <c r="G231" s="63" t="s">
        <v>7</v>
      </c>
    </row>
    <row r="232" spans="1:7" hidden="1">
      <c r="A232" t="s">
        <v>73</v>
      </c>
      <c r="B232" s="1" t="s">
        <v>3</v>
      </c>
      <c r="C232" s="63">
        <v>2006</v>
      </c>
      <c r="D232" s="63">
        <v>1</v>
      </c>
      <c r="E232" s="63">
        <v>1</v>
      </c>
      <c r="F232" s="63" t="s">
        <v>7</v>
      </c>
      <c r="G232" s="63" t="s">
        <v>7</v>
      </c>
    </row>
    <row r="233" spans="1:7" hidden="1">
      <c r="A233" t="s">
        <v>73</v>
      </c>
      <c r="B233" s="1" t="s">
        <v>3</v>
      </c>
      <c r="C233" s="63">
        <v>2008</v>
      </c>
      <c r="D233" s="63">
        <v>1</v>
      </c>
      <c r="E233" s="63">
        <v>1</v>
      </c>
      <c r="F233" s="63" t="s">
        <v>7</v>
      </c>
      <c r="G233" s="63" t="s">
        <v>7</v>
      </c>
    </row>
    <row r="234" spans="1:7">
      <c r="A234" t="s">
        <v>73</v>
      </c>
      <c r="B234" s="1" t="s">
        <v>3</v>
      </c>
      <c r="C234" s="63">
        <v>2010</v>
      </c>
      <c r="D234" s="63">
        <v>1</v>
      </c>
      <c r="E234" s="63">
        <v>1</v>
      </c>
      <c r="F234" s="63" t="s">
        <v>7</v>
      </c>
      <c r="G234" s="63" t="s">
        <v>7</v>
      </c>
    </row>
    <row r="235" spans="1:7" hidden="1">
      <c r="A235" t="s">
        <v>73</v>
      </c>
      <c r="B235" s="1" t="s">
        <v>3</v>
      </c>
      <c r="C235" s="63">
        <v>2011</v>
      </c>
      <c r="D235" s="63">
        <v>1</v>
      </c>
      <c r="E235" s="63" t="s">
        <v>7</v>
      </c>
      <c r="F235" s="63">
        <v>1</v>
      </c>
      <c r="G235" s="63" t="s">
        <v>7</v>
      </c>
    </row>
    <row r="236" spans="1:7" hidden="1">
      <c r="A236" t="s">
        <v>73</v>
      </c>
      <c r="B236" s="1" t="s">
        <v>3</v>
      </c>
      <c r="C236" s="63">
        <v>2012</v>
      </c>
      <c r="D236" s="63">
        <v>1</v>
      </c>
      <c r="E236" s="63" t="s">
        <v>7</v>
      </c>
      <c r="F236" s="63">
        <v>1</v>
      </c>
      <c r="G236" s="63" t="s">
        <v>7</v>
      </c>
    </row>
    <row r="237" spans="1:7" hidden="1">
      <c r="A237" t="s">
        <v>73</v>
      </c>
      <c r="B237" s="1" t="s">
        <v>3</v>
      </c>
      <c r="C237" s="63">
        <v>2013</v>
      </c>
      <c r="D237" s="63">
        <v>3</v>
      </c>
      <c r="E237" s="63">
        <v>2</v>
      </c>
      <c r="F237" s="63">
        <v>1</v>
      </c>
      <c r="G237" s="63" t="s">
        <v>7</v>
      </c>
    </row>
    <row r="238" spans="1:7" hidden="1">
      <c r="A238" t="s">
        <v>73</v>
      </c>
      <c r="B238" s="1" t="s">
        <v>3</v>
      </c>
      <c r="C238" s="63">
        <v>2015</v>
      </c>
      <c r="D238" s="63">
        <v>1</v>
      </c>
      <c r="E238" s="63">
        <v>1</v>
      </c>
      <c r="F238" s="63" t="s">
        <v>7</v>
      </c>
      <c r="G238" s="63" t="s">
        <v>7</v>
      </c>
    </row>
    <row r="239" spans="1:7" hidden="1">
      <c r="A239" t="s">
        <v>73</v>
      </c>
      <c r="B239" s="1" t="s">
        <v>3</v>
      </c>
      <c r="C239" s="63">
        <v>2016</v>
      </c>
      <c r="D239" s="63">
        <v>4</v>
      </c>
      <c r="E239" s="63">
        <v>4</v>
      </c>
      <c r="F239" s="63" t="s">
        <v>7</v>
      </c>
      <c r="G239" s="63" t="s">
        <v>7</v>
      </c>
    </row>
    <row r="240" spans="1:7" hidden="1">
      <c r="A240" t="s">
        <v>73</v>
      </c>
      <c r="B240" s="1" t="s">
        <v>3</v>
      </c>
      <c r="C240" s="63">
        <v>2017</v>
      </c>
      <c r="D240" s="63">
        <v>4</v>
      </c>
      <c r="E240" s="63">
        <v>2</v>
      </c>
      <c r="F240" s="63">
        <v>2</v>
      </c>
      <c r="G240" s="63" t="s">
        <v>7</v>
      </c>
    </row>
    <row r="241" spans="1:7" hidden="1">
      <c r="A241" t="s">
        <v>73</v>
      </c>
      <c r="B241" s="1" t="s">
        <v>3</v>
      </c>
      <c r="C241" s="63">
        <v>2018</v>
      </c>
      <c r="D241" s="63">
        <v>3</v>
      </c>
      <c r="E241" s="63">
        <v>2</v>
      </c>
      <c r="F241" s="63">
        <v>1</v>
      </c>
      <c r="G241" s="63" t="s">
        <v>7</v>
      </c>
    </row>
    <row r="242" spans="1:7">
      <c r="A242" t="s">
        <v>73</v>
      </c>
      <c r="B242" s="1" t="s">
        <v>3</v>
      </c>
      <c r="C242" s="63">
        <v>2019</v>
      </c>
      <c r="D242" s="63">
        <v>2</v>
      </c>
      <c r="E242" s="63">
        <v>1</v>
      </c>
      <c r="F242" s="63">
        <v>1</v>
      </c>
      <c r="G242" s="63" t="s">
        <v>7</v>
      </c>
    </row>
    <row r="243" spans="1:7" hidden="1">
      <c r="A243" t="s">
        <v>73</v>
      </c>
      <c r="B243" s="1" t="s">
        <v>3</v>
      </c>
      <c r="C243" s="63">
        <v>2020</v>
      </c>
      <c r="D243" s="63">
        <v>1</v>
      </c>
      <c r="E243" s="63" t="s">
        <v>7</v>
      </c>
      <c r="F243" s="63">
        <v>1</v>
      </c>
      <c r="G243" s="63" t="s">
        <v>7</v>
      </c>
    </row>
    <row r="244" spans="1:7">
      <c r="A244" t="s">
        <v>73</v>
      </c>
      <c r="B244" s="1" t="s">
        <v>3</v>
      </c>
      <c r="C244" s="63">
        <v>2021</v>
      </c>
      <c r="D244" s="63">
        <v>2</v>
      </c>
      <c r="E244" s="63" t="s">
        <v>7</v>
      </c>
      <c r="F244" s="63">
        <v>2</v>
      </c>
      <c r="G244" s="63" t="s">
        <v>7</v>
      </c>
    </row>
    <row r="245" spans="1:7" hidden="1">
      <c r="A245" t="s">
        <v>73</v>
      </c>
      <c r="B245" s="1" t="s">
        <v>3</v>
      </c>
      <c r="C245" s="63">
        <v>2022</v>
      </c>
      <c r="D245" s="63">
        <v>4</v>
      </c>
      <c r="E245" s="63">
        <v>2</v>
      </c>
      <c r="F245" s="63">
        <v>2</v>
      </c>
      <c r="G245" s="63" t="s">
        <v>7</v>
      </c>
    </row>
    <row r="246" spans="1:7" hidden="1">
      <c r="A246" t="s">
        <v>73</v>
      </c>
      <c r="B246" s="1" t="s">
        <v>3</v>
      </c>
      <c r="C246" s="63">
        <v>2023</v>
      </c>
      <c r="D246" s="63">
        <v>2</v>
      </c>
      <c r="E246" s="63">
        <v>1</v>
      </c>
      <c r="F246" s="63">
        <v>1</v>
      </c>
      <c r="G246" s="63" t="s">
        <v>7</v>
      </c>
    </row>
    <row r="247" spans="1:7" hidden="1">
      <c r="A247" t="s">
        <v>73</v>
      </c>
      <c r="B247" s="1" t="s">
        <v>3</v>
      </c>
      <c r="C247" s="63">
        <v>2024</v>
      </c>
      <c r="D247" s="63">
        <v>5</v>
      </c>
      <c r="E247" s="63">
        <v>4</v>
      </c>
      <c r="F247" s="63">
        <v>1</v>
      </c>
      <c r="G247" s="63" t="s">
        <v>7</v>
      </c>
    </row>
    <row r="248" spans="1:7" hidden="1">
      <c r="A248" t="s">
        <v>73</v>
      </c>
      <c r="B248" s="1" t="s">
        <v>35</v>
      </c>
      <c r="C248" s="2">
        <v>1990</v>
      </c>
      <c r="D248" s="2">
        <v>1</v>
      </c>
      <c r="E248" s="2">
        <v>1</v>
      </c>
      <c r="F248" s="1" t="s">
        <v>7</v>
      </c>
      <c r="G248" s="1" t="s">
        <v>7</v>
      </c>
    </row>
    <row r="249" spans="1:7" hidden="1">
      <c r="A249" t="s">
        <v>73</v>
      </c>
      <c r="B249" s="1" t="s">
        <v>37</v>
      </c>
      <c r="C249" s="2">
        <v>1992</v>
      </c>
      <c r="D249" s="2">
        <v>1</v>
      </c>
      <c r="E249" s="2">
        <v>1</v>
      </c>
      <c r="F249" s="1" t="s">
        <v>7</v>
      </c>
      <c r="G249" s="1" t="s">
        <v>7</v>
      </c>
    </row>
    <row r="250" spans="1:7" hidden="1">
      <c r="A250" t="s">
        <v>73</v>
      </c>
      <c r="B250" s="1" t="s">
        <v>39</v>
      </c>
      <c r="C250" s="2">
        <v>1994</v>
      </c>
      <c r="D250" s="2">
        <v>3</v>
      </c>
      <c r="E250" s="2">
        <v>3</v>
      </c>
      <c r="F250" s="1" t="s">
        <v>7</v>
      </c>
      <c r="G250" s="1" t="s">
        <v>7</v>
      </c>
    </row>
    <row r="251" spans="1:7" hidden="1">
      <c r="A251" t="s">
        <v>73</v>
      </c>
      <c r="B251" s="1" t="s">
        <v>40</v>
      </c>
      <c r="C251" s="2">
        <v>1995</v>
      </c>
      <c r="D251" s="2">
        <v>2</v>
      </c>
      <c r="E251" s="2">
        <v>2</v>
      </c>
      <c r="F251" s="1" t="s">
        <v>7</v>
      </c>
      <c r="G251" s="1" t="s">
        <v>7</v>
      </c>
    </row>
    <row r="252" spans="1:7" hidden="1">
      <c r="A252" t="s">
        <v>73</v>
      </c>
      <c r="B252" s="1" t="s">
        <v>43</v>
      </c>
      <c r="C252" s="2">
        <v>1998</v>
      </c>
      <c r="D252" s="2">
        <v>1</v>
      </c>
      <c r="E252" s="1" t="s">
        <v>7</v>
      </c>
      <c r="F252" s="2">
        <v>1</v>
      </c>
      <c r="G252" s="1" t="s">
        <v>7</v>
      </c>
    </row>
    <row r="253" spans="1:7" hidden="1">
      <c r="A253" t="s">
        <v>73</v>
      </c>
      <c r="B253" s="1" t="s">
        <v>44</v>
      </c>
      <c r="C253" s="2">
        <v>1999</v>
      </c>
      <c r="D253" s="2">
        <v>4</v>
      </c>
      <c r="E253" s="2">
        <v>1</v>
      </c>
      <c r="F253" s="2">
        <v>3</v>
      </c>
      <c r="G253" s="1" t="s">
        <v>7</v>
      </c>
    </row>
    <row r="254" spans="1:7" hidden="1">
      <c r="A254" t="s">
        <v>73</v>
      </c>
      <c r="B254" s="1" t="s">
        <v>46</v>
      </c>
      <c r="C254" s="2">
        <v>2001</v>
      </c>
      <c r="D254" s="2">
        <v>1</v>
      </c>
      <c r="E254" s="1" t="s">
        <v>7</v>
      </c>
      <c r="F254" s="2">
        <v>1</v>
      </c>
      <c r="G254" s="1" t="s">
        <v>7</v>
      </c>
    </row>
    <row r="255" spans="1:7" hidden="1">
      <c r="A255" t="s">
        <v>73</v>
      </c>
      <c r="B255" s="1" t="s">
        <v>47</v>
      </c>
      <c r="C255" s="2">
        <v>2002</v>
      </c>
      <c r="D255" s="2">
        <v>1</v>
      </c>
      <c r="E255" s="2">
        <v>1</v>
      </c>
      <c r="F255" s="1" t="s">
        <v>7</v>
      </c>
      <c r="G255" s="1" t="s">
        <v>7</v>
      </c>
    </row>
    <row r="256" spans="1:7" hidden="1">
      <c r="A256" t="s">
        <v>73</v>
      </c>
      <c r="B256" s="1" t="s">
        <v>48</v>
      </c>
      <c r="C256" s="2">
        <v>2003</v>
      </c>
      <c r="D256" s="2">
        <v>1</v>
      </c>
      <c r="E256" s="1" t="s">
        <v>7</v>
      </c>
      <c r="F256" s="2">
        <v>1</v>
      </c>
      <c r="G256" s="1" t="s">
        <v>7</v>
      </c>
    </row>
    <row r="257" spans="1:7" hidden="1">
      <c r="A257" t="s">
        <v>73</v>
      </c>
      <c r="B257" s="1" t="s">
        <v>49</v>
      </c>
      <c r="C257" s="2">
        <v>2004</v>
      </c>
      <c r="D257" s="2">
        <v>1</v>
      </c>
      <c r="E257" s="2">
        <v>1</v>
      </c>
      <c r="F257" s="1" t="s">
        <v>7</v>
      </c>
      <c r="G257" s="1" t="s">
        <v>7</v>
      </c>
    </row>
    <row r="258" spans="1:7" hidden="1">
      <c r="A258" t="s">
        <v>73</v>
      </c>
      <c r="B258" s="1" t="s">
        <v>51</v>
      </c>
      <c r="C258" s="2">
        <v>2006</v>
      </c>
      <c r="D258" s="2">
        <v>1</v>
      </c>
      <c r="E258" s="2">
        <v>1</v>
      </c>
      <c r="F258" s="1" t="s">
        <v>7</v>
      </c>
      <c r="G258" s="1" t="s">
        <v>7</v>
      </c>
    </row>
    <row r="259" spans="1:7" hidden="1">
      <c r="A259" t="s">
        <v>73</v>
      </c>
      <c r="B259" s="1" t="s">
        <v>53</v>
      </c>
      <c r="C259" s="2">
        <v>2008</v>
      </c>
      <c r="D259" s="2">
        <v>1</v>
      </c>
      <c r="E259" s="2">
        <v>1</v>
      </c>
      <c r="F259" s="1" t="s">
        <v>7</v>
      </c>
      <c r="G259" s="1" t="s">
        <v>7</v>
      </c>
    </row>
    <row r="260" spans="1:7" hidden="1">
      <c r="A260" t="s">
        <v>73</v>
      </c>
      <c r="B260" s="1" t="s">
        <v>55</v>
      </c>
      <c r="C260" s="2">
        <v>2010</v>
      </c>
      <c r="D260" s="2">
        <v>1</v>
      </c>
      <c r="E260" s="2">
        <v>1</v>
      </c>
      <c r="F260" s="1" t="s">
        <v>7</v>
      </c>
      <c r="G260" s="1" t="s">
        <v>7</v>
      </c>
    </row>
    <row r="261" spans="1:7" hidden="1">
      <c r="A261" t="s">
        <v>73</v>
      </c>
      <c r="B261" s="1" t="s">
        <v>56</v>
      </c>
      <c r="C261" s="2">
        <v>2011</v>
      </c>
      <c r="D261" s="2">
        <v>1</v>
      </c>
      <c r="E261" s="1" t="s">
        <v>7</v>
      </c>
      <c r="F261" s="2">
        <v>1</v>
      </c>
      <c r="G261" s="1" t="s">
        <v>7</v>
      </c>
    </row>
    <row r="262" spans="1:7" hidden="1">
      <c r="A262" t="s">
        <v>73</v>
      </c>
      <c r="B262" s="1" t="s">
        <v>57</v>
      </c>
      <c r="C262" s="2">
        <v>2012</v>
      </c>
      <c r="D262" s="2">
        <v>1</v>
      </c>
      <c r="E262" s="1" t="s">
        <v>7</v>
      </c>
      <c r="F262" s="2">
        <v>1</v>
      </c>
      <c r="G262" s="1" t="s">
        <v>7</v>
      </c>
    </row>
    <row r="263" spans="1:7" hidden="1">
      <c r="A263" t="s">
        <v>73</v>
      </c>
      <c r="B263" s="1" t="s">
        <v>58</v>
      </c>
      <c r="C263" s="2">
        <v>2013</v>
      </c>
      <c r="D263" s="2">
        <v>3</v>
      </c>
      <c r="E263" s="2">
        <v>2</v>
      </c>
      <c r="F263" s="2">
        <v>1</v>
      </c>
      <c r="G263" s="1" t="s">
        <v>7</v>
      </c>
    </row>
    <row r="264" spans="1:7" hidden="1">
      <c r="A264" t="s">
        <v>73</v>
      </c>
      <c r="B264" s="1" t="s">
        <v>60</v>
      </c>
      <c r="C264" s="2">
        <v>2015</v>
      </c>
      <c r="D264" s="2">
        <v>1</v>
      </c>
      <c r="E264" s="2">
        <v>1</v>
      </c>
      <c r="F264" s="1" t="s">
        <v>7</v>
      </c>
      <c r="G264" s="1" t="s">
        <v>7</v>
      </c>
    </row>
    <row r="265" spans="1:7" hidden="1">
      <c r="A265" t="s">
        <v>73</v>
      </c>
      <c r="B265" s="1" t="s">
        <v>61</v>
      </c>
      <c r="C265" s="2">
        <v>2016</v>
      </c>
      <c r="D265" s="2">
        <v>4</v>
      </c>
      <c r="E265" s="2">
        <v>4</v>
      </c>
      <c r="F265" s="1" t="s">
        <v>7</v>
      </c>
      <c r="G265" s="1" t="s">
        <v>7</v>
      </c>
    </row>
    <row r="266" spans="1:7" hidden="1">
      <c r="A266" t="s">
        <v>73</v>
      </c>
      <c r="B266" s="1" t="s">
        <v>62</v>
      </c>
      <c r="C266" s="2">
        <v>2017</v>
      </c>
      <c r="D266" s="2">
        <v>4</v>
      </c>
      <c r="E266" s="2">
        <v>2</v>
      </c>
      <c r="F266" s="2">
        <v>2</v>
      </c>
      <c r="G266" s="1" t="s">
        <v>7</v>
      </c>
    </row>
    <row r="267" spans="1:7" hidden="1">
      <c r="A267" t="s">
        <v>73</v>
      </c>
      <c r="B267" s="1" t="s">
        <v>63</v>
      </c>
      <c r="C267" s="2">
        <v>2018</v>
      </c>
      <c r="D267" s="2">
        <v>3</v>
      </c>
      <c r="E267" s="2">
        <v>2</v>
      </c>
      <c r="F267" s="2">
        <v>1</v>
      </c>
      <c r="G267" s="1" t="s">
        <v>7</v>
      </c>
    </row>
    <row r="268" spans="1:7" hidden="1">
      <c r="A268" t="s">
        <v>73</v>
      </c>
      <c r="B268" s="1" t="s">
        <v>64</v>
      </c>
      <c r="C268" s="2">
        <v>2019</v>
      </c>
      <c r="D268" s="2">
        <v>2</v>
      </c>
      <c r="E268" s="2">
        <v>1</v>
      </c>
      <c r="F268" s="2">
        <v>1</v>
      </c>
      <c r="G268" s="1" t="s">
        <v>7</v>
      </c>
    </row>
    <row r="269" spans="1:7" hidden="1">
      <c r="A269" t="s">
        <v>73</v>
      </c>
      <c r="B269" s="1" t="s">
        <v>65</v>
      </c>
      <c r="C269" s="2">
        <v>2020</v>
      </c>
      <c r="D269" s="2">
        <v>1</v>
      </c>
      <c r="E269" s="1" t="s">
        <v>7</v>
      </c>
      <c r="F269" s="2">
        <v>1</v>
      </c>
      <c r="G269" s="1" t="s">
        <v>7</v>
      </c>
    </row>
    <row r="270" spans="1:7" hidden="1">
      <c r="A270" t="s">
        <v>73</v>
      </c>
      <c r="B270" s="1" t="s">
        <v>66</v>
      </c>
      <c r="C270" s="2">
        <v>2021</v>
      </c>
      <c r="D270" s="2">
        <v>2</v>
      </c>
      <c r="E270" s="1" t="s">
        <v>7</v>
      </c>
      <c r="F270" s="2">
        <v>2</v>
      </c>
      <c r="G270" s="1" t="s">
        <v>7</v>
      </c>
    </row>
    <row r="271" spans="1:7" hidden="1">
      <c r="A271" t="s">
        <v>73</v>
      </c>
      <c r="B271" s="1" t="s">
        <v>67</v>
      </c>
      <c r="C271" s="2">
        <v>2022</v>
      </c>
      <c r="D271" s="2">
        <v>4</v>
      </c>
      <c r="E271" s="2">
        <v>2</v>
      </c>
      <c r="F271" s="2">
        <v>2</v>
      </c>
      <c r="G271" s="1" t="s">
        <v>7</v>
      </c>
    </row>
    <row r="272" spans="1:7" hidden="1">
      <c r="A272" t="s">
        <v>73</v>
      </c>
      <c r="B272" s="1" t="s">
        <v>68</v>
      </c>
      <c r="C272" s="2">
        <v>2023</v>
      </c>
      <c r="D272" s="2">
        <v>2</v>
      </c>
      <c r="E272" s="2">
        <v>1</v>
      </c>
      <c r="F272" s="2">
        <v>1</v>
      </c>
      <c r="G272" s="1" t="s">
        <v>7</v>
      </c>
    </row>
    <row r="273" spans="1:7" hidden="1">
      <c r="A273" t="s">
        <v>73</v>
      </c>
      <c r="B273" s="1" t="s">
        <v>69</v>
      </c>
      <c r="C273" s="2">
        <v>2024</v>
      </c>
      <c r="D273" s="2">
        <v>5</v>
      </c>
      <c r="E273" s="2">
        <v>4</v>
      </c>
      <c r="F273" s="2">
        <v>1</v>
      </c>
      <c r="G273" s="1" t="s">
        <v>7</v>
      </c>
    </row>
    <row r="274" spans="1:7" hidden="1">
      <c r="A274" t="s">
        <v>73</v>
      </c>
      <c r="B274" s="1" t="s">
        <v>6</v>
      </c>
      <c r="C274" s="2">
        <v>1992</v>
      </c>
      <c r="D274" s="2">
        <v>2</v>
      </c>
      <c r="E274" s="2">
        <v>2</v>
      </c>
      <c r="F274" s="1" t="s">
        <v>7</v>
      </c>
      <c r="G274" s="1" t="s">
        <v>7</v>
      </c>
    </row>
    <row r="275" spans="1:7" hidden="1">
      <c r="A275" t="s">
        <v>74</v>
      </c>
      <c r="B275" s="1" t="s">
        <v>3</v>
      </c>
      <c r="C275" s="63">
        <v>1990</v>
      </c>
      <c r="D275" s="63">
        <v>4</v>
      </c>
      <c r="E275" s="63">
        <v>3</v>
      </c>
      <c r="F275" s="63">
        <v>1</v>
      </c>
      <c r="G275" s="63" t="s">
        <v>7</v>
      </c>
    </row>
    <row r="276" spans="1:7" hidden="1">
      <c r="A276" t="s">
        <v>74</v>
      </c>
      <c r="B276" s="1" t="s">
        <v>3</v>
      </c>
      <c r="C276" s="63">
        <v>1991</v>
      </c>
      <c r="D276" s="63">
        <v>6</v>
      </c>
      <c r="E276" s="63">
        <v>2</v>
      </c>
      <c r="F276" s="63">
        <v>4</v>
      </c>
      <c r="G276" s="63" t="s">
        <v>7</v>
      </c>
    </row>
    <row r="277" spans="1:7" hidden="1">
      <c r="A277" t="s">
        <v>74</v>
      </c>
      <c r="B277" s="1" t="s">
        <v>3</v>
      </c>
      <c r="C277" s="63">
        <v>1992</v>
      </c>
      <c r="D277" s="63">
        <v>9</v>
      </c>
      <c r="E277" s="63">
        <v>7</v>
      </c>
      <c r="F277" s="63">
        <v>2</v>
      </c>
      <c r="G277" s="63" t="s">
        <v>7</v>
      </c>
    </row>
    <row r="278" spans="1:7" hidden="1">
      <c r="A278" t="s">
        <v>74</v>
      </c>
      <c r="B278" s="1" t="s">
        <v>3</v>
      </c>
      <c r="C278" s="63">
        <v>1993</v>
      </c>
      <c r="D278" s="63">
        <v>7</v>
      </c>
      <c r="E278" s="63">
        <v>7</v>
      </c>
      <c r="F278" s="63" t="s">
        <v>7</v>
      </c>
      <c r="G278" s="63" t="s">
        <v>7</v>
      </c>
    </row>
    <row r="279" spans="1:7" hidden="1">
      <c r="A279" t="s">
        <v>74</v>
      </c>
      <c r="B279" s="1" t="s">
        <v>3</v>
      </c>
      <c r="C279" s="63">
        <v>1994</v>
      </c>
      <c r="D279" s="63">
        <v>4</v>
      </c>
      <c r="E279" s="63">
        <v>4</v>
      </c>
      <c r="F279" s="63" t="s">
        <v>7</v>
      </c>
      <c r="G279" s="63" t="s">
        <v>7</v>
      </c>
    </row>
    <row r="280" spans="1:7" hidden="1">
      <c r="A280" t="s">
        <v>74</v>
      </c>
      <c r="B280" s="1" t="s">
        <v>3</v>
      </c>
      <c r="C280" s="63">
        <v>1995</v>
      </c>
      <c r="D280" s="63">
        <v>5</v>
      </c>
      <c r="E280" s="63">
        <v>4</v>
      </c>
      <c r="F280" s="63">
        <v>1</v>
      </c>
      <c r="G280" s="63" t="s">
        <v>7</v>
      </c>
    </row>
    <row r="281" spans="1:7" hidden="1">
      <c r="A281" t="s">
        <v>74</v>
      </c>
      <c r="B281" s="1" t="s">
        <v>3</v>
      </c>
      <c r="C281" s="63">
        <v>1996</v>
      </c>
      <c r="D281" s="63">
        <v>3</v>
      </c>
      <c r="E281" s="63">
        <v>1</v>
      </c>
      <c r="F281" s="63">
        <v>2</v>
      </c>
      <c r="G281" s="63" t="s">
        <v>7</v>
      </c>
    </row>
    <row r="282" spans="1:7" hidden="1">
      <c r="A282" t="s">
        <v>74</v>
      </c>
      <c r="B282" s="1" t="s">
        <v>3</v>
      </c>
      <c r="C282" s="63">
        <v>1997</v>
      </c>
      <c r="D282" s="63">
        <v>3</v>
      </c>
      <c r="E282" s="63">
        <v>3</v>
      </c>
      <c r="F282" s="63" t="s">
        <v>7</v>
      </c>
      <c r="G282" s="63" t="s">
        <v>7</v>
      </c>
    </row>
    <row r="283" spans="1:7" hidden="1">
      <c r="A283" t="s">
        <v>74</v>
      </c>
      <c r="B283" s="1" t="s">
        <v>3</v>
      </c>
      <c r="C283" s="63">
        <v>1998</v>
      </c>
      <c r="D283" s="63">
        <v>4</v>
      </c>
      <c r="E283" s="63">
        <v>2</v>
      </c>
      <c r="F283" s="63">
        <v>2</v>
      </c>
      <c r="G283" s="63" t="s">
        <v>7</v>
      </c>
    </row>
    <row r="284" spans="1:7" hidden="1">
      <c r="A284" t="s">
        <v>74</v>
      </c>
      <c r="B284" s="1" t="s">
        <v>3</v>
      </c>
      <c r="C284" s="63">
        <v>1999</v>
      </c>
      <c r="D284" s="63">
        <v>2</v>
      </c>
      <c r="E284" s="63">
        <v>1</v>
      </c>
      <c r="F284" s="63">
        <v>1</v>
      </c>
      <c r="G284" s="63" t="s">
        <v>7</v>
      </c>
    </row>
    <row r="285" spans="1:7" hidden="1">
      <c r="A285" t="s">
        <v>74</v>
      </c>
      <c r="B285" s="1" t="s">
        <v>3</v>
      </c>
      <c r="C285" s="63">
        <v>2000</v>
      </c>
      <c r="D285" s="63">
        <v>7</v>
      </c>
      <c r="E285" s="63">
        <v>4</v>
      </c>
      <c r="F285" s="63">
        <v>3</v>
      </c>
      <c r="G285" s="63" t="s">
        <v>7</v>
      </c>
    </row>
    <row r="286" spans="1:7" hidden="1">
      <c r="A286" t="s">
        <v>74</v>
      </c>
      <c r="B286" s="1" t="s">
        <v>3</v>
      </c>
      <c r="C286" s="63">
        <v>2001</v>
      </c>
      <c r="D286" s="63">
        <v>4</v>
      </c>
      <c r="E286" s="63">
        <v>2</v>
      </c>
      <c r="F286" s="63">
        <v>2</v>
      </c>
      <c r="G286" s="63" t="s">
        <v>7</v>
      </c>
    </row>
    <row r="287" spans="1:7" hidden="1">
      <c r="A287" t="s">
        <v>74</v>
      </c>
      <c r="B287" s="1" t="s">
        <v>3</v>
      </c>
      <c r="C287" s="63">
        <v>2002</v>
      </c>
      <c r="D287" s="63">
        <v>2</v>
      </c>
      <c r="E287" s="63">
        <v>2</v>
      </c>
      <c r="F287" s="63" t="s">
        <v>7</v>
      </c>
      <c r="G287" s="63" t="s">
        <v>7</v>
      </c>
    </row>
    <row r="288" spans="1:7" hidden="1">
      <c r="A288" t="s">
        <v>74</v>
      </c>
      <c r="B288" s="1" t="s">
        <v>3</v>
      </c>
      <c r="C288" s="63">
        <v>2003</v>
      </c>
      <c r="D288" s="63">
        <v>3</v>
      </c>
      <c r="E288" s="63">
        <v>3</v>
      </c>
      <c r="F288" s="63" t="s">
        <v>7</v>
      </c>
      <c r="G288" s="63" t="s">
        <v>7</v>
      </c>
    </row>
    <row r="289" spans="1:7" hidden="1">
      <c r="A289" t="s">
        <v>74</v>
      </c>
      <c r="B289" s="1" t="s">
        <v>3</v>
      </c>
      <c r="C289" s="63">
        <v>2004</v>
      </c>
      <c r="D289" s="63">
        <v>3</v>
      </c>
      <c r="E289" s="63">
        <v>1</v>
      </c>
      <c r="F289" s="63">
        <v>2</v>
      </c>
      <c r="G289" s="63" t="s">
        <v>7</v>
      </c>
    </row>
    <row r="290" spans="1:7" hidden="1">
      <c r="A290" t="s">
        <v>74</v>
      </c>
      <c r="B290" s="1" t="s">
        <v>3</v>
      </c>
      <c r="C290" s="63">
        <v>2005</v>
      </c>
      <c r="D290" s="63">
        <v>1</v>
      </c>
      <c r="E290" s="63" t="s">
        <v>7</v>
      </c>
      <c r="F290" s="63">
        <v>1</v>
      </c>
      <c r="G290" s="63" t="s">
        <v>7</v>
      </c>
    </row>
    <row r="291" spans="1:7" hidden="1">
      <c r="A291" t="s">
        <v>74</v>
      </c>
      <c r="B291" s="1" t="s">
        <v>3</v>
      </c>
      <c r="C291" s="63">
        <v>2006</v>
      </c>
      <c r="D291" s="63">
        <v>2</v>
      </c>
      <c r="E291" s="63">
        <v>2</v>
      </c>
      <c r="F291" s="63" t="s">
        <v>7</v>
      </c>
      <c r="G291" s="63" t="s">
        <v>7</v>
      </c>
    </row>
    <row r="292" spans="1:7" hidden="1">
      <c r="A292" t="s">
        <v>74</v>
      </c>
      <c r="B292" s="1" t="s">
        <v>3</v>
      </c>
      <c r="C292" s="63">
        <v>2007</v>
      </c>
      <c r="D292" s="63">
        <v>2</v>
      </c>
      <c r="E292" s="63">
        <v>2</v>
      </c>
      <c r="F292" s="63" t="s">
        <v>7</v>
      </c>
      <c r="G292" s="63" t="s">
        <v>7</v>
      </c>
    </row>
    <row r="293" spans="1:7" hidden="1">
      <c r="A293" t="s">
        <v>74</v>
      </c>
      <c r="B293" s="1" t="s">
        <v>3</v>
      </c>
      <c r="C293" s="63">
        <v>2008</v>
      </c>
      <c r="D293" s="63">
        <v>2</v>
      </c>
      <c r="E293" s="63">
        <v>1</v>
      </c>
      <c r="F293" s="63">
        <v>1</v>
      </c>
      <c r="G293" s="63" t="s">
        <v>7</v>
      </c>
    </row>
    <row r="294" spans="1:7" hidden="1">
      <c r="A294" t="s">
        <v>74</v>
      </c>
      <c r="B294" s="1" t="s">
        <v>3</v>
      </c>
      <c r="C294" s="63">
        <v>2009</v>
      </c>
      <c r="D294" s="63">
        <v>2</v>
      </c>
      <c r="E294" s="63">
        <v>2</v>
      </c>
      <c r="F294" s="63" t="s">
        <v>7</v>
      </c>
      <c r="G294" s="63" t="s">
        <v>7</v>
      </c>
    </row>
    <row r="295" spans="1:7">
      <c r="A295" t="s">
        <v>74</v>
      </c>
      <c r="B295" s="1" t="s">
        <v>3</v>
      </c>
      <c r="C295" s="63">
        <v>2010</v>
      </c>
      <c r="D295" s="63">
        <v>5</v>
      </c>
      <c r="E295" s="63">
        <v>5</v>
      </c>
      <c r="F295" s="63" t="s">
        <v>7</v>
      </c>
      <c r="G295" s="63" t="s">
        <v>7</v>
      </c>
    </row>
    <row r="296" spans="1:7" hidden="1">
      <c r="A296" t="s">
        <v>74</v>
      </c>
      <c r="B296" s="1" t="s">
        <v>3</v>
      </c>
      <c r="C296" s="63">
        <v>2011</v>
      </c>
      <c r="D296" s="63">
        <v>11</v>
      </c>
      <c r="E296" s="63">
        <v>9</v>
      </c>
      <c r="F296" s="63">
        <v>2</v>
      </c>
      <c r="G296" s="63" t="s">
        <v>7</v>
      </c>
    </row>
    <row r="297" spans="1:7" hidden="1">
      <c r="A297" t="s">
        <v>74</v>
      </c>
      <c r="B297" s="1" t="s">
        <v>3</v>
      </c>
      <c r="C297" s="63">
        <v>2012</v>
      </c>
      <c r="D297" s="63">
        <v>10</v>
      </c>
      <c r="E297" s="63">
        <v>10</v>
      </c>
      <c r="F297" s="63" t="s">
        <v>7</v>
      </c>
      <c r="G297" s="63" t="s">
        <v>7</v>
      </c>
    </row>
    <row r="298" spans="1:7" hidden="1">
      <c r="A298" t="s">
        <v>74</v>
      </c>
      <c r="B298" s="1" t="s">
        <v>3</v>
      </c>
      <c r="C298" s="63">
        <v>2013</v>
      </c>
      <c r="D298" s="63">
        <v>12</v>
      </c>
      <c r="E298" s="63">
        <v>10</v>
      </c>
      <c r="F298" s="63">
        <v>2</v>
      </c>
      <c r="G298" s="63" t="s">
        <v>7</v>
      </c>
    </row>
    <row r="299" spans="1:7" hidden="1">
      <c r="A299" t="s">
        <v>74</v>
      </c>
      <c r="B299" s="1" t="s">
        <v>3</v>
      </c>
      <c r="C299" s="63">
        <v>2014</v>
      </c>
      <c r="D299" s="63">
        <v>10</v>
      </c>
      <c r="E299" s="63">
        <v>6</v>
      </c>
      <c r="F299" s="63">
        <v>4</v>
      </c>
      <c r="G299" s="63" t="s">
        <v>7</v>
      </c>
    </row>
    <row r="300" spans="1:7" hidden="1">
      <c r="A300" t="s">
        <v>74</v>
      </c>
      <c r="B300" s="1" t="s">
        <v>3</v>
      </c>
      <c r="C300" s="63">
        <v>2015</v>
      </c>
      <c r="D300" s="63">
        <v>14</v>
      </c>
      <c r="E300" s="63">
        <v>12</v>
      </c>
      <c r="F300" s="63">
        <v>2</v>
      </c>
      <c r="G300" s="63" t="s">
        <v>7</v>
      </c>
    </row>
    <row r="301" spans="1:7" hidden="1">
      <c r="A301" t="s">
        <v>74</v>
      </c>
      <c r="B301" s="1" t="s">
        <v>3</v>
      </c>
      <c r="C301" s="63">
        <v>2016</v>
      </c>
      <c r="D301" s="63">
        <v>41</v>
      </c>
      <c r="E301" s="63">
        <v>31</v>
      </c>
      <c r="F301" s="63">
        <v>10</v>
      </c>
      <c r="G301" s="63" t="s">
        <v>7</v>
      </c>
    </row>
    <row r="302" spans="1:7" hidden="1">
      <c r="A302" t="s">
        <v>74</v>
      </c>
      <c r="B302" s="1" t="s">
        <v>3</v>
      </c>
      <c r="C302" s="63">
        <v>2017</v>
      </c>
      <c r="D302" s="63">
        <v>57</v>
      </c>
      <c r="E302" s="63">
        <v>47</v>
      </c>
      <c r="F302" s="63">
        <v>10</v>
      </c>
      <c r="G302" s="63" t="s">
        <v>7</v>
      </c>
    </row>
    <row r="303" spans="1:7" hidden="1">
      <c r="A303" t="s">
        <v>74</v>
      </c>
      <c r="B303" s="1" t="s">
        <v>3</v>
      </c>
      <c r="C303" s="63">
        <v>2018</v>
      </c>
      <c r="D303" s="63">
        <v>34</v>
      </c>
      <c r="E303" s="63">
        <v>28</v>
      </c>
      <c r="F303" s="63">
        <v>6</v>
      </c>
      <c r="G303" s="63" t="s">
        <v>7</v>
      </c>
    </row>
    <row r="304" spans="1:7">
      <c r="A304" t="s">
        <v>74</v>
      </c>
      <c r="B304" s="1" t="s">
        <v>3</v>
      </c>
      <c r="C304" s="63">
        <v>2019</v>
      </c>
      <c r="D304" s="63">
        <v>36</v>
      </c>
      <c r="E304" s="63">
        <v>28</v>
      </c>
      <c r="F304" s="63">
        <v>8</v>
      </c>
      <c r="G304" s="63" t="s">
        <v>7</v>
      </c>
    </row>
    <row r="305" spans="1:7" hidden="1">
      <c r="A305" t="s">
        <v>74</v>
      </c>
      <c r="B305" s="1" t="s">
        <v>3</v>
      </c>
      <c r="C305" s="63">
        <v>2020</v>
      </c>
      <c r="D305" s="63">
        <v>30</v>
      </c>
      <c r="E305" s="63">
        <v>22</v>
      </c>
      <c r="F305" s="63">
        <v>8</v>
      </c>
      <c r="G305" s="63" t="s">
        <v>7</v>
      </c>
    </row>
    <row r="306" spans="1:7">
      <c r="A306" t="s">
        <v>74</v>
      </c>
      <c r="B306" s="1" t="s">
        <v>3</v>
      </c>
      <c r="C306" s="63">
        <v>2021</v>
      </c>
      <c r="D306" s="63">
        <v>23</v>
      </c>
      <c r="E306" s="63">
        <v>17</v>
      </c>
      <c r="F306" s="63">
        <v>6</v>
      </c>
      <c r="G306" s="63" t="s">
        <v>7</v>
      </c>
    </row>
    <row r="307" spans="1:7" hidden="1">
      <c r="A307" t="s">
        <v>74</v>
      </c>
      <c r="B307" s="1" t="s">
        <v>3</v>
      </c>
      <c r="C307" s="63">
        <v>2022</v>
      </c>
      <c r="D307" s="63">
        <v>55</v>
      </c>
      <c r="E307" s="63">
        <v>49</v>
      </c>
      <c r="F307" s="63">
        <v>6</v>
      </c>
      <c r="G307" s="63" t="s">
        <v>7</v>
      </c>
    </row>
    <row r="308" spans="1:7" hidden="1">
      <c r="A308" t="s">
        <v>74</v>
      </c>
      <c r="B308" s="1" t="s">
        <v>3</v>
      </c>
      <c r="C308" s="63">
        <v>2023</v>
      </c>
      <c r="D308" s="63">
        <v>47</v>
      </c>
      <c r="E308" s="63">
        <v>40</v>
      </c>
      <c r="F308" s="63">
        <v>7</v>
      </c>
      <c r="G308" s="63" t="s">
        <v>7</v>
      </c>
    </row>
    <row r="309" spans="1:7" hidden="1">
      <c r="A309" t="s">
        <v>74</v>
      </c>
      <c r="B309" s="1" t="s">
        <v>3</v>
      </c>
      <c r="C309" s="63">
        <v>2024</v>
      </c>
      <c r="D309" s="63">
        <v>59</v>
      </c>
      <c r="E309" s="63">
        <v>52</v>
      </c>
      <c r="F309" s="63">
        <v>7</v>
      </c>
      <c r="G309" s="63" t="s">
        <v>7</v>
      </c>
    </row>
    <row r="310" spans="1:7" hidden="1">
      <c r="A310" t="s">
        <v>74</v>
      </c>
      <c r="B310" s="1" t="s">
        <v>35</v>
      </c>
      <c r="C310" s="2">
        <v>1990</v>
      </c>
      <c r="D310" s="2">
        <v>3</v>
      </c>
      <c r="E310" s="2">
        <v>2</v>
      </c>
      <c r="F310" s="2">
        <v>1</v>
      </c>
      <c r="G310" s="1" t="s">
        <v>7</v>
      </c>
    </row>
    <row r="311" spans="1:7" hidden="1">
      <c r="A311" t="s">
        <v>74</v>
      </c>
      <c r="B311" s="1" t="s">
        <v>36</v>
      </c>
      <c r="C311" s="2">
        <v>1991</v>
      </c>
      <c r="D311" s="2">
        <v>4</v>
      </c>
      <c r="E311" s="2">
        <v>1</v>
      </c>
      <c r="F311" s="2">
        <v>3</v>
      </c>
      <c r="G311" s="1" t="s">
        <v>7</v>
      </c>
    </row>
    <row r="312" spans="1:7" hidden="1">
      <c r="A312" t="s">
        <v>74</v>
      </c>
      <c r="B312" s="1" t="s">
        <v>37</v>
      </c>
      <c r="C312" s="2">
        <v>1992</v>
      </c>
      <c r="D312" s="2">
        <v>8</v>
      </c>
      <c r="E312" s="2">
        <v>6</v>
      </c>
      <c r="F312" s="2">
        <v>2</v>
      </c>
      <c r="G312" s="1" t="s">
        <v>7</v>
      </c>
    </row>
    <row r="313" spans="1:7" hidden="1">
      <c r="A313" t="s">
        <v>74</v>
      </c>
      <c r="B313" s="1" t="s">
        <v>38</v>
      </c>
      <c r="C313" s="2">
        <v>1993</v>
      </c>
      <c r="D313" s="2">
        <v>7</v>
      </c>
      <c r="E313" s="2">
        <v>7</v>
      </c>
      <c r="F313" s="1" t="s">
        <v>7</v>
      </c>
      <c r="G313" s="1" t="s">
        <v>7</v>
      </c>
    </row>
    <row r="314" spans="1:7" hidden="1">
      <c r="A314" t="s">
        <v>74</v>
      </c>
      <c r="B314" s="1" t="s">
        <v>39</v>
      </c>
      <c r="C314" s="2">
        <v>1994</v>
      </c>
      <c r="D314" s="2">
        <v>4</v>
      </c>
      <c r="E314" s="2">
        <v>4</v>
      </c>
      <c r="F314" s="1" t="s">
        <v>7</v>
      </c>
      <c r="G314" s="1" t="s">
        <v>7</v>
      </c>
    </row>
    <row r="315" spans="1:7" hidden="1">
      <c r="A315" t="s">
        <v>74</v>
      </c>
      <c r="B315" s="1" t="s">
        <v>40</v>
      </c>
      <c r="C315" s="2">
        <v>1995</v>
      </c>
      <c r="D315" s="2">
        <v>4</v>
      </c>
      <c r="E315" s="2">
        <v>3</v>
      </c>
      <c r="F315" s="2">
        <v>1</v>
      </c>
      <c r="G315" s="1" t="s">
        <v>7</v>
      </c>
    </row>
    <row r="316" spans="1:7" hidden="1">
      <c r="A316" t="s">
        <v>74</v>
      </c>
      <c r="B316" s="1" t="s">
        <v>41</v>
      </c>
      <c r="C316" s="2">
        <v>1996</v>
      </c>
      <c r="D316" s="2">
        <v>3</v>
      </c>
      <c r="E316" s="2">
        <v>1</v>
      </c>
      <c r="F316" s="2">
        <v>2</v>
      </c>
      <c r="G316" s="1" t="s">
        <v>7</v>
      </c>
    </row>
    <row r="317" spans="1:7" hidden="1">
      <c r="A317" t="s">
        <v>74</v>
      </c>
      <c r="B317" s="1" t="s">
        <v>42</v>
      </c>
      <c r="C317" s="2">
        <v>1997</v>
      </c>
      <c r="D317" s="2">
        <v>3</v>
      </c>
      <c r="E317" s="2">
        <v>3</v>
      </c>
      <c r="F317" s="1" t="s">
        <v>7</v>
      </c>
      <c r="G317" s="1" t="s">
        <v>7</v>
      </c>
    </row>
    <row r="318" spans="1:7" hidden="1">
      <c r="A318" t="s">
        <v>74</v>
      </c>
      <c r="B318" s="1" t="s">
        <v>43</v>
      </c>
      <c r="C318" s="2">
        <v>1998</v>
      </c>
      <c r="D318" s="2">
        <v>4</v>
      </c>
      <c r="E318" s="2">
        <v>2</v>
      </c>
      <c r="F318" s="2">
        <v>2</v>
      </c>
      <c r="G318" s="1" t="s">
        <v>7</v>
      </c>
    </row>
    <row r="319" spans="1:7" hidden="1">
      <c r="A319" t="s">
        <v>74</v>
      </c>
      <c r="B319" s="1" t="s">
        <v>44</v>
      </c>
      <c r="C319" s="2">
        <v>1999</v>
      </c>
      <c r="D319" s="2">
        <v>2</v>
      </c>
      <c r="E319" s="2">
        <v>1</v>
      </c>
      <c r="F319" s="2">
        <v>1</v>
      </c>
      <c r="G319" s="1" t="s">
        <v>7</v>
      </c>
    </row>
    <row r="320" spans="1:7" hidden="1">
      <c r="A320" t="s">
        <v>74</v>
      </c>
      <c r="B320" s="1" t="s">
        <v>45</v>
      </c>
      <c r="C320" s="2">
        <v>2000</v>
      </c>
      <c r="D320" s="2">
        <v>7</v>
      </c>
      <c r="E320" s="2">
        <v>4</v>
      </c>
      <c r="F320" s="2">
        <v>3</v>
      </c>
      <c r="G320" s="1" t="s">
        <v>7</v>
      </c>
    </row>
    <row r="321" spans="1:7" hidden="1">
      <c r="A321" t="s">
        <v>74</v>
      </c>
      <c r="B321" s="1" t="s">
        <v>46</v>
      </c>
      <c r="C321" s="2">
        <v>2001</v>
      </c>
      <c r="D321" s="2">
        <v>4</v>
      </c>
      <c r="E321" s="2">
        <v>2</v>
      </c>
      <c r="F321" s="2">
        <v>2</v>
      </c>
      <c r="G321" s="1" t="s">
        <v>7</v>
      </c>
    </row>
    <row r="322" spans="1:7" hidden="1">
      <c r="A322" t="s">
        <v>74</v>
      </c>
      <c r="B322" s="1" t="s">
        <v>47</v>
      </c>
      <c r="C322" s="2">
        <v>2002</v>
      </c>
      <c r="D322" s="2">
        <v>2</v>
      </c>
      <c r="E322" s="2">
        <v>2</v>
      </c>
      <c r="F322" s="1" t="s">
        <v>7</v>
      </c>
      <c r="G322" s="1" t="s">
        <v>7</v>
      </c>
    </row>
    <row r="323" spans="1:7" hidden="1">
      <c r="A323" t="s">
        <v>74</v>
      </c>
      <c r="B323" s="1" t="s">
        <v>48</v>
      </c>
      <c r="C323" s="2">
        <v>2003</v>
      </c>
      <c r="D323" s="2">
        <v>3</v>
      </c>
      <c r="E323" s="2">
        <v>3</v>
      </c>
      <c r="F323" s="1" t="s">
        <v>7</v>
      </c>
      <c r="G323" s="1" t="s">
        <v>7</v>
      </c>
    </row>
    <row r="324" spans="1:7" hidden="1">
      <c r="A324" t="s">
        <v>74</v>
      </c>
      <c r="B324" s="1" t="s">
        <v>49</v>
      </c>
      <c r="C324" s="2">
        <v>2004</v>
      </c>
      <c r="D324" s="2">
        <v>3</v>
      </c>
      <c r="E324" s="2">
        <v>1</v>
      </c>
      <c r="F324" s="2">
        <v>2</v>
      </c>
      <c r="G324" s="1" t="s">
        <v>7</v>
      </c>
    </row>
    <row r="325" spans="1:7" hidden="1">
      <c r="A325" t="s">
        <v>74</v>
      </c>
      <c r="B325" s="1" t="s">
        <v>50</v>
      </c>
      <c r="C325" s="2">
        <v>2005</v>
      </c>
      <c r="D325" s="2">
        <v>1</v>
      </c>
      <c r="E325" s="1" t="s">
        <v>7</v>
      </c>
      <c r="F325" s="2">
        <v>1</v>
      </c>
      <c r="G325" s="1" t="s">
        <v>7</v>
      </c>
    </row>
    <row r="326" spans="1:7" hidden="1">
      <c r="A326" t="s">
        <v>74</v>
      </c>
      <c r="B326" s="1" t="s">
        <v>51</v>
      </c>
      <c r="C326" s="2">
        <v>2006</v>
      </c>
      <c r="D326" s="2">
        <v>2</v>
      </c>
      <c r="E326" s="2">
        <v>2</v>
      </c>
      <c r="F326" s="1" t="s">
        <v>7</v>
      </c>
      <c r="G326" s="1" t="s">
        <v>7</v>
      </c>
    </row>
    <row r="327" spans="1:7" hidden="1">
      <c r="A327" t="s">
        <v>74</v>
      </c>
      <c r="B327" s="1" t="s">
        <v>52</v>
      </c>
      <c r="C327" s="2">
        <v>2007</v>
      </c>
      <c r="D327" s="2">
        <v>2</v>
      </c>
      <c r="E327" s="2">
        <v>2</v>
      </c>
      <c r="F327" s="1" t="s">
        <v>7</v>
      </c>
      <c r="G327" s="1" t="s">
        <v>7</v>
      </c>
    </row>
    <row r="328" spans="1:7" hidden="1">
      <c r="A328" t="s">
        <v>74</v>
      </c>
      <c r="B328" s="1" t="s">
        <v>53</v>
      </c>
      <c r="C328" s="2">
        <v>2008</v>
      </c>
      <c r="D328" s="2">
        <v>2</v>
      </c>
      <c r="E328" s="2">
        <v>1</v>
      </c>
      <c r="F328" s="2">
        <v>1</v>
      </c>
      <c r="G328" s="1" t="s">
        <v>7</v>
      </c>
    </row>
    <row r="329" spans="1:7" hidden="1">
      <c r="A329" t="s">
        <v>74</v>
      </c>
      <c r="B329" s="1" t="s">
        <v>54</v>
      </c>
      <c r="C329" s="2">
        <v>2009</v>
      </c>
      <c r="D329" s="2">
        <v>2</v>
      </c>
      <c r="E329" s="2">
        <v>2</v>
      </c>
      <c r="F329" s="1" t="s">
        <v>7</v>
      </c>
      <c r="G329" s="1" t="s">
        <v>7</v>
      </c>
    </row>
    <row r="330" spans="1:7" hidden="1">
      <c r="A330" t="s">
        <v>74</v>
      </c>
      <c r="B330" s="1" t="s">
        <v>55</v>
      </c>
      <c r="C330" s="2">
        <v>2010</v>
      </c>
      <c r="D330" s="2">
        <v>5</v>
      </c>
      <c r="E330" s="2">
        <v>5</v>
      </c>
      <c r="F330" s="1" t="s">
        <v>7</v>
      </c>
      <c r="G330" s="1" t="s">
        <v>7</v>
      </c>
    </row>
    <row r="331" spans="1:7" hidden="1">
      <c r="A331" t="s">
        <v>74</v>
      </c>
      <c r="B331" s="1" t="s">
        <v>56</v>
      </c>
      <c r="C331" s="2">
        <v>2011</v>
      </c>
      <c r="D331" s="2">
        <v>11</v>
      </c>
      <c r="E331" s="2">
        <v>9</v>
      </c>
      <c r="F331" s="2">
        <v>2</v>
      </c>
      <c r="G331" s="1" t="s">
        <v>7</v>
      </c>
    </row>
    <row r="332" spans="1:7" hidden="1">
      <c r="A332" t="s">
        <v>74</v>
      </c>
      <c r="B332" s="1" t="s">
        <v>57</v>
      </c>
      <c r="C332" s="2">
        <v>2012</v>
      </c>
      <c r="D332" s="2">
        <v>10</v>
      </c>
      <c r="E332" s="2">
        <v>10</v>
      </c>
      <c r="F332" s="1" t="s">
        <v>7</v>
      </c>
      <c r="G332" s="1" t="s">
        <v>7</v>
      </c>
    </row>
    <row r="333" spans="1:7" hidden="1">
      <c r="A333" t="s">
        <v>74</v>
      </c>
      <c r="B333" s="1" t="s">
        <v>58</v>
      </c>
      <c r="C333" s="2">
        <v>2013</v>
      </c>
      <c r="D333" s="2">
        <v>12</v>
      </c>
      <c r="E333" s="2">
        <v>10</v>
      </c>
      <c r="F333" s="2">
        <v>2</v>
      </c>
      <c r="G333" s="1" t="s">
        <v>7</v>
      </c>
    </row>
    <row r="334" spans="1:7" hidden="1">
      <c r="A334" t="s">
        <v>74</v>
      </c>
      <c r="B334" s="1" t="s">
        <v>58</v>
      </c>
      <c r="C334" s="2">
        <v>2014</v>
      </c>
      <c r="D334" s="2">
        <v>1</v>
      </c>
      <c r="E334" s="1" t="s">
        <v>7</v>
      </c>
      <c r="F334" s="2">
        <v>1</v>
      </c>
      <c r="G334" s="1" t="s">
        <v>7</v>
      </c>
    </row>
    <row r="335" spans="1:7" hidden="1">
      <c r="A335" t="s">
        <v>74</v>
      </c>
      <c r="B335" s="1" t="s">
        <v>59</v>
      </c>
      <c r="C335" s="2">
        <v>2014</v>
      </c>
      <c r="D335" s="2">
        <v>9</v>
      </c>
      <c r="E335" s="2">
        <v>6</v>
      </c>
      <c r="F335" s="2">
        <v>3</v>
      </c>
      <c r="G335" s="1" t="s">
        <v>7</v>
      </c>
    </row>
    <row r="336" spans="1:7" hidden="1">
      <c r="A336" t="s">
        <v>74</v>
      </c>
      <c r="B336" s="1" t="s">
        <v>60</v>
      </c>
      <c r="C336" s="2">
        <v>2015</v>
      </c>
      <c r="D336" s="2">
        <v>14</v>
      </c>
      <c r="E336" s="2">
        <v>12</v>
      </c>
      <c r="F336" s="2">
        <v>2</v>
      </c>
      <c r="G336" s="1" t="s">
        <v>7</v>
      </c>
    </row>
    <row r="337" spans="1:7" hidden="1">
      <c r="A337" t="s">
        <v>74</v>
      </c>
      <c r="B337" s="1" t="s">
        <v>60</v>
      </c>
      <c r="C337" s="2">
        <v>2016</v>
      </c>
      <c r="D337" s="2">
        <v>1</v>
      </c>
      <c r="E337" s="2">
        <v>1</v>
      </c>
      <c r="F337" s="1" t="s">
        <v>7</v>
      </c>
      <c r="G337" s="1" t="s">
        <v>7</v>
      </c>
    </row>
    <row r="338" spans="1:7" hidden="1">
      <c r="A338" t="s">
        <v>74</v>
      </c>
      <c r="B338" s="1" t="s">
        <v>61</v>
      </c>
      <c r="C338" s="2">
        <v>2016</v>
      </c>
      <c r="D338" s="2">
        <v>40</v>
      </c>
      <c r="E338" s="2">
        <v>30</v>
      </c>
      <c r="F338" s="2">
        <v>10</v>
      </c>
      <c r="G338" s="1" t="s">
        <v>7</v>
      </c>
    </row>
    <row r="339" spans="1:7" hidden="1">
      <c r="A339" t="s">
        <v>74</v>
      </c>
      <c r="B339" s="1" t="s">
        <v>62</v>
      </c>
      <c r="C339" s="2">
        <v>2017</v>
      </c>
      <c r="D339" s="2">
        <v>57</v>
      </c>
      <c r="E339" s="2">
        <v>47</v>
      </c>
      <c r="F339" s="2">
        <v>10</v>
      </c>
      <c r="G339" s="1" t="s">
        <v>7</v>
      </c>
    </row>
    <row r="340" spans="1:7" hidden="1">
      <c r="A340" t="s">
        <v>74</v>
      </c>
      <c r="B340" s="1" t="s">
        <v>63</v>
      </c>
      <c r="C340" s="2">
        <v>2018</v>
      </c>
      <c r="D340" s="2">
        <v>34</v>
      </c>
      <c r="E340" s="2">
        <v>28</v>
      </c>
      <c r="F340" s="2">
        <v>6</v>
      </c>
      <c r="G340" s="1" t="s">
        <v>7</v>
      </c>
    </row>
    <row r="341" spans="1:7" hidden="1">
      <c r="A341" t="s">
        <v>74</v>
      </c>
      <c r="B341" s="1" t="s">
        <v>63</v>
      </c>
      <c r="C341" s="2">
        <v>2019</v>
      </c>
      <c r="D341" s="2">
        <v>2</v>
      </c>
      <c r="E341" s="2">
        <v>1</v>
      </c>
      <c r="F341" s="2">
        <v>1</v>
      </c>
      <c r="G341" s="1" t="s">
        <v>7</v>
      </c>
    </row>
    <row r="342" spans="1:7" hidden="1">
      <c r="A342" t="s">
        <v>74</v>
      </c>
      <c r="B342" s="1" t="s">
        <v>64</v>
      </c>
      <c r="C342" s="2">
        <v>2019</v>
      </c>
      <c r="D342" s="2">
        <v>34</v>
      </c>
      <c r="E342" s="2">
        <v>27</v>
      </c>
      <c r="F342" s="2">
        <v>7</v>
      </c>
      <c r="G342" s="1" t="s">
        <v>7</v>
      </c>
    </row>
    <row r="343" spans="1:7" hidden="1">
      <c r="A343" t="s">
        <v>74</v>
      </c>
      <c r="B343" s="1" t="s">
        <v>65</v>
      </c>
      <c r="C343" s="2">
        <v>2020</v>
      </c>
      <c r="D343" s="2">
        <v>29</v>
      </c>
      <c r="E343" s="2">
        <v>21</v>
      </c>
      <c r="F343" s="2">
        <v>8</v>
      </c>
      <c r="G343" s="1" t="s">
        <v>7</v>
      </c>
    </row>
    <row r="344" spans="1:7" hidden="1">
      <c r="A344" t="s">
        <v>74</v>
      </c>
      <c r="B344" s="1" t="s">
        <v>65</v>
      </c>
      <c r="C344" s="2">
        <v>2021</v>
      </c>
      <c r="D344" s="2">
        <v>2</v>
      </c>
      <c r="E344" s="2">
        <v>1</v>
      </c>
      <c r="F344" s="2">
        <v>1</v>
      </c>
      <c r="G344" s="1" t="s">
        <v>7</v>
      </c>
    </row>
    <row r="345" spans="1:7" hidden="1">
      <c r="A345" t="s">
        <v>74</v>
      </c>
      <c r="B345" s="1" t="s">
        <v>66</v>
      </c>
      <c r="C345" s="2">
        <v>2021</v>
      </c>
      <c r="D345" s="2">
        <v>21</v>
      </c>
      <c r="E345" s="2">
        <v>16</v>
      </c>
      <c r="F345" s="2">
        <v>5</v>
      </c>
      <c r="G345" s="1" t="s">
        <v>7</v>
      </c>
    </row>
    <row r="346" spans="1:7" hidden="1">
      <c r="A346" t="s">
        <v>74</v>
      </c>
      <c r="B346" s="1" t="s">
        <v>66</v>
      </c>
      <c r="C346" s="2">
        <v>2024</v>
      </c>
      <c r="D346" s="2">
        <v>1</v>
      </c>
      <c r="E346" s="2">
        <v>1</v>
      </c>
      <c r="F346" s="1" t="s">
        <v>7</v>
      </c>
      <c r="G346" s="1" t="s">
        <v>7</v>
      </c>
    </row>
    <row r="347" spans="1:7" hidden="1">
      <c r="A347" t="s">
        <v>74</v>
      </c>
      <c r="B347" s="1" t="s">
        <v>67</v>
      </c>
      <c r="C347" s="2">
        <v>2022</v>
      </c>
      <c r="D347" s="2">
        <v>55</v>
      </c>
      <c r="E347" s="2">
        <v>49</v>
      </c>
      <c r="F347" s="2">
        <v>6</v>
      </c>
      <c r="G347" s="1" t="s">
        <v>7</v>
      </c>
    </row>
    <row r="348" spans="1:7" hidden="1">
      <c r="A348" t="s">
        <v>74</v>
      </c>
      <c r="B348" s="1" t="s">
        <v>67</v>
      </c>
      <c r="C348" s="2">
        <v>2024</v>
      </c>
      <c r="D348" s="2">
        <v>3</v>
      </c>
      <c r="E348" s="2">
        <v>3</v>
      </c>
      <c r="F348" s="1" t="s">
        <v>7</v>
      </c>
      <c r="G348" s="1" t="s">
        <v>7</v>
      </c>
    </row>
    <row r="349" spans="1:7" hidden="1">
      <c r="A349" t="s">
        <v>74</v>
      </c>
      <c r="B349" s="1" t="s">
        <v>68</v>
      </c>
      <c r="C349" s="2">
        <v>2023</v>
      </c>
      <c r="D349" s="2">
        <v>47</v>
      </c>
      <c r="E349" s="2">
        <v>40</v>
      </c>
      <c r="F349" s="2">
        <v>7</v>
      </c>
      <c r="G349" s="1" t="s">
        <v>7</v>
      </c>
    </row>
    <row r="350" spans="1:7" hidden="1">
      <c r="A350" t="s">
        <v>74</v>
      </c>
      <c r="B350" s="1" t="s">
        <v>68</v>
      </c>
      <c r="C350" s="2">
        <v>2024</v>
      </c>
      <c r="D350" s="2">
        <v>1</v>
      </c>
      <c r="E350" s="1" t="s">
        <v>7</v>
      </c>
      <c r="F350" s="2">
        <v>1</v>
      </c>
      <c r="G350" s="1" t="s">
        <v>7</v>
      </c>
    </row>
    <row r="351" spans="1:7" hidden="1">
      <c r="A351" t="s">
        <v>74</v>
      </c>
      <c r="B351" s="1" t="s">
        <v>69</v>
      </c>
      <c r="C351" s="2">
        <v>2024</v>
      </c>
      <c r="D351" s="2">
        <v>54</v>
      </c>
      <c r="E351" s="2">
        <v>48</v>
      </c>
      <c r="F351" s="2">
        <v>6</v>
      </c>
      <c r="G351" s="1" t="s">
        <v>7</v>
      </c>
    </row>
    <row r="352" spans="1:7" hidden="1">
      <c r="A352" t="s">
        <v>74</v>
      </c>
      <c r="B352" s="1" t="s">
        <v>6</v>
      </c>
      <c r="C352" s="2">
        <v>1990</v>
      </c>
      <c r="D352" s="2">
        <v>1</v>
      </c>
      <c r="E352" s="2">
        <v>1</v>
      </c>
      <c r="F352" s="1" t="s">
        <v>7</v>
      </c>
      <c r="G352" s="1" t="s">
        <v>7</v>
      </c>
    </row>
    <row r="353" spans="1:7" hidden="1">
      <c r="A353" t="s">
        <v>74</v>
      </c>
      <c r="B353" s="1" t="s">
        <v>6</v>
      </c>
      <c r="C353" s="2">
        <v>1991</v>
      </c>
      <c r="D353" s="2">
        <v>2</v>
      </c>
      <c r="E353" s="2">
        <v>1</v>
      </c>
      <c r="F353" s="2">
        <v>1</v>
      </c>
      <c r="G353" s="1" t="s">
        <v>7</v>
      </c>
    </row>
    <row r="354" spans="1:7" hidden="1">
      <c r="A354" t="s">
        <v>74</v>
      </c>
      <c r="B354" s="1" t="s">
        <v>6</v>
      </c>
      <c r="C354" s="2">
        <v>1992</v>
      </c>
      <c r="D354" s="2">
        <v>1</v>
      </c>
      <c r="E354" s="2">
        <v>1</v>
      </c>
      <c r="F354" s="1" t="s">
        <v>7</v>
      </c>
      <c r="G354" s="1" t="s">
        <v>7</v>
      </c>
    </row>
    <row r="355" spans="1:7" hidden="1">
      <c r="A355" t="s">
        <v>74</v>
      </c>
      <c r="B355" s="1" t="s">
        <v>6</v>
      </c>
      <c r="C355" s="2">
        <v>1995</v>
      </c>
      <c r="D355" s="2">
        <v>1</v>
      </c>
      <c r="E355" s="2">
        <v>1</v>
      </c>
      <c r="F355" s="1" t="s">
        <v>7</v>
      </c>
      <c r="G355" s="1" t="s">
        <v>7</v>
      </c>
    </row>
    <row r="356" spans="1:7" hidden="1">
      <c r="A356" t="s">
        <v>74</v>
      </c>
      <c r="B356" s="1" t="s">
        <v>6</v>
      </c>
      <c r="C356" s="2">
        <v>2020</v>
      </c>
      <c r="D356" s="2">
        <v>1</v>
      </c>
      <c r="E356" s="2">
        <v>1</v>
      </c>
      <c r="F356" s="1" t="s">
        <v>7</v>
      </c>
      <c r="G356" s="1" t="s">
        <v>7</v>
      </c>
    </row>
    <row r="357" spans="1:7" hidden="1">
      <c r="A357" t="s">
        <v>75</v>
      </c>
      <c r="B357" s="1" t="s">
        <v>3</v>
      </c>
      <c r="C357" s="63">
        <v>1990</v>
      </c>
      <c r="D357" s="63">
        <v>16</v>
      </c>
      <c r="E357" s="63">
        <v>16</v>
      </c>
      <c r="F357" s="63" t="s">
        <v>7</v>
      </c>
      <c r="G357" s="63" t="s">
        <v>7</v>
      </c>
    </row>
    <row r="358" spans="1:7" hidden="1">
      <c r="A358" t="s">
        <v>75</v>
      </c>
      <c r="B358" s="1" t="s">
        <v>3</v>
      </c>
      <c r="C358" s="63">
        <v>1991</v>
      </c>
      <c r="D358" s="63">
        <v>15</v>
      </c>
      <c r="E358" s="63">
        <v>15</v>
      </c>
      <c r="F358" s="63" t="s">
        <v>7</v>
      </c>
      <c r="G358" s="63" t="s">
        <v>7</v>
      </c>
    </row>
    <row r="359" spans="1:7" hidden="1">
      <c r="A359" t="s">
        <v>75</v>
      </c>
      <c r="B359" s="1" t="s">
        <v>3</v>
      </c>
      <c r="C359" s="63">
        <v>1992</v>
      </c>
      <c r="D359" s="63">
        <v>23</v>
      </c>
      <c r="E359" s="63">
        <v>21</v>
      </c>
      <c r="F359" s="63">
        <v>2</v>
      </c>
      <c r="G359" s="63" t="s">
        <v>7</v>
      </c>
    </row>
    <row r="360" spans="1:7" hidden="1">
      <c r="A360" t="s">
        <v>75</v>
      </c>
      <c r="B360" s="1" t="s">
        <v>3</v>
      </c>
      <c r="C360" s="63">
        <v>1993</v>
      </c>
      <c r="D360" s="63">
        <v>11</v>
      </c>
      <c r="E360" s="63">
        <v>11</v>
      </c>
      <c r="F360" s="63" t="s">
        <v>7</v>
      </c>
      <c r="G360" s="63" t="s">
        <v>7</v>
      </c>
    </row>
    <row r="361" spans="1:7" hidden="1">
      <c r="A361" t="s">
        <v>75</v>
      </c>
      <c r="B361" s="1" t="s">
        <v>3</v>
      </c>
      <c r="C361" s="63">
        <v>1994</v>
      </c>
      <c r="D361" s="63">
        <v>8</v>
      </c>
      <c r="E361" s="63">
        <v>8</v>
      </c>
      <c r="F361" s="63" t="s">
        <v>7</v>
      </c>
      <c r="G361" s="63" t="s">
        <v>7</v>
      </c>
    </row>
    <row r="362" spans="1:7" hidden="1">
      <c r="A362" t="s">
        <v>75</v>
      </c>
      <c r="B362" s="1" t="s">
        <v>3</v>
      </c>
      <c r="C362" s="63">
        <v>1995</v>
      </c>
      <c r="D362" s="63">
        <v>8</v>
      </c>
      <c r="E362" s="63">
        <v>8</v>
      </c>
      <c r="F362" s="63" t="s">
        <v>7</v>
      </c>
      <c r="G362" s="63" t="s">
        <v>7</v>
      </c>
    </row>
    <row r="363" spans="1:7" hidden="1">
      <c r="A363" t="s">
        <v>75</v>
      </c>
      <c r="B363" s="1" t="s">
        <v>3</v>
      </c>
      <c r="C363" s="63">
        <v>1996</v>
      </c>
      <c r="D363" s="63">
        <v>10</v>
      </c>
      <c r="E363" s="63">
        <v>10</v>
      </c>
      <c r="F363" s="63" t="s">
        <v>7</v>
      </c>
      <c r="G363" s="63" t="s">
        <v>7</v>
      </c>
    </row>
    <row r="364" spans="1:7" hidden="1">
      <c r="A364" t="s">
        <v>75</v>
      </c>
      <c r="B364" s="1" t="s">
        <v>3</v>
      </c>
      <c r="C364" s="63">
        <v>1997</v>
      </c>
      <c r="D364" s="63">
        <v>1</v>
      </c>
      <c r="E364" s="63">
        <v>1</v>
      </c>
      <c r="F364" s="63" t="s">
        <v>7</v>
      </c>
      <c r="G364" s="63" t="s">
        <v>7</v>
      </c>
    </row>
    <row r="365" spans="1:7" hidden="1">
      <c r="A365" t="s">
        <v>75</v>
      </c>
      <c r="B365" s="1" t="s">
        <v>3</v>
      </c>
      <c r="C365" s="63">
        <v>1998</v>
      </c>
      <c r="D365" s="63">
        <v>12</v>
      </c>
      <c r="E365" s="63">
        <v>11</v>
      </c>
      <c r="F365" s="63">
        <v>1</v>
      </c>
      <c r="G365" s="63" t="s">
        <v>7</v>
      </c>
    </row>
    <row r="366" spans="1:7" hidden="1">
      <c r="A366" t="s">
        <v>75</v>
      </c>
      <c r="B366" s="1" t="s">
        <v>3</v>
      </c>
      <c r="C366" s="63">
        <v>1999</v>
      </c>
      <c r="D366" s="63">
        <v>8</v>
      </c>
      <c r="E366" s="63">
        <v>8</v>
      </c>
      <c r="F366" s="63" t="s">
        <v>7</v>
      </c>
      <c r="G366" s="63" t="s">
        <v>7</v>
      </c>
    </row>
    <row r="367" spans="1:7" hidden="1">
      <c r="A367" t="s">
        <v>75</v>
      </c>
      <c r="B367" s="1" t="s">
        <v>3</v>
      </c>
      <c r="C367" s="63">
        <v>2000</v>
      </c>
      <c r="D367" s="63">
        <v>1</v>
      </c>
      <c r="E367" s="63">
        <v>1</v>
      </c>
      <c r="F367" s="63" t="s">
        <v>7</v>
      </c>
      <c r="G367" s="63" t="s">
        <v>7</v>
      </c>
    </row>
    <row r="368" spans="1:7" hidden="1">
      <c r="A368" t="s">
        <v>75</v>
      </c>
      <c r="B368" s="1" t="s">
        <v>3</v>
      </c>
      <c r="C368" s="63">
        <v>2001</v>
      </c>
      <c r="D368" s="63">
        <v>5</v>
      </c>
      <c r="E368" s="63">
        <v>5</v>
      </c>
      <c r="F368" s="63" t="s">
        <v>7</v>
      </c>
      <c r="G368" s="63" t="s">
        <v>7</v>
      </c>
    </row>
    <row r="369" spans="1:7" hidden="1">
      <c r="A369" t="s">
        <v>75</v>
      </c>
      <c r="B369" s="1" t="s">
        <v>3</v>
      </c>
      <c r="C369" s="63">
        <v>2002</v>
      </c>
      <c r="D369" s="63">
        <v>6</v>
      </c>
      <c r="E369" s="63">
        <v>4</v>
      </c>
      <c r="F369" s="63">
        <v>2</v>
      </c>
      <c r="G369" s="63" t="s">
        <v>7</v>
      </c>
    </row>
    <row r="370" spans="1:7" hidden="1">
      <c r="A370" t="s">
        <v>75</v>
      </c>
      <c r="B370" s="1" t="s">
        <v>3</v>
      </c>
      <c r="C370" s="63">
        <v>2003</v>
      </c>
      <c r="D370" s="63">
        <v>5</v>
      </c>
      <c r="E370" s="63">
        <v>3</v>
      </c>
      <c r="F370" s="63">
        <v>2</v>
      </c>
      <c r="G370" s="63" t="s">
        <v>7</v>
      </c>
    </row>
    <row r="371" spans="1:7" hidden="1">
      <c r="A371" t="s">
        <v>75</v>
      </c>
      <c r="B371" s="1" t="s">
        <v>3</v>
      </c>
      <c r="C371" s="63">
        <v>2004</v>
      </c>
      <c r="D371" s="63">
        <v>3</v>
      </c>
      <c r="E371" s="63">
        <v>3</v>
      </c>
      <c r="F371" s="63" t="s">
        <v>7</v>
      </c>
      <c r="G371" s="63" t="s">
        <v>7</v>
      </c>
    </row>
    <row r="372" spans="1:7" hidden="1">
      <c r="A372" t="s">
        <v>75</v>
      </c>
      <c r="B372" s="1" t="s">
        <v>3</v>
      </c>
      <c r="C372" s="63">
        <v>2005</v>
      </c>
      <c r="D372" s="63">
        <v>1</v>
      </c>
      <c r="E372" s="63">
        <v>1</v>
      </c>
      <c r="F372" s="63" t="s">
        <v>7</v>
      </c>
      <c r="G372" s="63" t="s">
        <v>7</v>
      </c>
    </row>
    <row r="373" spans="1:7" hidden="1">
      <c r="A373" t="s">
        <v>75</v>
      </c>
      <c r="B373" s="1" t="s">
        <v>3</v>
      </c>
      <c r="C373" s="63">
        <v>2006</v>
      </c>
      <c r="D373" s="63">
        <v>2</v>
      </c>
      <c r="E373" s="63">
        <v>1</v>
      </c>
      <c r="F373" s="63">
        <v>1</v>
      </c>
      <c r="G373" s="63" t="s">
        <v>7</v>
      </c>
    </row>
    <row r="374" spans="1:7" hidden="1">
      <c r="A374" t="s">
        <v>75</v>
      </c>
      <c r="B374" s="1" t="s">
        <v>3</v>
      </c>
      <c r="C374" s="63">
        <v>2007</v>
      </c>
      <c r="D374" s="63">
        <v>3</v>
      </c>
      <c r="E374" s="63">
        <v>2</v>
      </c>
      <c r="F374" s="63">
        <v>1</v>
      </c>
      <c r="G374" s="63" t="s">
        <v>7</v>
      </c>
    </row>
    <row r="375" spans="1:7" hidden="1">
      <c r="A375" t="s">
        <v>75</v>
      </c>
      <c r="B375" s="1" t="s">
        <v>3</v>
      </c>
      <c r="C375" s="63">
        <v>2008</v>
      </c>
      <c r="D375" s="63">
        <v>4</v>
      </c>
      <c r="E375" s="63">
        <v>4</v>
      </c>
      <c r="F375" s="63" t="s">
        <v>7</v>
      </c>
      <c r="G375" s="63" t="s">
        <v>7</v>
      </c>
    </row>
    <row r="376" spans="1:7" hidden="1">
      <c r="A376" t="s">
        <v>75</v>
      </c>
      <c r="B376" s="1" t="s">
        <v>3</v>
      </c>
      <c r="C376" s="63">
        <v>2009</v>
      </c>
      <c r="D376" s="63">
        <v>5</v>
      </c>
      <c r="E376" s="63">
        <v>4</v>
      </c>
      <c r="F376" s="63">
        <v>1</v>
      </c>
      <c r="G376" s="63" t="s">
        <v>7</v>
      </c>
    </row>
    <row r="377" spans="1:7">
      <c r="A377" t="s">
        <v>75</v>
      </c>
      <c r="B377" s="1" t="s">
        <v>3</v>
      </c>
      <c r="C377" s="63">
        <v>2010</v>
      </c>
      <c r="D377" s="63">
        <v>14</v>
      </c>
      <c r="E377" s="63">
        <v>14</v>
      </c>
      <c r="F377" s="63" t="s">
        <v>7</v>
      </c>
      <c r="G377" s="63" t="s">
        <v>7</v>
      </c>
    </row>
    <row r="378" spans="1:7" hidden="1">
      <c r="A378" t="s">
        <v>75</v>
      </c>
      <c r="B378" s="1" t="s">
        <v>3</v>
      </c>
      <c r="C378" s="63">
        <v>2011</v>
      </c>
      <c r="D378" s="63">
        <v>14</v>
      </c>
      <c r="E378" s="63">
        <v>14</v>
      </c>
      <c r="F378" s="63" t="s">
        <v>7</v>
      </c>
      <c r="G378" s="63" t="s">
        <v>7</v>
      </c>
    </row>
    <row r="379" spans="1:7" hidden="1">
      <c r="A379" t="s">
        <v>75</v>
      </c>
      <c r="B379" s="1" t="s">
        <v>3</v>
      </c>
      <c r="C379" s="63">
        <v>2012</v>
      </c>
      <c r="D379" s="63">
        <v>40</v>
      </c>
      <c r="E379" s="63">
        <v>32</v>
      </c>
      <c r="F379" s="63">
        <v>8</v>
      </c>
      <c r="G379" s="63" t="s">
        <v>7</v>
      </c>
    </row>
    <row r="380" spans="1:7" hidden="1">
      <c r="A380" t="s">
        <v>75</v>
      </c>
      <c r="B380" s="1" t="s">
        <v>3</v>
      </c>
      <c r="C380" s="63">
        <v>2013</v>
      </c>
      <c r="D380" s="63">
        <v>23</v>
      </c>
      <c r="E380" s="63">
        <v>22</v>
      </c>
      <c r="F380" s="63">
        <v>1</v>
      </c>
      <c r="G380" s="63" t="s">
        <v>7</v>
      </c>
    </row>
    <row r="381" spans="1:7" hidden="1">
      <c r="A381" t="s">
        <v>75</v>
      </c>
      <c r="B381" s="1" t="s">
        <v>3</v>
      </c>
      <c r="C381" s="63">
        <v>2014</v>
      </c>
      <c r="D381" s="63">
        <v>23</v>
      </c>
      <c r="E381" s="63">
        <v>18</v>
      </c>
      <c r="F381" s="63">
        <v>5</v>
      </c>
      <c r="G381" s="63" t="s">
        <v>7</v>
      </c>
    </row>
    <row r="382" spans="1:7" hidden="1">
      <c r="A382" t="s">
        <v>75</v>
      </c>
      <c r="B382" s="1" t="s">
        <v>3</v>
      </c>
      <c r="C382" s="63">
        <v>2015</v>
      </c>
      <c r="D382" s="63">
        <v>21</v>
      </c>
      <c r="E382" s="63">
        <v>14</v>
      </c>
      <c r="F382" s="63">
        <v>7</v>
      </c>
      <c r="G382" s="63" t="s">
        <v>7</v>
      </c>
    </row>
    <row r="383" spans="1:7" hidden="1">
      <c r="A383" t="s">
        <v>75</v>
      </c>
      <c r="B383" s="1" t="s">
        <v>3</v>
      </c>
      <c r="C383" s="63">
        <v>2016</v>
      </c>
      <c r="D383" s="63">
        <v>81</v>
      </c>
      <c r="E383" s="63">
        <v>71</v>
      </c>
      <c r="F383" s="63">
        <v>10</v>
      </c>
      <c r="G383" s="63" t="s">
        <v>7</v>
      </c>
    </row>
    <row r="384" spans="1:7" hidden="1">
      <c r="A384" t="s">
        <v>75</v>
      </c>
      <c r="B384" s="1" t="s">
        <v>3</v>
      </c>
      <c r="C384" s="63">
        <v>2017</v>
      </c>
      <c r="D384" s="63">
        <v>100</v>
      </c>
      <c r="E384" s="63">
        <v>84</v>
      </c>
      <c r="F384" s="63">
        <v>16</v>
      </c>
      <c r="G384" s="63" t="s">
        <v>7</v>
      </c>
    </row>
    <row r="385" spans="1:7" hidden="1">
      <c r="A385" t="s">
        <v>75</v>
      </c>
      <c r="B385" s="1" t="s">
        <v>3</v>
      </c>
      <c r="C385" s="63">
        <v>2018</v>
      </c>
      <c r="D385" s="63">
        <v>84</v>
      </c>
      <c r="E385" s="63">
        <v>74</v>
      </c>
      <c r="F385" s="63">
        <v>10</v>
      </c>
      <c r="G385" s="63" t="s">
        <v>7</v>
      </c>
    </row>
    <row r="386" spans="1:7">
      <c r="A386" t="s">
        <v>75</v>
      </c>
      <c r="B386" s="1" t="s">
        <v>3</v>
      </c>
      <c r="C386" s="63">
        <v>2019</v>
      </c>
      <c r="D386" s="63">
        <v>99</v>
      </c>
      <c r="E386" s="63">
        <v>83</v>
      </c>
      <c r="F386" s="63">
        <v>16</v>
      </c>
      <c r="G386" s="63" t="s">
        <v>7</v>
      </c>
    </row>
    <row r="387" spans="1:7" hidden="1">
      <c r="A387" t="s">
        <v>75</v>
      </c>
      <c r="B387" s="1" t="s">
        <v>3</v>
      </c>
      <c r="C387" s="63">
        <v>2020</v>
      </c>
      <c r="D387" s="63">
        <v>69</v>
      </c>
      <c r="E387" s="63">
        <v>58</v>
      </c>
      <c r="F387" s="63">
        <v>11</v>
      </c>
      <c r="G387" s="63" t="s">
        <v>7</v>
      </c>
    </row>
    <row r="388" spans="1:7">
      <c r="A388" t="s">
        <v>75</v>
      </c>
      <c r="B388" s="1" t="s">
        <v>3</v>
      </c>
      <c r="C388" s="63">
        <v>2021</v>
      </c>
      <c r="D388" s="63">
        <v>80</v>
      </c>
      <c r="E388" s="63">
        <v>73</v>
      </c>
      <c r="F388" s="63">
        <v>7</v>
      </c>
      <c r="G388" s="63" t="s">
        <v>7</v>
      </c>
    </row>
    <row r="389" spans="1:7" hidden="1">
      <c r="A389" t="s">
        <v>75</v>
      </c>
      <c r="B389" s="1" t="s">
        <v>3</v>
      </c>
      <c r="C389" s="63">
        <v>2022</v>
      </c>
      <c r="D389" s="63">
        <v>107</v>
      </c>
      <c r="E389" s="63">
        <v>90</v>
      </c>
      <c r="F389" s="63">
        <v>17</v>
      </c>
      <c r="G389" s="63" t="s">
        <v>7</v>
      </c>
    </row>
    <row r="390" spans="1:7" hidden="1">
      <c r="A390" t="s">
        <v>75</v>
      </c>
      <c r="B390" s="1" t="s">
        <v>3</v>
      </c>
      <c r="C390" s="63">
        <v>2023</v>
      </c>
      <c r="D390" s="63">
        <v>118</v>
      </c>
      <c r="E390" s="63">
        <v>92</v>
      </c>
      <c r="F390" s="63">
        <v>26</v>
      </c>
      <c r="G390" s="63" t="s">
        <v>7</v>
      </c>
    </row>
    <row r="391" spans="1:7" hidden="1">
      <c r="A391" t="s">
        <v>75</v>
      </c>
      <c r="B391" s="1" t="s">
        <v>3</v>
      </c>
      <c r="C391" s="63">
        <v>2024</v>
      </c>
      <c r="D391" s="63">
        <v>94</v>
      </c>
      <c r="E391" s="63">
        <v>77</v>
      </c>
      <c r="F391" s="63">
        <v>17</v>
      </c>
      <c r="G391" s="63" t="s">
        <v>7</v>
      </c>
    </row>
    <row r="392" spans="1:7" hidden="1">
      <c r="A392" t="s">
        <v>75</v>
      </c>
      <c r="B392" s="1" t="s">
        <v>35</v>
      </c>
      <c r="C392" s="2">
        <v>1990</v>
      </c>
      <c r="D392" s="2">
        <v>15</v>
      </c>
      <c r="E392" s="2">
        <v>15</v>
      </c>
      <c r="F392" s="1" t="s">
        <v>7</v>
      </c>
      <c r="G392" s="1" t="s">
        <v>7</v>
      </c>
    </row>
    <row r="393" spans="1:7" hidden="1">
      <c r="A393" t="s">
        <v>75</v>
      </c>
      <c r="B393" s="1" t="s">
        <v>36</v>
      </c>
      <c r="C393" s="2">
        <v>1991</v>
      </c>
      <c r="D393" s="2">
        <v>11</v>
      </c>
      <c r="E393" s="2">
        <v>11</v>
      </c>
      <c r="F393" s="1" t="s">
        <v>7</v>
      </c>
      <c r="G393" s="1" t="s">
        <v>7</v>
      </c>
    </row>
    <row r="394" spans="1:7" hidden="1">
      <c r="A394" t="s">
        <v>75</v>
      </c>
      <c r="B394" s="1" t="s">
        <v>37</v>
      </c>
      <c r="C394" s="2">
        <v>1992</v>
      </c>
      <c r="D394" s="2">
        <v>14</v>
      </c>
      <c r="E394" s="2">
        <v>12</v>
      </c>
      <c r="F394" s="2">
        <v>2</v>
      </c>
      <c r="G394" s="1" t="s">
        <v>7</v>
      </c>
    </row>
    <row r="395" spans="1:7" hidden="1">
      <c r="A395" t="s">
        <v>75</v>
      </c>
      <c r="B395" s="1" t="s">
        <v>38</v>
      </c>
      <c r="C395" s="2">
        <v>1993</v>
      </c>
      <c r="D395" s="2">
        <v>9</v>
      </c>
      <c r="E395" s="2">
        <v>9</v>
      </c>
      <c r="F395" s="1" t="s">
        <v>7</v>
      </c>
      <c r="G395" s="1" t="s">
        <v>7</v>
      </c>
    </row>
    <row r="396" spans="1:7" hidden="1">
      <c r="A396" t="s">
        <v>75</v>
      </c>
      <c r="B396" s="1" t="s">
        <v>39</v>
      </c>
      <c r="C396" s="2">
        <v>1994</v>
      </c>
      <c r="D396" s="2">
        <v>8</v>
      </c>
      <c r="E396" s="2">
        <v>8</v>
      </c>
      <c r="F396" s="1" t="s">
        <v>7</v>
      </c>
      <c r="G396" s="1" t="s">
        <v>7</v>
      </c>
    </row>
    <row r="397" spans="1:7" hidden="1">
      <c r="A397" t="s">
        <v>75</v>
      </c>
      <c r="B397" s="1" t="s">
        <v>39</v>
      </c>
      <c r="C397" s="2">
        <v>1995</v>
      </c>
      <c r="D397" s="2">
        <v>1</v>
      </c>
      <c r="E397" s="2">
        <v>1</v>
      </c>
      <c r="F397" s="1" t="s">
        <v>7</v>
      </c>
      <c r="G397" s="1" t="s">
        <v>7</v>
      </c>
    </row>
    <row r="398" spans="1:7" hidden="1">
      <c r="A398" t="s">
        <v>75</v>
      </c>
      <c r="B398" s="1" t="s">
        <v>40</v>
      </c>
      <c r="C398" s="2">
        <v>1995</v>
      </c>
      <c r="D398" s="2">
        <v>7</v>
      </c>
      <c r="E398" s="2">
        <v>7</v>
      </c>
      <c r="F398" s="1" t="s">
        <v>7</v>
      </c>
      <c r="G398" s="1" t="s">
        <v>7</v>
      </c>
    </row>
    <row r="399" spans="1:7" hidden="1">
      <c r="A399" t="s">
        <v>75</v>
      </c>
      <c r="B399" s="1" t="s">
        <v>41</v>
      </c>
      <c r="C399" s="2">
        <v>1996</v>
      </c>
      <c r="D399" s="2">
        <v>10</v>
      </c>
      <c r="E399" s="2">
        <v>10</v>
      </c>
      <c r="F399" s="1" t="s">
        <v>7</v>
      </c>
      <c r="G399" s="1" t="s">
        <v>7</v>
      </c>
    </row>
    <row r="400" spans="1:7" hidden="1">
      <c r="A400" t="s">
        <v>75</v>
      </c>
      <c r="B400" s="1" t="s">
        <v>42</v>
      </c>
      <c r="C400" s="2">
        <v>1997</v>
      </c>
      <c r="D400" s="2">
        <v>1</v>
      </c>
      <c r="E400" s="2">
        <v>1</v>
      </c>
      <c r="F400" s="1" t="s">
        <v>7</v>
      </c>
      <c r="G400" s="1" t="s">
        <v>7</v>
      </c>
    </row>
    <row r="401" spans="1:7" hidden="1">
      <c r="A401" t="s">
        <v>75</v>
      </c>
      <c r="B401" s="1" t="s">
        <v>43</v>
      </c>
      <c r="C401" s="2">
        <v>1998</v>
      </c>
      <c r="D401" s="2">
        <v>12</v>
      </c>
      <c r="E401" s="2">
        <v>11</v>
      </c>
      <c r="F401" s="2">
        <v>1</v>
      </c>
      <c r="G401" s="1" t="s">
        <v>7</v>
      </c>
    </row>
    <row r="402" spans="1:7" hidden="1">
      <c r="A402" t="s">
        <v>75</v>
      </c>
      <c r="B402" s="1" t="s">
        <v>44</v>
      </c>
      <c r="C402" s="2">
        <v>1999</v>
      </c>
      <c r="D402" s="2">
        <v>8</v>
      </c>
      <c r="E402" s="2">
        <v>8</v>
      </c>
      <c r="F402" s="1" t="s">
        <v>7</v>
      </c>
      <c r="G402" s="1" t="s">
        <v>7</v>
      </c>
    </row>
    <row r="403" spans="1:7" hidden="1">
      <c r="A403" t="s">
        <v>75</v>
      </c>
      <c r="B403" s="1" t="s">
        <v>45</v>
      </c>
      <c r="C403" s="2">
        <v>2000</v>
      </c>
      <c r="D403" s="2">
        <v>1</v>
      </c>
      <c r="E403" s="2">
        <v>1</v>
      </c>
      <c r="F403" s="1" t="s">
        <v>7</v>
      </c>
      <c r="G403" s="1" t="s">
        <v>7</v>
      </c>
    </row>
    <row r="404" spans="1:7" hidden="1">
      <c r="A404" t="s">
        <v>75</v>
      </c>
      <c r="B404" s="1" t="s">
        <v>46</v>
      </c>
      <c r="C404" s="2">
        <v>2001</v>
      </c>
      <c r="D404" s="2">
        <v>5</v>
      </c>
      <c r="E404" s="2">
        <v>5</v>
      </c>
      <c r="F404" s="1" t="s">
        <v>7</v>
      </c>
      <c r="G404" s="1" t="s">
        <v>7</v>
      </c>
    </row>
    <row r="405" spans="1:7" hidden="1">
      <c r="A405" t="s">
        <v>75</v>
      </c>
      <c r="B405" s="1" t="s">
        <v>47</v>
      </c>
      <c r="C405" s="2">
        <v>2002</v>
      </c>
      <c r="D405" s="2">
        <v>6</v>
      </c>
      <c r="E405" s="2">
        <v>4</v>
      </c>
      <c r="F405" s="2">
        <v>2</v>
      </c>
      <c r="G405" s="1" t="s">
        <v>7</v>
      </c>
    </row>
    <row r="406" spans="1:7" hidden="1">
      <c r="A406" t="s">
        <v>75</v>
      </c>
      <c r="B406" s="1" t="s">
        <v>48</v>
      </c>
      <c r="C406" s="2">
        <v>2003</v>
      </c>
      <c r="D406" s="2">
        <v>5</v>
      </c>
      <c r="E406" s="2">
        <v>3</v>
      </c>
      <c r="F406" s="2">
        <v>2</v>
      </c>
      <c r="G406" s="1" t="s">
        <v>7</v>
      </c>
    </row>
    <row r="407" spans="1:7" hidden="1">
      <c r="A407" t="s">
        <v>75</v>
      </c>
      <c r="B407" s="1" t="s">
        <v>49</v>
      </c>
      <c r="C407" s="2">
        <v>2004</v>
      </c>
      <c r="D407" s="2">
        <v>3</v>
      </c>
      <c r="E407" s="2">
        <v>3</v>
      </c>
      <c r="F407" s="1" t="s">
        <v>7</v>
      </c>
      <c r="G407" s="1" t="s">
        <v>7</v>
      </c>
    </row>
    <row r="408" spans="1:7" hidden="1">
      <c r="A408" t="s">
        <v>75</v>
      </c>
      <c r="B408" s="1" t="s">
        <v>50</v>
      </c>
      <c r="C408" s="2">
        <v>2005</v>
      </c>
      <c r="D408" s="2">
        <v>1</v>
      </c>
      <c r="E408" s="2">
        <v>1</v>
      </c>
      <c r="F408" s="1" t="s">
        <v>7</v>
      </c>
      <c r="G408" s="1" t="s">
        <v>7</v>
      </c>
    </row>
    <row r="409" spans="1:7" hidden="1">
      <c r="A409" t="s">
        <v>75</v>
      </c>
      <c r="B409" s="1" t="s">
        <v>51</v>
      </c>
      <c r="C409" s="2">
        <v>2006</v>
      </c>
      <c r="D409" s="2">
        <v>2</v>
      </c>
      <c r="E409" s="2">
        <v>1</v>
      </c>
      <c r="F409" s="2">
        <v>1</v>
      </c>
      <c r="G409" s="1" t="s">
        <v>7</v>
      </c>
    </row>
    <row r="410" spans="1:7" hidden="1">
      <c r="A410" t="s">
        <v>75</v>
      </c>
      <c r="B410" s="1" t="s">
        <v>52</v>
      </c>
      <c r="C410" s="2">
        <v>2007</v>
      </c>
      <c r="D410" s="2">
        <v>3</v>
      </c>
      <c r="E410" s="2">
        <v>2</v>
      </c>
      <c r="F410" s="2">
        <v>1</v>
      </c>
      <c r="G410" s="1" t="s">
        <v>7</v>
      </c>
    </row>
    <row r="411" spans="1:7" hidden="1">
      <c r="A411" t="s">
        <v>75</v>
      </c>
      <c r="B411" s="1" t="s">
        <v>53</v>
      </c>
      <c r="C411" s="2">
        <v>2008</v>
      </c>
      <c r="D411" s="2">
        <v>4</v>
      </c>
      <c r="E411" s="2">
        <v>4</v>
      </c>
      <c r="F411" s="1" t="s">
        <v>7</v>
      </c>
      <c r="G411" s="1" t="s">
        <v>7</v>
      </c>
    </row>
    <row r="412" spans="1:7" hidden="1">
      <c r="A412" t="s">
        <v>75</v>
      </c>
      <c r="B412" s="1" t="s">
        <v>54</v>
      </c>
      <c r="C412" s="2">
        <v>2009</v>
      </c>
      <c r="D412" s="2">
        <v>5</v>
      </c>
      <c r="E412" s="2">
        <v>4</v>
      </c>
      <c r="F412" s="2">
        <v>1</v>
      </c>
      <c r="G412" s="1" t="s">
        <v>7</v>
      </c>
    </row>
    <row r="413" spans="1:7" hidden="1">
      <c r="A413" t="s">
        <v>75</v>
      </c>
      <c r="B413" s="1" t="s">
        <v>55</v>
      </c>
      <c r="C413" s="2">
        <v>2010</v>
      </c>
      <c r="D413" s="2">
        <v>14</v>
      </c>
      <c r="E413" s="2">
        <v>14</v>
      </c>
      <c r="F413" s="1" t="s">
        <v>7</v>
      </c>
      <c r="G413" s="1" t="s">
        <v>7</v>
      </c>
    </row>
    <row r="414" spans="1:7" hidden="1">
      <c r="A414" t="s">
        <v>75</v>
      </c>
      <c r="B414" s="1" t="s">
        <v>56</v>
      </c>
      <c r="C414" s="2">
        <v>2011</v>
      </c>
      <c r="D414" s="2">
        <v>14</v>
      </c>
      <c r="E414" s="2">
        <v>14</v>
      </c>
      <c r="F414" s="1" t="s">
        <v>7</v>
      </c>
      <c r="G414" s="1" t="s">
        <v>7</v>
      </c>
    </row>
    <row r="415" spans="1:7" hidden="1">
      <c r="A415" t="s">
        <v>75</v>
      </c>
      <c r="B415" s="1" t="s">
        <v>57</v>
      </c>
      <c r="C415" s="2">
        <v>2012</v>
      </c>
      <c r="D415" s="2">
        <v>40</v>
      </c>
      <c r="E415" s="2">
        <v>32</v>
      </c>
      <c r="F415" s="2">
        <v>8</v>
      </c>
      <c r="G415" s="1" t="s">
        <v>7</v>
      </c>
    </row>
    <row r="416" spans="1:7" hidden="1">
      <c r="A416" t="s">
        <v>75</v>
      </c>
      <c r="B416" s="1" t="s">
        <v>58</v>
      </c>
      <c r="C416" s="2">
        <v>2013</v>
      </c>
      <c r="D416" s="2">
        <v>23</v>
      </c>
      <c r="E416" s="2">
        <v>22</v>
      </c>
      <c r="F416" s="2">
        <v>1</v>
      </c>
      <c r="G416" s="1" t="s">
        <v>7</v>
      </c>
    </row>
    <row r="417" spans="1:7" hidden="1">
      <c r="A417" t="s">
        <v>75</v>
      </c>
      <c r="B417" s="1" t="s">
        <v>58</v>
      </c>
      <c r="C417" s="2">
        <v>2014</v>
      </c>
      <c r="D417" s="2">
        <v>2</v>
      </c>
      <c r="E417" s="2">
        <v>1</v>
      </c>
      <c r="F417" s="2">
        <v>1</v>
      </c>
      <c r="G417" s="1" t="s">
        <v>7</v>
      </c>
    </row>
    <row r="418" spans="1:7" hidden="1">
      <c r="A418" t="s">
        <v>75</v>
      </c>
      <c r="B418" s="1" t="s">
        <v>59</v>
      </c>
      <c r="C418" s="2">
        <v>2014</v>
      </c>
      <c r="D418" s="2">
        <v>21</v>
      </c>
      <c r="E418" s="2">
        <v>17</v>
      </c>
      <c r="F418" s="2">
        <v>4</v>
      </c>
      <c r="G418" s="1" t="s">
        <v>7</v>
      </c>
    </row>
    <row r="419" spans="1:7" hidden="1">
      <c r="A419" t="s">
        <v>75</v>
      </c>
      <c r="B419" s="1" t="s">
        <v>60</v>
      </c>
      <c r="C419" s="2">
        <v>2015</v>
      </c>
      <c r="D419" s="2">
        <v>21</v>
      </c>
      <c r="E419" s="2">
        <v>14</v>
      </c>
      <c r="F419" s="2">
        <v>7</v>
      </c>
      <c r="G419" s="1" t="s">
        <v>7</v>
      </c>
    </row>
    <row r="420" spans="1:7" hidden="1">
      <c r="A420" t="s">
        <v>75</v>
      </c>
      <c r="B420" s="1" t="s">
        <v>61</v>
      </c>
      <c r="C420" s="2">
        <v>2016</v>
      </c>
      <c r="D420" s="2">
        <v>81</v>
      </c>
      <c r="E420" s="2">
        <v>71</v>
      </c>
      <c r="F420" s="2">
        <v>10</v>
      </c>
      <c r="G420" s="1" t="s">
        <v>7</v>
      </c>
    </row>
    <row r="421" spans="1:7" hidden="1">
      <c r="A421" t="s">
        <v>75</v>
      </c>
      <c r="B421" s="1" t="s">
        <v>61</v>
      </c>
      <c r="C421" s="2">
        <v>2017</v>
      </c>
      <c r="D421" s="2">
        <v>4</v>
      </c>
      <c r="E421" s="2">
        <v>3</v>
      </c>
      <c r="F421" s="2">
        <v>1</v>
      </c>
      <c r="G421" s="1" t="s">
        <v>7</v>
      </c>
    </row>
    <row r="422" spans="1:7" hidden="1">
      <c r="A422" t="s">
        <v>75</v>
      </c>
      <c r="B422" s="1" t="s">
        <v>62</v>
      </c>
      <c r="C422" s="2">
        <v>2017</v>
      </c>
      <c r="D422" s="2">
        <v>96</v>
      </c>
      <c r="E422" s="2">
        <v>81</v>
      </c>
      <c r="F422" s="2">
        <v>15</v>
      </c>
      <c r="G422" s="1" t="s">
        <v>7</v>
      </c>
    </row>
    <row r="423" spans="1:7" hidden="1">
      <c r="A423" t="s">
        <v>75</v>
      </c>
      <c r="B423" s="1" t="s">
        <v>63</v>
      </c>
      <c r="C423" s="2">
        <v>2018</v>
      </c>
      <c r="D423" s="2">
        <v>84</v>
      </c>
      <c r="E423" s="2">
        <v>74</v>
      </c>
      <c r="F423" s="2">
        <v>10</v>
      </c>
      <c r="G423" s="1" t="s">
        <v>7</v>
      </c>
    </row>
    <row r="424" spans="1:7" hidden="1">
      <c r="A424" t="s">
        <v>75</v>
      </c>
      <c r="B424" s="1" t="s">
        <v>63</v>
      </c>
      <c r="C424" s="2">
        <v>2019</v>
      </c>
      <c r="D424" s="2">
        <v>9</v>
      </c>
      <c r="E424" s="2">
        <v>7</v>
      </c>
      <c r="F424" s="2">
        <v>2</v>
      </c>
      <c r="G424" s="1" t="s">
        <v>7</v>
      </c>
    </row>
    <row r="425" spans="1:7" hidden="1">
      <c r="A425" t="s">
        <v>75</v>
      </c>
      <c r="B425" s="1" t="s">
        <v>63</v>
      </c>
      <c r="C425" s="2">
        <v>2020</v>
      </c>
      <c r="D425" s="2">
        <v>1</v>
      </c>
      <c r="E425" s="1" t="s">
        <v>7</v>
      </c>
      <c r="F425" s="2">
        <v>1</v>
      </c>
      <c r="G425" s="1" t="s">
        <v>7</v>
      </c>
    </row>
    <row r="426" spans="1:7" hidden="1">
      <c r="A426" t="s">
        <v>75</v>
      </c>
      <c r="B426" s="1" t="s">
        <v>64</v>
      </c>
      <c r="C426" s="2">
        <v>2019</v>
      </c>
      <c r="D426" s="2">
        <v>90</v>
      </c>
      <c r="E426" s="2">
        <v>76</v>
      </c>
      <c r="F426" s="2">
        <v>14</v>
      </c>
      <c r="G426" s="1" t="s">
        <v>7</v>
      </c>
    </row>
    <row r="427" spans="1:7" hidden="1">
      <c r="A427" t="s">
        <v>75</v>
      </c>
      <c r="B427" s="1" t="s">
        <v>64</v>
      </c>
      <c r="C427" s="2">
        <v>2020</v>
      </c>
      <c r="D427" s="2">
        <v>3</v>
      </c>
      <c r="E427" s="2">
        <v>3</v>
      </c>
      <c r="F427" s="1" t="s">
        <v>7</v>
      </c>
      <c r="G427" s="1" t="s">
        <v>7</v>
      </c>
    </row>
    <row r="428" spans="1:7" hidden="1">
      <c r="A428" t="s">
        <v>75</v>
      </c>
      <c r="B428" s="1" t="s">
        <v>65</v>
      </c>
      <c r="C428" s="2">
        <v>2020</v>
      </c>
      <c r="D428" s="2">
        <v>64</v>
      </c>
      <c r="E428" s="2">
        <v>54</v>
      </c>
      <c r="F428" s="2">
        <v>10</v>
      </c>
      <c r="G428" s="1" t="s">
        <v>7</v>
      </c>
    </row>
    <row r="429" spans="1:7" hidden="1">
      <c r="A429" t="s">
        <v>75</v>
      </c>
      <c r="B429" s="1" t="s">
        <v>65</v>
      </c>
      <c r="C429" s="2">
        <v>2021</v>
      </c>
      <c r="D429" s="2">
        <v>2</v>
      </c>
      <c r="E429" s="2">
        <v>1</v>
      </c>
      <c r="F429" s="2">
        <v>1</v>
      </c>
      <c r="G429" s="1" t="s">
        <v>7</v>
      </c>
    </row>
    <row r="430" spans="1:7" hidden="1">
      <c r="A430" t="s">
        <v>75</v>
      </c>
      <c r="B430" s="1" t="s">
        <v>65</v>
      </c>
      <c r="C430" s="2">
        <v>2022</v>
      </c>
      <c r="D430" s="2">
        <v>1</v>
      </c>
      <c r="E430" s="2">
        <v>1</v>
      </c>
      <c r="F430" s="1" t="s">
        <v>7</v>
      </c>
      <c r="G430" s="1" t="s">
        <v>7</v>
      </c>
    </row>
    <row r="431" spans="1:7" hidden="1">
      <c r="A431" t="s">
        <v>75</v>
      </c>
      <c r="B431" s="1" t="s">
        <v>66</v>
      </c>
      <c r="C431" s="2">
        <v>2021</v>
      </c>
      <c r="D431" s="2">
        <v>78</v>
      </c>
      <c r="E431" s="2">
        <v>72</v>
      </c>
      <c r="F431" s="2">
        <v>6</v>
      </c>
      <c r="G431" s="1" t="s">
        <v>7</v>
      </c>
    </row>
    <row r="432" spans="1:7" hidden="1">
      <c r="A432" t="s">
        <v>75</v>
      </c>
      <c r="B432" s="1" t="s">
        <v>66</v>
      </c>
      <c r="C432" s="2">
        <v>2022</v>
      </c>
      <c r="D432" s="2">
        <v>3</v>
      </c>
      <c r="E432" s="2">
        <v>3</v>
      </c>
      <c r="F432" s="1" t="s">
        <v>7</v>
      </c>
      <c r="G432" s="1" t="s">
        <v>7</v>
      </c>
    </row>
    <row r="433" spans="1:7" hidden="1">
      <c r="A433" t="s">
        <v>75</v>
      </c>
      <c r="B433" s="1" t="s">
        <v>67</v>
      </c>
      <c r="C433" s="2">
        <v>2022</v>
      </c>
      <c r="D433" s="2">
        <v>102</v>
      </c>
      <c r="E433" s="2">
        <v>86</v>
      </c>
      <c r="F433" s="2">
        <v>16</v>
      </c>
      <c r="G433" s="1" t="s">
        <v>7</v>
      </c>
    </row>
    <row r="434" spans="1:7" hidden="1">
      <c r="A434" t="s">
        <v>75</v>
      </c>
      <c r="B434" s="1" t="s">
        <v>67</v>
      </c>
      <c r="C434" s="2">
        <v>2023</v>
      </c>
      <c r="D434" s="2">
        <v>2</v>
      </c>
      <c r="E434" s="2">
        <v>2</v>
      </c>
      <c r="F434" s="1" t="s">
        <v>7</v>
      </c>
      <c r="G434" s="1" t="s">
        <v>7</v>
      </c>
    </row>
    <row r="435" spans="1:7" hidden="1">
      <c r="A435" t="s">
        <v>75</v>
      </c>
      <c r="B435" s="1" t="s">
        <v>67</v>
      </c>
      <c r="C435" s="2">
        <v>2024</v>
      </c>
      <c r="D435" s="2">
        <v>1</v>
      </c>
      <c r="E435" s="1" t="s">
        <v>7</v>
      </c>
      <c r="F435" s="2">
        <v>1</v>
      </c>
      <c r="G435" s="1" t="s">
        <v>7</v>
      </c>
    </row>
    <row r="436" spans="1:7" hidden="1">
      <c r="A436" t="s">
        <v>75</v>
      </c>
      <c r="B436" s="1" t="s">
        <v>68</v>
      </c>
      <c r="C436" s="2">
        <v>2023</v>
      </c>
      <c r="D436" s="2">
        <v>114</v>
      </c>
      <c r="E436" s="2">
        <v>88</v>
      </c>
      <c r="F436" s="2">
        <v>26</v>
      </c>
      <c r="G436" s="1" t="s">
        <v>7</v>
      </c>
    </row>
    <row r="437" spans="1:7" hidden="1">
      <c r="A437" t="s">
        <v>75</v>
      </c>
      <c r="B437" s="1" t="s">
        <v>68</v>
      </c>
      <c r="C437" s="2">
        <v>2024</v>
      </c>
      <c r="D437" s="2">
        <v>4</v>
      </c>
      <c r="E437" s="2">
        <v>4</v>
      </c>
      <c r="F437" s="1" t="s">
        <v>7</v>
      </c>
      <c r="G437" s="1" t="s">
        <v>7</v>
      </c>
    </row>
    <row r="438" spans="1:7" hidden="1">
      <c r="A438" t="s">
        <v>75</v>
      </c>
      <c r="B438" s="1" t="s">
        <v>69</v>
      </c>
      <c r="C438" s="2">
        <v>2024</v>
      </c>
      <c r="D438" s="2">
        <v>86</v>
      </c>
      <c r="E438" s="2">
        <v>70</v>
      </c>
      <c r="F438" s="2">
        <v>16</v>
      </c>
      <c r="G438" s="1" t="s">
        <v>7</v>
      </c>
    </row>
    <row r="439" spans="1:7" hidden="1">
      <c r="A439" t="s">
        <v>75</v>
      </c>
      <c r="B439" s="1" t="s">
        <v>6</v>
      </c>
      <c r="C439" s="2">
        <v>1990</v>
      </c>
      <c r="D439" s="2">
        <v>1</v>
      </c>
      <c r="E439" s="2">
        <v>1</v>
      </c>
      <c r="F439" s="1" t="s">
        <v>7</v>
      </c>
      <c r="G439" s="1" t="s">
        <v>7</v>
      </c>
    </row>
    <row r="440" spans="1:7" hidden="1">
      <c r="A440" t="s">
        <v>75</v>
      </c>
      <c r="B440" s="1" t="s">
        <v>6</v>
      </c>
      <c r="C440" s="2">
        <v>1991</v>
      </c>
      <c r="D440" s="2">
        <v>4</v>
      </c>
      <c r="E440" s="2">
        <v>4</v>
      </c>
      <c r="F440" s="1" t="s">
        <v>7</v>
      </c>
      <c r="G440" s="1" t="s">
        <v>7</v>
      </c>
    </row>
    <row r="441" spans="1:7" hidden="1">
      <c r="A441" t="s">
        <v>75</v>
      </c>
      <c r="B441" s="1" t="s">
        <v>6</v>
      </c>
      <c r="C441" s="2">
        <v>1992</v>
      </c>
      <c r="D441" s="2">
        <v>9</v>
      </c>
      <c r="E441" s="2">
        <v>9</v>
      </c>
      <c r="F441" s="1" t="s">
        <v>7</v>
      </c>
      <c r="G441" s="1" t="s">
        <v>7</v>
      </c>
    </row>
    <row r="442" spans="1:7" hidden="1">
      <c r="A442" t="s">
        <v>75</v>
      </c>
      <c r="B442" s="1" t="s">
        <v>6</v>
      </c>
      <c r="C442" s="2">
        <v>1993</v>
      </c>
      <c r="D442" s="2">
        <v>2</v>
      </c>
      <c r="E442" s="2">
        <v>2</v>
      </c>
      <c r="F442" s="1" t="s">
        <v>7</v>
      </c>
      <c r="G442" s="1" t="s">
        <v>7</v>
      </c>
    </row>
    <row r="443" spans="1:7" hidden="1">
      <c r="A443" t="s">
        <v>75</v>
      </c>
      <c r="B443" s="1" t="s">
        <v>6</v>
      </c>
      <c r="C443" s="2">
        <v>2020</v>
      </c>
      <c r="D443" s="2">
        <v>1</v>
      </c>
      <c r="E443" s="2">
        <v>1</v>
      </c>
      <c r="F443" s="1" t="s">
        <v>7</v>
      </c>
      <c r="G443" s="1" t="s">
        <v>7</v>
      </c>
    </row>
    <row r="444" spans="1:7" hidden="1">
      <c r="A444" t="s">
        <v>75</v>
      </c>
      <c r="B444" s="1" t="s">
        <v>6</v>
      </c>
      <c r="C444" s="2">
        <v>2022</v>
      </c>
      <c r="D444" s="2">
        <v>1</v>
      </c>
      <c r="E444" s="1" t="s">
        <v>7</v>
      </c>
      <c r="F444" s="2">
        <v>1</v>
      </c>
      <c r="G444" s="1" t="s">
        <v>7</v>
      </c>
    </row>
    <row r="445" spans="1:7" hidden="1">
      <c r="A445" t="s">
        <v>75</v>
      </c>
      <c r="B445" s="1" t="s">
        <v>6</v>
      </c>
      <c r="C445" s="2">
        <v>2023</v>
      </c>
      <c r="D445" s="2">
        <v>2</v>
      </c>
      <c r="E445" s="2">
        <v>2</v>
      </c>
      <c r="F445" s="1" t="s">
        <v>7</v>
      </c>
      <c r="G445" s="1" t="s">
        <v>7</v>
      </c>
    </row>
    <row r="446" spans="1:7" hidden="1">
      <c r="A446" t="s">
        <v>75</v>
      </c>
      <c r="B446" s="1" t="s">
        <v>6</v>
      </c>
      <c r="C446" s="2">
        <v>2024</v>
      </c>
      <c r="D446" s="2">
        <v>3</v>
      </c>
      <c r="E446" s="2">
        <v>3</v>
      </c>
      <c r="F446" s="1" t="s">
        <v>7</v>
      </c>
      <c r="G446" s="1" t="s">
        <v>7</v>
      </c>
    </row>
    <row r="447" spans="1:7" hidden="1">
      <c r="A447" t="s">
        <v>76</v>
      </c>
      <c r="B447" s="1" t="s">
        <v>3</v>
      </c>
      <c r="C447" s="63">
        <v>1990</v>
      </c>
      <c r="D447" s="63">
        <v>5</v>
      </c>
      <c r="E447" s="63">
        <v>5</v>
      </c>
      <c r="F447" s="63" t="s">
        <v>7</v>
      </c>
      <c r="G447" s="63" t="s">
        <v>7</v>
      </c>
    </row>
    <row r="448" spans="1:7" hidden="1">
      <c r="A448" t="s">
        <v>76</v>
      </c>
      <c r="B448" s="1" t="s">
        <v>3</v>
      </c>
      <c r="C448" s="63">
        <v>1991</v>
      </c>
      <c r="D448" s="63">
        <v>15</v>
      </c>
      <c r="E448" s="63">
        <v>14</v>
      </c>
      <c r="F448" s="63">
        <v>1</v>
      </c>
      <c r="G448" s="63" t="s">
        <v>7</v>
      </c>
    </row>
    <row r="449" spans="1:7" hidden="1">
      <c r="A449" t="s">
        <v>76</v>
      </c>
      <c r="B449" s="1" t="s">
        <v>3</v>
      </c>
      <c r="C449" s="63">
        <v>1992</v>
      </c>
      <c r="D449" s="63">
        <v>15</v>
      </c>
      <c r="E449" s="63">
        <v>15</v>
      </c>
      <c r="F449" s="63" t="s">
        <v>7</v>
      </c>
      <c r="G449" s="63" t="s">
        <v>7</v>
      </c>
    </row>
    <row r="450" spans="1:7" hidden="1">
      <c r="A450" t="s">
        <v>76</v>
      </c>
      <c r="B450" s="1" t="s">
        <v>3</v>
      </c>
      <c r="C450" s="63">
        <v>1993</v>
      </c>
      <c r="D450" s="63">
        <v>8</v>
      </c>
      <c r="E450" s="63">
        <v>7</v>
      </c>
      <c r="F450" s="63">
        <v>1</v>
      </c>
      <c r="G450" s="63" t="s">
        <v>7</v>
      </c>
    </row>
    <row r="451" spans="1:7" hidden="1">
      <c r="A451" t="s">
        <v>76</v>
      </c>
      <c r="B451" s="1" t="s">
        <v>3</v>
      </c>
      <c r="C451" s="63">
        <v>1994</v>
      </c>
      <c r="D451" s="63">
        <v>10</v>
      </c>
      <c r="E451" s="63">
        <v>9</v>
      </c>
      <c r="F451" s="63">
        <v>1</v>
      </c>
      <c r="G451" s="63" t="s">
        <v>7</v>
      </c>
    </row>
    <row r="452" spans="1:7" hidden="1">
      <c r="A452" t="s">
        <v>76</v>
      </c>
      <c r="B452" s="1" t="s">
        <v>3</v>
      </c>
      <c r="C452" s="63">
        <v>1995</v>
      </c>
      <c r="D452" s="63">
        <v>7</v>
      </c>
      <c r="E452" s="63">
        <v>7</v>
      </c>
      <c r="F452" s="63" t="s">
        <v>7</v>
      </c>
      <c r="G452" s="63" t="s">
        <v>7</v>
      </c>
    </row>
    <row r="453" spans="1:7" hidden="1">
      <c r="A453" t="s">
        <v>76</v>
      </c>
      <c r="B453" s="1" t="s">
        <v>3</v>
      </c>
      <c r="C453" s="63">
        <v>1996</v>
      </c>
      <c r="D453" s="63">
        <v>3</v>
      </c>
      <c r="E453" s="63">
        <v>3</v>
      </c>
      <c r="F453" s="63" t="s">
        <v>7</v>
      </c>
      <c r="G453" s="63" t="s">
        <v>7</v>
      </c>
    </row>
    <row r="454" spans="1:7" hidden="1">
      <c r="A454" t="s">
        <v>76</v>
      </c>
      <c r="B454" s="1" t="s">
        <v>3</v>
      </c>
      <c r="C454" s="63">
        <v>1997</v>
      </c>
      <c r="D454" s="63">
        <v>10</v>
      </c>
      <c r="E454" s="63">
        <v>10</v>
      </c>
      <c r="F454" s="63" t="s">
        <v>7</v>
      </c>
      <c r="G454" s="63" t="s">
        <v>7</v>
      </c>
    </row>
    <row r="455" spans="1:7" hidden="1">
      <c r="A455" t="s">
        <v>76</v>
      </c>
      <c r="B455" s="1" t="s">
        <v>3</v>
      </c>
      <c r="C455" s="63">
        <v>1998</v>
      </c>
      <c r="D455" s="63">
        <v>10</v>
      </c>
      <c r="E455" s="63">
        <v>8</v>
      </c>
      <c r="F455" s="63">
        <v>1</v>
      </c>
      <c r="G455" s="63" t="s">
        <v>122</v>
      </c>
    </row>
    <row r="456" spans="1:7" hidden="1">
      <c r="A456" t="s">
        <v>76</v>
      </c>
      <c r="B456" s="1" t="s">
        <v>3</v>
      </c>
      <c r="C456" s="63">
        <v>1999</v>
      </c>
      <c r="D456" s="63">
        <v>5</v>
      </c>
      <c r="E456" s="63">
        <v>4</v>
      </c>
      <c r="F456" s="63">
        <v>1</v>
      </c>
      <c r="G456" s="63" t="s">
        <v>7</v>
      </c>
    </row>
    <row r="457" spans="1:7" hidden="1">
      <c r="A457" t="s">
        <v>76</v>
      </c>
      <c r="B457" s="1" t="s">
        <v>3</v>
      </c>
      <c r="C457" s="63">
        <v>2000</v>
      </c>
      <c r="D457" s="63">
        <v>4</v>
      </c>
      <c r="E457" s="63">
        <v>4</v>
      </c>
      <c r="F457" s="63" t="s">
        <v>7</v>
      </c>
      <c r="G457" s="63" t="s">
        <v>7</v>
      </c>
    </row>
    <row r="458" spans="1:7" hidden="1">
      <c r="A458" t="s">
        <v>76</v>
      </c>
      <c r="B458" s="1" t="s">
        <v>3</v>
      </c>
      <c r="C458" s="63">
        <v>2001</v>
      </c>
      <c r="D458" s="63">
        <v>6</v>
      </c>
      <c r="E458" s="63">
        <v>6</v>
      </c>
      <c r="F458" s="63" t="s">
        <v>7</v>
      </c>
      <c r="G458" s="63" t="s">
        <v>7</v>
      </c>
    </row>
    <row r="459" spans="1:7" hidden="1">
      <c r="A459" t="s">
        <v>76</v>
      </c>
      <c r="B459" s="1" t="s">
        <v>3</v>
      </c>
      <c r="C459" s="63">
        <v>2002</v>
      </c>
      <c r="D459" s="63">
        <v>5</v>
      </c>
      <c r="E459" s="63">
        <v>5</v>
      </c>
      <c r="F459" s="63" t="s">
        <v>7</v>
      </c>
      <c r="G459" s="63" t="s">
        <v>7</v>
      </c>
    </row>
    <row r="460" spans="1:7" hidden="1">
      <c r="A460" t="s">
        <v>76</v>
      </c>
      <c r="B460" s="1" t="s">
        <v>3</v>
      </c>
      <c r="C460" s="63">
        <v>2003</v>
      </c>
      <c r="D460" s="63">
        <v>7</v>
      </c>
      <c r="E460" s="63">
        <v>7</v>
      </c>
      <c r="F460" s="63" t="s">
        <v>7</v>
      </c>
      <c r="G460" s="63" t="s">
        <v>7</v>
      </c>
    </row>
    <row r="461" spans="1:7" hidden="1">
      <c r="A461" t="s">
        <v>76</v>
      </c>
      <c r="B461" s="1" t="s">
        <v>3</v>
      </c>
      <c r="C461" s="63">
        <v>2004</v>
      </c>
      <c r="D461" s="63">
        <v>6</v>
      </c>
      <c r="E461" s="63">
        <v>3</v>
      </c>
      <c r="F461" s="63">
        <v>3</v>
      </c>
      <c r="G461" s="63" t="s">
        <v>7</v>
      </c>
    </row>
    <row r="462" spans="1:7" hidden="1">
      <c r="A462" t="s">
        <v>76</v>
      </c>
      <c r="B462" s="1" t="s">
        <v>3</v>
      </c>
      <c r="C462" s="63">
        <v>2005</v>
      </c>
      <c r="D462" s="63">
        <v>5</v>
      </c>
      <c r="E462" s="63">
        <v>4</v>
      </c>
      <c r="F462" s="63">
        <v>1</v>
      </c>
      <c r="G462" s="63" t="s">
        <v>7</v>
      </c>
    </row>
    <row r="463" spans="1:7" hidden="1">
      <c r="A463" t="s">
        <v>76</v>
      </c>
      <c r="B463" s="1" t="s">
        <v>3</v>
      </c>
      <c r="C463" s="63">
        <v>2006</v>
      </c>
      <c r="D463" s="63">
        <v>8</v>
      </c>
      <c r="E463" s="63">
        <v>7</v>
      </c>
      <c r="F463" s="63">
        <v>1</v>
      </c>
      <c r="G463" s="63" t="s">
        <v>7</v>
      </c>
    </row>
    <row r="464" spans="1:7" hidden="1">
      <c r="A464" t="s">
        <v>76</v>
      </c>
      <c r="B464" s="1" t="s">
        <v>3</v>
      </c>
      <c r="C464" s="63">
        <v>2007</v>
      </c>
      <c r="D464" s="63">
        <v>7</v>
      </c>
      <c r="E464" s="63">
        <v>7</v>
      </c>
      <c r="F464" s="63" t="s">
        <v>7</v>
      </c>
      <c r="G464" s="63" t="s">
        <v>7</v>
      </c>
    </row>
    <row r="465" spans="1:7" hidden="1">
      <c r="A465" t="s">
        <v>76</v>
      </c>
      <c r="B465" s="1" t="s">
        <v>3</v>
      </c>
      <c r="C465" s="63">
        <v>2008</v>
      </c>
      <c r="D465" s="63">
        <v>8</v>
      </c>
      <c r="E465" s="63">
        <v>7</v>
      </c>
      <c r="F465" s="63">
        <v>1</v>
      </c>
      <c r="G465" s="63" t="s">
        <v>7</v>
      </c>
    </row>
    <row r="466" spans="1:7" hidden="1">
      <c r="A466" t="s">
        <v>76</v>
      </c>
      <c r="B466" s="1" t="s">
        <v>3</v>
      </c>
      <c r="C466" s="63">
        <v>2009</v>
      </c>
      <c r="D466" s="63">
        <v>10</v>
      </c>
      <c r="E466" s="63">
        <v>9</v>
      </c>
      <c r="F466" s="63">
        <v>1</v>
      </c>
      <c r="G466" s="63" t="s">
        <v>7</v>
      </c>
    </row>
    <row r="467" spans="1:7">
      <c r="A467" t="s">
        <v>76</v>
      </c>
      <c r="B467" s="1" t="s">
        <v>3</v>
      </c>
      <c r="C467" s="63">
        <v>2010</v>
      </c>
      <c r="D467" s="63">
        <v>16</v>
      </c>
      <c r="E467" s="63">
        <v>15</v>
      </c>
      <c r="F467" s="63">
        <v>1</v>
      </c>
      <c r="G467" s="63" t="s">
        <v>7</v>
      </c>
    </row>
    <row r="468" spans="1:7" hidden="1">
      <c r="A468" t="s">
        <v>76</v>
      </c>
      <c r="B468" s="1" t="s">
        <v>3</v>
      </c>
      <c r="C468" s="63">
        <v>2011</v>
      </c>
      <c r="D468" s="63">
        <v>20</v>
      </c>
      <c r="E468" s="63">
        <v>18</v>
      </c>
      <c r="F468" s="63">
        <v>2</v>
      </c>
      <c r="G468" s="63" t="s">
        <v>7</v>
      </c>
    </row>
    <row r="469" spans="1:7" hidden="1">
      <c r="A469" t="s">
        <v>76</v>
      </c>
      <c r="B469" s="1" t="s">
        <v>3</v>
      </c>
      <c r="C469" s="63">
        <v>2012</v>
      </c>
      <c r="D469" s="63">
        <v>43</v>
      </c>
      <c r="E469" s="63">
        <v>41</v>
      </c>
      <c r="F469" s="63">
        <v>2</v>
      </c>
      <c r="G469" s="63" t="s">
        <v>7</v>
      </c>
    </row>
    <row r="470" spans="1:7" hidden="1">
      <c r="A470" t="s">
        <v>76</v>
      </c>
      <c r="B470" s="1" t="s">
        <v>3</v>
      </c>
      <c r="C470" s="63">
        <v>2013</v>
      </c>
      <c r="D470" s="63">
        <v>38</v>
      </c>
      <c r="E470" s="63">
        <v>34</v>
      </c>
      <c r="F470" s="63">
        <v>4</v>
      </c>
      <c r="G470" s="63" t="s">
        <v>7</v>
      </c>
    </row>
    <row r="471" spans="1:7" hidden="1">
      <c r="A471" t="s">
        <v>76</v>
      </c>
      <c r="B471" s="1" t="s">
        <v>3</v>
      </c>
      <c r="C471" s="63">
        <v>2014</v>
      </c>
      <c r="D471" s="63">
        <v>15</v>
      </c>
      <c r="E471" s="63">
        <v>13</v>
      </c>
      <c r="F471" s="63">
        <v>2</v>
      </c>
      <c r="G471" s="63" t="s">
        <v>7</v>
      </c>
    </row>
    <row r="472" spans="1:7" hidden="1">
      <c r="A472" t="s">
        <v>76</v>
      </c>
      <c r="B472" s="1" t="s">
        <v>3</v>
      </c>
      <c r="C472" s="63">
        <v>2015</v>
      </c>
      <c r="D472" s="63">
        <v>37</v>
      </c>
      <c r="E472" s="63">
        <v>31</v>
      </c>
      <c r="F472" s="63">
        <v>6</v>
      </c>
      <c r="G472" s="63" t="s">
        <v>7</v>
      </c>
    </row>
    <row r="473" spans="1:7" hidden="1">
      <c r="A473" t="s">
        <v>76</v>
      </c>
      <c r="B473" s="1" t="s">
        <v>3</v>
      </c>
      <c r="C473" s="63">
        <v>2016</v>
      </c>
      <c r="D473" s="63">
        <v>106</v>
      </c>
      <c r="E473" s="63">
        <v>93</v>
      </c>
      <c r="F473" s="63">
        <v>13</v>
      </c>
      <c r="G473" s="63" t="s">
        <v>7</v>
      </c>
    </row>
    <row r="474" spans="1:7" hidden="1">
      <c r="A474" t="s">
        <v>76</v>
      </c>
      <c r="B474" s="1" t="s">
        <v>3</v>
      </c>
      <c r="C474" s="63">
        <v>2017</v>
      </c>
      <c r="D474" s="63">
        <v>115</v>
      </c>
      <c r="E474" s="63">
        <v>104</v>
      </c>
      <c r="F474" s="63">
        <v>11</v>
      </c>
      <c r="G474" s="63" t="s">
        <v>7</v>
      </c>
    </row>
    <row r="475" spans="1:7" hidden="1">
      <c r="A475" t="s">
        <v>76</v>
      </c>
      <c r="B475" s="1" t="s">
        <v>3</v>
      </c>
      <c r="C475" s="63">
        <v>2018</v>
      </c>
      <c r="D475" s="63">
        <v>107</v>
      </c>
      <c r="E475" s="63">
        <v>96</v>
      </c>
      <c r="F475" s="63">
        <v>11</v>
      </c>
      <c r="G475" s="63" t="s">
        <v>7</v>
      </c>
    </row>
    <row r="476" spans="1:7">
      <c r="A476" t="s">
        <v>76</v>
      </c>
      <c r="B476" s="1" t="s">
        <v>3</v>
      </c>
      <c r="C476" s="63">
        <v>2019</v>
      </c>
      <c r="D476" s="63">
        <v>123</v>
      </c>
      <c r="E476" s="63">
        <v>102</v>
      </c>
      <c r="F476" s="63">
        <v>21</v>
      </c>
      <c r="G476" s="63" t="s">
        <v>7</v>
      </c>
    </row>
    <row r="477" spans="1:7" hidden="1">
      <c r="A477" t="s">
        <v>76</v>
      </c>
      <c r="B477" s="1" t="s">
        <v>3</v>
      </c>
      <c r="C477" s="63">
        <v>2020</v>
      </c>
      <c r="D477" s="63">
        <v>100</v>
      </c>
      <c r="E477" s="63">
        <v>87</v>
      </c>
      <c r="F477" s="63">
        <v>13</v>
      </c>
      <c r="G477" s="63" t="s">
        <v>7</v>
      </c>
    </row>
    <row r="478" spans="1:7">
      <c r="A478" t="s">
        <v>76</v>
      </c>
      <c r="B478" s="1" t="s">
        <v>3</v>
      </c>
      <c r="C478" s="63">
        <v>2021</v>
      </c>
      <c r="D478" s="63">
        <v>91</v>
      </c>
      <c r="E478" s="63">
        <v>83</v>
      </c>
      <c r="F478" s="63">
        <v>8</v>
      </c>
      <c r="G478" s="63" t="s">
        <v>7</v>
      </c>
    </row>
    <row r="479" spans="1:7" hidden="1">
      <c r="A479" t="s">
        <v>76</v>
      </c>
      <c r="B479" s="1" t="s">
        <v>3</v>
      </c>
      <c r="C479" s="63">
        <v>2022</v>
      </c>
      <c r="D479" s="63">
        <v>148</v>
      </c>
      <c r="E479" s="63">
        <v>130</v>
      </c>
      <c r="F479" s="63">
        <v>18</v>
      </c>
      <c r="G479" s="63" t="s">
        <v>7</v>
      </c>
    </row>
    <row r="480" spans="1:7" hidden="1">
      <c r="A480" t="s">
        <v>76</v>
      </c>
      <c r="B480" s="1" t="s">
        <v>3</v>
      </c>
      <c r="C480" s="63">
        <v>2023</v>
      </c>
      <c r="D480" s="63">
        <v>128</v>
      </c>
      <c r="E480" s="63">
        <v>107</v>
      </c>
      <c r="F480" s="63">
        <v>21</v>
      </c>
      <c r="G480" s="63" t="s">
        <v>7</v>
      </c>
    </row>
    <row r="481" spans="1:7" hidden="1">
      <c r="A481" t="s">
        <v>76</v>
      </c>
      <c r="B481" s="1" t="s">
        <v>3</v>
      </c>
      <c r="C481" s="63">
        <v>2024</v>
      </c>
      <c r="D481" s="63">
        <v>144</v>
      </c>
      <c r="E481" s="63">
        <v>119</v>
      </c>
      <c r="F481" s="63">
        <v>25</v>
      </c>
      <c r="G481" s="63" t="s">
        <v>7</v>
      </c>
    </row>
    <row r="482" spans="1:7" hidden="1">
      <c r="A482" t="s">
        <v>76</v>
      </c>
      <c r="B482" s="1" t="s">
        <v>35</v>
      </c>
      <c r="C482" s="2">
        <v>1990</v>
      </c>
      <c r="D482" s="2">
        <v>5</v>
      </c>
      <c r="E482" s="2">
        <v>5</v>
      </c>
      <c r="F482" s="1" t="s">
        <v>7</v>
      </c>
      <c r="G482" s="1" t="s">
        <v>7</v>
      </c>
    </row>
    <row r="483" spans="1:7" hidden="1">
      <c r="A483" t="s">
        <v>76</v>
      </c>
      <c r="B483" s="1" t="s">
        <v>36</v>
      </c>
      <c r="C483" s="2">
        <v>1991</v>
      </c>
      <c r="D483" s="2">
        <v>13</v>
      </c>
      <c r="E483" s="2">
        <v>12</v>
      </c>
      <c r="F483" s="2">
        <v>1</v>
      </c>
      <c r="G483" s="1" t="s">
        <v>7</v>
      </c>
    </row>
    <row r="484" spans="1:7" hidden="1">
      <c r="A484" t="s">
        <v>76</v>
      </c>
      <c r="B484" s="1" t="s">
        <v>37</v>
      </c>
      <c r="C484" s="2">
        <v>1992</v>
      </c>
      <c r="D484" s="2">
        <v>10</v>
      </c>
      <c r="E484" s="2">
        <v>10</v>
      </c>
      <c r="F484" s="1" t="s">
        <v>7</v>
      </c>
      <c r="G484" s="1" t="s">
        <v>7</v>
      </c>
    </row>
    <row r="485" spans="1:7" hidden="1">
      <c r="A485" t="s">
        <v>76</v>
      </c>
      <c r="B485" s="1" t="s">
        <v>38</v>
      </c>
      <c r="C485" s="2">
        <v>1993</v>
      </c>
      <c r="D485" s="2">
        <v>8</v>
      </c>
      <c r="E485" s="2">
        <v>7</v>
      </c>
      <c r="F485" s="2">
        <v>1</v>
      </c>
      <c r="G485" s="1" t="s">
        <v>7</v>
      </c>
    </row>
    <row r="486" spans="1:7" hidden="1">
      <c r="A486" t="s">
        <v>76</v>
      </c>
      <c r="B486" s="1" t="s">
        <v>39</v>
      </c>
      <c r="C486" s="2">
        <v>1994</v>
      </c>
      <c r="D486" s="2">
        <v>10</v>
      </c>
      <c r="E486" s="2">
        <v>9</v>
      </c>
      <c r="F486" s="2">
        <v>1</v>
      </c>
      <c r="G486" s="1" t="s">
        <v>7</v>
      </c>
    </row>
    <row r="487" spans="1:7" hidden="1">
      <c r="A487" t="s">
        <v>76</v>
      </c>
      <c r="B487" s="1" t="s">
        <v>40</v>
      </c>
      <c r="C487" s="2">
        <v>1995</v>
      </c>
      <c r="D487" s="2">
        <v>7</v>
      </c>
      <c r="E487" s="2">
        <v>7</v>
      </c>
      <c r="F487" s="1" t="s">
        <v>7</v>
      </c>
      <c r="G487" s="1" t="s">
        <v>7</v>
      </c>
    </row>
    <row r="488" spans="1:7" hidden="1">
      <c r="A488" t="s">
        <v>76</v>
      </c>
      <c r="B488" s="1" t="s">
        <v>41</v>
      </c>
      <c r="C488" s="2">
        <v>1996</v>
      </c>
      <c r="D488" s="2">
        <v>3</v>
      </c>
      <c r="E488" s="2">
        <v>3</v>
      </c>
      <c r="F488" s="1" t="s">
        <v>7</v>
      </c>
      <c r="G488" s="1" t="s">
        <v>7</v>
      </c>
    </row>
    <row r="489" spans="1:7" hidden="1">
      <c r="A489" t="s">
        <v>76</v>
      </c>
      <c r="B489" s="1" t="s">
        <v>42</v>
      </c>
      <c r="C489" s="2">
        <v>1997</v>
      </c>
      <c r="D489" s="2">
        <v>10</v>
      </c>
      <c r="E489" s="2">
        <v>10</v>
      </c>
      <c r="F489" s="1" t="s">
        <v>7</v>
      </c>
      <c r="G489" s="1" t="s">
        <v>7</v>
      </c>
    </row>
    <row r="490" spans="1:7" hidden="1">
      <c r="A490" t="s">
        <v>76</v>
      </c>
      <c r="B490" s="1" t="s">
        <v>42</v>
      </c>
      <c r="C490" s="2">
        <v>1998</v>
      </c>
      <c r="D490" s="2">
        <v>1</v>
      </c>
      <c r="E490" s="2">
        <v>1</v>
      </c>
      <c r="F490" s="1" t="s">
        <v>7</v>
      </c>
      <c r="G490" s="1" t="s">
        <v>7</v>
      </c>
    </row>
    <row r="491" spans="1:7" hidden="1">
      <c r="A491" t="s">
        <v>76</v>
      </c>
      <c r="B491" s="1" t="s">
        <v>43</v>
      </c>
      <c r="C491" s="2">
        <v>1998</v>
      </c>
      <c r="D491" s="2">
        <v>9</v>
      </c>
      <c r="E491" s="2">
        <v>7</v>
      </c>
      <c r="F491" s="2">
        <v>1</v>
      </c>
      <c r="G491" s="1" t="s">
        <v>122</v>
      </c>
    </row>
    <row r="492" spans="1:7" hidden="1">
      <c r="A492" t="s">
        <v>76</v>
      </c>
      <c r="B492" s="1" t="s">
        <v>44</v>
      </c>
      <c r="C492" s="2">
        <v>1999</v>
      </c>
      <c r="D492" s="2">
        <v>5</v>
      </c>
      <c r="E492" s="2">
        <v>4</v>
      </c>
      <c r="F492" s="2">
        <v>1</v>
      </c>
      <c r="G492" s="1" t="s">
        <v>7</v>
      </c>
    </row>
    <row r="493" spans="1:7" hidden="1">
      <c r="A493" t="s">
        <v>76</v>
      </c>
      <c r="B493" s="1" t="s">
        <v>44</v>
      </c>
      <c r="C493" s="2">
        <v>2000</v>
      </c>
      <c r="D493" s="2">
        <v>1</v>
      </c>
      <c r="E493" s="2">
        <v>1</v>
      </c>
      <c r="F493" s="1" t="s">
        <v>7</v>
      </c>
      <c r="G493" s="1" t="s">
        <v>7</v>
      </c>
    </row>
    <row r="494" spans="1:7" hidden="1">
      <c r="A494" t="s">
        <v>76</v>
      </c>
      <c r="B494" s="1" t="s">
        <v>45</v>
      </c>
      <c r="C494" s="2">
        <v>2000</v>
      </c>
      <c r="D494" s="2">
        <v>3</v>
      </c>
      <c r="E494" s="2">
        <v>3</v>
      </c>
      <c r="F494" s="1" t="s">
        <v>7</v>
      </c>
      <c r="G494" s="1" t="s">
        <v>7</v>
      </c>
    </row>
    <row r="495" spans="1:7" hidden="1">
      <c r="A495" t="s">
        <v>76</v>
      </c>
      <c r="B495" s="1" t="s">
        <v>46</v>
      </c>
      <c r="C495" s="2">
        <v>2001</v>
      </c>
      <c r="D495" s="2">
        <v>6</v>
      </c>
      <c r="E495" s="2">
        <v>6</v>
      </c>
      <c r="F495" s="1" t="s">
        <v>7</v>
      </c>
      <c r="G495" s="1" t="s">
        <v>7</v>
      </c>
    </row>
    <row r="496" spans="1:7" hidden="1">
      <c r="A496" t="s">
        <v>76</v>
      </c>
      <c r="B496" s="1" t="s">
        <v>46</v>
      </c>
      <c r="C496" s="2">
        <v>2002</v>
      </c>
      <c r="D496" s="2">
        <v>1</v>
      </c>
      <c r="E496" s="2">
        <v>1</v>
      </c>
      <c r="F496" s="1" t="s">
        <v>7</v>
      </c>
      <c r="G496" s="1" t="s">
        <v>7</v>
      </c>
    </row>
    <row r="497" spans="1:7" hidden="1">
      <c r="A497" t="s">
        <v>76</v>
      </c>
      <c r="B497" s="1" t="s">
        <v>47</v>
      </c>
      <c r="C497" s="2">
        <v>2002</v>
      </c>
      <c r="D497" s="2">
        <v>4</v>
      </c>
      <c r="E497" s="2">
        <v>4</v>
      </c>
      <c r="F497" s="1" t="s">
        <v>7</v>
      </c>
      <c r="G497" s="1" t="s">
        <v>7</v>
      </c>
    </row>
    <row r="498" spans="1:7" hidden="1">
      <c r="A498" t="s">
        <v>76</v>
      </c>
      <c r="B498" s="1" t="s">
        <v>48</v>
      </c>
      <c r="C498" s="2">
        <v>2003</v>
      </c>
      <c r="D498" s="2">
        <v>7</v>
      </c>
      <c r="E498" s="2">
        <v>7</v>
      </c>
      <c r="F498" s="1" t="s">
        <v>7</v>
      </c>
      <c r="G498" s="1" t="s">
        <v>7</v>
      </c>
    </row>
    <row r="499" spans="1:7" hidden="1">
      <c r="A499" t="s">
        <v>76</v>
      </c>
      <c r="B499" s="1" t="s">
        <v>49</v>
      </c>
      <c r="C499" s="2">
        <v>2004</v>
      </c>
      <c r="D499" s="2">
        <v>6</v>
      </c>
      <c r="E499" s="2">
        <v>3</v>
      </c>
      <c r="F499" s="2">
        <v>3</v>
      </c>
      <c r="G499" s="1" t="s">
        <v>7</v>
      </c>
    </row>
    <row r="500" spans="1:7" hidden="1">
      <c r="A500" t="s">
        <v>76</v>
      </c>
      <c r="B500" s="1" t="s">
        <v>49</v>
      </c>
      <c r="C500" s="2">
        <v>2005</v>
      </c>
      <c r="D500" s="2">
        <v>1</v>
      </c>
      <c r="E500" s="2">
        <v>1</v>
      </c>
      <c r="F500" s="1" t="s">
        <v>7</v>
      </c>
      <c r="G500" s="1" t="s">
        <v>7</v>
      </c>
    </row>
    <row r="501" spans="1:7" hidden="1">
      <c r="A501" t="s">
        <v>76</v>
      </c>
      <c r="B501" s="1" t="s">
        <v>50</v>
      </c>
      <c r="C501" s="2">
        <v>2005</v>
      </c>
      <c r="D501" s="2">
        <v>4</v>
      </c>
      <c r="E501" s="2">
        <v>3</v>
      </c>
      <c r="F501" s="2">
        <v>1</v>
      </c>
      <c r="G501" s="1" t="s">
        <v>7</v>
      </c>
    </row>
    <row r="502" spans="1:7" hidden="1">
      <c r="A502" t="s">
        <v>76</v>
      </c>
      <c r="B502" s="1" t="s">
        <v>51</v>
      </c>
      <c r="C502" s="2">
        <v>2006</v>
      </c>
      <c r="D502" s="2">
        <v>8</v>
      </c>
      <c r="E502" s="2">
        <v>7</v>
      </c>
      <c r="F502" s="2">
        <v>1</v>
      </c>
      <c r="G502" s="1" t="s">
        <v>7</v>
      </c>
    </row>
    <row r="503" spans="1:7" hidden="1">
      <c r="A503" t="s">
        <v>76</v>
      </c>
      <c r="B503" s="1" t="s">
        <v>52</v>
      </c>
      <c r="C503" s="2">
        <v>2007</v>
      </c>
      <c r="D503" s="2">
        <v>7</v>
      </c>
      <c r="E503" s="2">
        <v>7</v>
      </c>
      <c r="F503" s="1" t="s">
        <v>7</v>
      </c>
      <c r="G503" s="1" t="s">
        <v>7</v>
      </c>
    </row>
    <row r="504" spans="1:7" hidden="1">
      <c r="A504" t="s">
        <v>76</v>
      </c>
      <c r="B504" s="1" t="s">
        <v>53</v>
      </c>
      <c r="C504" s="2">
        <v>2008</v>
      </c>
      <c r="D504" s="2">
        <v>8</v>
      </c>
      <c r="E504" s="2">
        <v>7</v>
      </c>
      <c r="F504" s="2">
        <v>1</v>
      </c>
      <c r="G504" s="1" t="s">
        <v>7</v>
      </c>
    </row>
    <row r="505" spans="1:7" hidden="1">
      <c r="A505" t="s">
        <v>76</v>
      </c>
      <c r="B505" s="1" t="s">
        <v>53</v>
      </c>
      <c r="C505" s="2">
        <v>2009</v>
      </c>
      <c r="D505" s="2">
        <v>1</v>
      </c>
      <c r="E505" s="2">
        <v>1</v>
      </c>
      <c r="F505" s="1" t="s">
        <v>7</v>
      </c>
      <c r="G505" s="1" t="s">
        <v>7</v>
      </c>
    </row>
    <row r="506" spans="1:7" hidden="1">
      <c r="A506" t="s">
        <v>76</v>
      </c>
      <c r="B506" s="1" t="s">
        <v>54</v>
      </c>
      <c r="C506" s="2">
        <v>2009</v>
      </c>
      <c r="D506" s="2">
        <v>9</v>
      </c>
      <c r="E506" s="2">
        <v>8</v>
      </c>
      <c r="F506" s="2">
        <v>1</v>
      </c>
      <c r="G506" s="1" t="s">
        <v>7</v>
      </c>
    </row>
    <row r="507" spans="1:7" hidden="1">
      <c r="A507" t="s">
        <v>76</v>
      </c>
      <c r="B507" s="1" t="s">
        <v>55</v>
      </c>
      <c r="C507" s="2">
        <v>2010</v>
      </c>
      <c r="D507" s="2">
        <v>16</v>
      </c>
      <c r="E507" s="2">
        <v>15</v>
      </c>
      <c r="F507" s="2">
        <v>1</v>
      </c>
      <c r="G507" s="1" t="s">
        <v>7</v>
      </c>
    </row>
    <row r="508" spans="1:7" hidden="1">
      <c r="A508" t="s">
        <v>76</v>
      </c>
      <c r="B508" s="1" t="s">
        <v>56</v>
      </c>
      <c r="C508" s="2">
        <v>2011</v>
      </c>
      <c r="D508" s="2">
        <v>20</v>
      </c>
      <c r="E508" s="2">
        <v>18</v>
      </c>
      <c r="F508" s="2">
        <v>2</v>
      </c>
      <c r="G508" s="1" t="s">
        <v>7</v>
      </c>
    </row>
    <row r="509" spans="1:7" hidden="1">
      <c r="A509" t="s">
        <v>76</v>
      </c>
      <c r="B509" s="1" t="s">
        <v>57</v>
      </c>
      <c r="C509" s="2">
        <v>2012</v>
      </c>
      <c r="D509" s="2">
        <v>43</v>
      </c>
      <c r="E509" s="2">
        <v>41</v>
      </c>
      <c r="F509" s="2">
        <v>2</v>
      </c>
      <c r="G509" s="1" t="s">
        <v>7</v>
      </c>
    </row>
    <row r="510" spans="1:7" hidden="1">
      <c r="A510" t="s">
        <v>76</v>
      </c>
      <c r="B510" s="1" t="s">
        <v>57</v>
      </c>
      <c r="C510" s="2">
        <v>2013</v>
      </c>
      <c r="D510" s="2">
        <v>3</v>
      </c>
      <c r="E510" s="2">
        <v>3</v>
      </c>
      <c r="F510" s="1" t="s">
        <v>7</v>
      </c>
      <c r="G510" s="1" t="s">
        <v>7</v>
      </c>
    </row>
    <row r="511" spans="1:7" hidden="1">
      <c r="A511" t="s">
        <v>76</v>
      </c>
      <c r="B511" s="1" t="s">
        <v>58</v>
      </c>
      <c r="C511" s="2">
        <v>2013</v>
      </c>
      <c r="D511" s="2">
        <v>35</v>
      </c>
      <c r="E511" s="2">
        <v>31</v>
      </c>
      <c r="F511" s="2">
        <v>4</v>
      </c>
      <c r="G511" s="1" t="s">
        <v>7</v>
      </c>
    </row>
    <row r="512" spans="1:7" hidden="1">
      <c r="A512" t="s">
        <v>76</v>
      </c>
      <c r="B512" s="1" t="s">
        <v>59</v>
      </c>
      <c r="C512" s="2">
        <v>2014</v>
      </c>
      <c r="D512" s="2">
        <v>15</v>
      </c>
      <c r="E512" s="2">
        <v>13</v>
      </c>
      <c r="F512" s="2">
        <v>2</v>
      </c>
      <c r="G512" s="1" t="s">
        <v>7</v>
      </c>
    </row>
    <row r="513" spans="1:7" hidden="1">
      <c r="A513" t="s">
        <v>76</v>
      </c>
      <c r="B513" s="1" t="s">
        <v>59</v>
      </c>
      <c r="C513" s="2">
        <v>2015</v>
      </c>
      <c r="D513" s="2">
        <v>2</v>
      </c>
      <c r="E513" s="2">
        <v>1</v>
      </c>
      <c r="F513" s="2">
        <v>1</v>
      </c>
      <c r="G513" s="1" t="s">
        <v>7</v>
      </c>
    </row>
    <row r="514" spans="1:7" hidden="1">
      <c r="A514" t="s">
        <v>76</v>
      </c>
      <c r="B514" s="1" t="s">
        <v>60</v>
      </c>
      <c r="C514" s="2">
        <v>2015</v>
      </c>
      <c r="D514" s="2">
        <v>35</v>
      </c>
      <c r="E514" s="2">
        <v>30</v>
      </c>
      <c r="F514" s="2">
        <v>5</v>
      </c>
      <c r="G514" s="1" t="s">
        <v>7</v>
      </c>
    </row>
    <row r="515" spans="1:7" hidden="1">
      <c r="A515" t="s">
        <v>76</v>
      </c>
      <c r="B515" s="1" t="s">
        <v>61</v>
      </c>
      <c r="C515" s="2">
        <v>2016</v>
      </c>
      <c r="D515" s="2">
        <v>106</v>
      </c>
      <c r="E515" s="2">
        <v>93</v>
      </c>
      <c r="F515" s="2">
        <v>13</v>
      </c>
      <c r="G515" s="1" t="s">
        <v>7</v>
      </c>
    </row>
    <row r="516" spans="1:7" hidden="1">
      <c r="A516" t="s">
        <v>76</v>
      </c>
      <c r="B516" s="1" t="s">
        <v>61</v>
      </c>
      <c r="C516" s="2">
        <v>2017</v>
      </c>
      <c r="D516" s="2">
        <v>1</v>
      </c>
      <c r="E516" s="2">
        <v>1</v>
      </c>
      <c r="F516" s="1" t="s">
        <v>7</v>
      </c>
      <c r="G516" s="1" t="s">
        <v>7</v>
      </c>
    </row>
    <row r="517" spans="1:7" hidden="1">
      <c r="A517" t="s">
        <v>76</v>
      </c>
      <c r="B517" s="1" t="s">
        <v>62</v>
      </c>
      <c r="C517" s="2">
        <v>2017</v>
      </c>
      <c r="D517" s="2">
        <v>114</v>
      </c>
      <c r="E517" s="2">
        <v>103</v>
      </c>
      <c r="F517" s="2">
        <v>11</v>
      </c>
      <c r="G517" s="1" t="s">
        <v>7</v>
      </c>
    </row>
    <row r="518" spans="1:7" hidden="1">
      <c r="A518" t="s">
        <v>76</v>
      </c>
      <c r="B518" s="1" t="s">
        <v>63</v>
      </c>
      <c r="C518" s="2">
        <v>2018</v>
      </c>
      <c r="D518" s="2">
        <v>107</v>
      </c>
      <c r="E518" s="2">
        <v>96</v>
      </c>
      <c r="F518" s="2">
        <v>11</v>
      </c>
      <c r="G518" s="1" t="s">
        <v>7</v>
      </c>
    </row>
    <row r="519" spans="1:7" hidden="1">
      <c r="A519" t="s">
        <v>76</v>
      </c>
      <c r="B519" s="1" t="s">
        <v>63</v>
      </c>
      <c r="C519" s="2">
        <v>2019</v>
      </c>
      <c r="D519" s="2">
        <v>8</v>
      </c>
      <c r="E519" s="2">
        <v>5</v>
      </c>
      <c r="F519" s="2">
        <v>3</v>
      </c>
      <c r="G519" s="1" t="s">
        <v>7</v>
      </c>
    </row>
    <row r="520" spans="1:7" hidden="1">
      <c r="A520" t="s">
        <v>76</v>
      </c>
      <c r="B520" s="1" t="s">
        <v>63</v>
      </c>
      <c r="C520" s="2">
        <v>2020</v>
      </c>
      <c r="D520" s="2">
        <v>2</v>
      </c>
      <c r="E520" s="2">
        <v>2</v>
      </c>
      <c r="F520" s="1" t="s">
        <v>7</v>
      </c>
      <c r="G520" s="1" t="s">
        <v>7</v>
      </c>
    </row>
    <row r="521" spans="1:7" hidden="1">
      <c r="A521" t="s">
        <v>76</v>
      </c>
      <c r="B521" s="1" t="s">
        <v>63</v>
      </c>
      <c r="C521" s="2">
        <v>2023</v>
      </c>
      <c r="D521" s="2">
        <v>1</v>
      </c>
      <c r="E521" s="2">
        <v>1</v>
      </c>
      <c r="F521" s="1" t="s">
        <v>7</v>
      </c>
      <c r="G521" s="1" t="s">
        <v>7</v>
      </c>
    </row>
    <row r="522" spans="1:7" hidden="1">
      <c r="A522" t="s">
        <v>76</v>
      </c>
      <c r="B522" s="1" t="s">
        <v>64</v>
      </c>
      <c r="C522" s="2">
        <v>2019</v>
      </c>
      <c r="D522" s="2">
        <v>115</v>
      </c>
      <c r="E522" s="2">
        <v>97</v>
      </c>
      <c r="F522" s="2">
        <v>18</v>
      </c>
      <c r="G522" s="1" t="s">
        <v>7</v>
      </c>
    </row>
    <row r="523" spans="1:7" hidden="1">
      <c r="A523" t="s">
        <v>76</v>
      </c>
      <c r="B523" s="1" t="s">
        <v>64</v>
      </c>
      <c r="C523" s="2">
        <v>2022</v>
      </c>
      <c r="D523" s="2">
        <v>1</v>
      </c>
      <c r="E523" s="2">
        <v>1</v>
      </c>
      <c r="F523" s="1" t="s">
        <v>7</v>
      </c>
      <c r="G523" s="1" t="s">
        <v>7</v>
      </c>
    </row>
    <row r="524" spans="1:7" hidden="1">
      <c r="A524" t="s">
        <v>76</v>
      </c>
      <c r="B524" s="1" t="s">
        <v>64</v>
      </c>
      <c r="C524" s="2">
        <v>2024</v>
      </c>
      <c r="D524" s="2">
        <v>1</v>
      </c>
      <c r="E524" s="2">
        <v>1</v>
      </c>
      <c r="F524" s="1" t="s">
        <v>7</v>
      </c>
      <c r="G524" s="1" t="s">
        <v>7</v>
      </c>
    </row>
    <row r="525" spans="1:7" hidden="1">
      <c r="A525" t="s">
        <v>76</v>
      </c>
      <c r="B525" s="1" t="s">
        <v>65</v>
      </c>
      <c r="C525" s="2">
        <v>2020</v>
      </c>
      <c r="D525" s="2">
        <v>98</v>
      </c>
      <c r="E525" s="2">
        <v>85</v>
      </c>
      <c r="F525" s="2">
        <v>13</v>
      </c>
      <c r="G525" s="1" t="s">
        <v>7</v>
      </c>
    </row>
    <row r="526" spans="1:7" hidden="1">
      <c r="A526" t="s">
        <v>76</v>
      </c>
      <c r="B526" s="1" t="s">
        <v>65</v>
      </c>
      <c r="C526" s="2">
        <v>2021</v>
      </c>
      <c r="D526" s="2">
        <v>6</v>
      </c>
      <c r="E526" s="2">
        <v>6</v>
      </c>
      <c r="F526" s="1" t="s">
        <v>7</v>
      </c>
      <c r="G526" s="1" t="s">
        <v>7</v>
      </c>
    </row>
    <row r="527" spans="1:7" hidden="1">
      <c r="A527" t="s">
        <v>76</v>
      </c>
      <c r="B527" s="1" t="s">
        <v>66</v>
      </c>
      <c r="C527" s="2">
        <v>2021</v>
      </c>
      <c r="D527" s="2">
        <v>80</v>
      </c>
      <c r="E527" s="2">
        <v>75</v>
      </c>
      <c r="F527" s="2">
        <v>5</v>
      </c>
      <c r="G527" s="1" t="s">
        <v>7</v>
      </c>
    </row>
    <row r="528" spans="1:7" hidden="1">
      <c r="A528" t="s">
        <v>76</v>
      </c>
      <c r="B528" s="1" t="s">
        <v>67</v>
      </c>
      <c r="C528" s="2">
        <v>2022</v>
      </c>
      <c r="D528" s="2">
        <v>143</v>
      </c>
      <c r="E528" s="2">
        <v>126</v>
      </c>
      <c r="F528" s="2">
        <v>17</v>
      </c>
      <c r="G528" s="1" t="s">
        <v>7</v>
      </c>
    </row>
    <row r="529" spans="1:7" hidden="1">
      <c r="A529" t="s">
        <v>76</v>
      </c>
      <c r="B529" s="1" t="s">
        <v>67</v>
      </c>
      <c r="C529" s="2">
        <v>2023</v>
      </c>
      <c r="D529" s="2">
        <v>3</v>
      </c>
      <c r="E529" s="2">
        <v>3</v>
      </c>
      <c r="F529" s="1" t="s">
        <v>7</v>
      </c>
      <c r="G529" s="1" t="s">
        <v>7</v>
      </c>
    </row>
    <row r="530" spans="1:7" hidden="1">
      <c r="A530" t="s">
        <v>76</v>
      </c>
      <c r="B530" s="1" t="s">
        <v>67</v>
      </c>
      <c r="C530" s="2">
        <v>2024</v>
      </c>
      <c r="D530" s="2">
        <v>2</v>
      </c>
      <c r="E530" s="2">
        <v>2</v>
      </c>
      <c r="F530" s="1" t="s">
        <v>7</v>
      </c>
      <c r="G530" s="1" t="s">
        <v>7</v>
      </c>
    </row>
    <row r="531" spans="1:7" hidden="1">
      <c r="A531" t="s">
        <v>76</v>
      </c>
      <c r="B531" s="1" t="s">
        <v>68</v>
      </c>
      <c r="C531" s="2">
        <v>2023</v>
      </c>
      <c r="D531" s="2">
        <v>124</v>
      </c>
      <c r="E531" s="2">
        <v>103</v>
      </c>
      <c r="F531" s="2">
        <v>21</v>
      </c>
      <c r="G531" s="1" t="s">
        <v>7</v>
      </c>
    </row>
    <row r="532" spans="1:7" hidden="1">
      <c r="A532" t="s">
        <v>76</v>
      </c>
      <c r="B532" s="1" t="s">
        <v>68</v>
      </c>
      <c r="C532" s="2">
        <v>2024</v>
      </c>
      <c r="D532" s="2">
        <v>6</v>
      </c>
      <c r="E532" s="2">
        <v>4</v>
      </c>
      <c r="F532" s="2">
        <v>2</v>
      </c>
      <c r="G532" s="1" t="s">
        <v>7</v>
      </c>
    </row>
    <row r="533" spans="1:7" hidden="1">
      <c r="A533" t="s">
        <v>76</v>
      </c>
      <c r="B533" s="1" t="s">
        <v>69</v>
      </c>
      <c r="C533" s="2">
        <v>2024</v>
      </c>
      <c r="D533" s="2">
        <v>133</v>
      </c>
      <c r="E533" s="2">
        <v>110</v>
      </c>
      <c r="F533" s="2">
        <v>23</v>
      </c>
      <c r="G533" s="1" t="s">
        <v>7</v>
      </c>
    </row>
    <row r="534" spans="1:7" hidden="1">
      <c r="A534" t="s">
        <v>76</v>
      </c>
      <c r="B534" s="1" t="s">
        <v>6</v>
      </c>
      <c r="C534" s="2">
        <v>1991</v>
      </c>
      <c r="D534" s="2">
        <v>2</v>
      </c>
      <c r="E534" s="2">
        <v>2</v>
      </c>
      <c r="F534" s="1" t="s">
        <v>7</v>
      </c>
      <c r="G534" s="1" t="s">
        <v>7</v>
      </c>
    </row>
    <row r="535" spans="1:7" hidden="1">
      <c r="A535" t="s">
        <v>76</v>
      </c>
      <c r="B535" s="1" t="s">
        <v>6</v>
      </c>
      <c r="C535" s="2">
        <v>1992</v>
      </c>
      <c r="D535" s="2">
        <v>5</v>
      </c>
      <c r="E535" s="2">
        <v>5</v>
      </c>
      <c r="F535" s="1" t="s">
        <v>7</v>
      </c>
      <c r="G535" s="1" t="s">
        <v>7</v>
      </c>
    </row>
    <row r="536" spans="1:7" hidden="1">
      <c r="A536" t="s">
        <v>76</v>
      </c>
      <c r="B536" s="1" t="s">
        <v>6</v>
      </c>
      <c r="C536" s="2">
        <v>2021</v>
      </c>
      <c r="D536" s="2">
        <v>5</v>
      </c>
      <c r="E536" s="2">
        <v>2</v>
      </c>
      <c r="F536" s="2">
        <v>3</v>
      </c>
      <c r="G536" s="1" t="s">
        <v>7</v>
      </c>
    </row>
    <row r="537" spans="1:7" hidden="1">
      <c r="A537" t="s">
        <v>76</v>
      </c>
      <c r="B537" s="1" t="s">
        <v>6</v>
      </c>
      <c r="C537" s="2">
        <v>2022</v>
      </c>
      <c r="D537" s="2">
        <v>4</v>
      </c>
      <c r="E537" s="2">
        <v>3</v>
      </c>
      <c r="F537" s="2">
        <v>1</v>
      </c>
      <c r="G537" s="1" t="s">
        <v>7</v>
      </c>
    </row>
    <row r="538" spans="1:7" hidden="1">
      <c r="A538" t="s">
        <v>76</v>
      </c>
      <c r="B538" s="1" t="s">
        <v>6</v>
      </c>
      <c r="C538" s="2">
        <v>2024</v>
      </c>
      <c r="D538" s="2">
        <v>2</v>
      </c>
      <c r="E538" s="2">
        <v>2</v>
      </c>
      <c r="F538" s="1" t="s">
        <v>7</v>
      </c>
      <c r="G538" s="1" t="s">
        <v>7</v>
      </c>
    </row>
    <row r="539" spans="1:7" hidden="1">
      <c r="A539" t="s">
        <v>77</v>
      </c>
      <c r="B539" s="1" t="s">
        <v>3</v>
      </c>
      <c r="C539" s="63">
        <v>1990</v>
      </c>
      <c r="D539" s="63">
        <v>9</v>
      </c>
      <c r="E539" s="63">
        <v>9</v>
      </c>
      <c r="F539" s="63" t="s">
        <v>7</v>
      </c>
      <c r="G539" s="63" t="s">
        <v>7</v>
      </c>
    </row>
    <row r="540" spans="1:7" hidden="1">
      <c r="A540" t="s">
        <v>77</v>
      </c>
      <c r="B540" s="1" t="s">
        <v>3</v>
      </c>
      <c r="C540" s="63">
        <v>1991</v>
      </c>
      <c r="D540" s="63">
        <v>15</v>
      </c>
      <c r="E540" s="63">
        <v>14</v>
      </c>
      <c r="F540" s="63">
        <v>1</v>
      </c>
      <c r="G540" s="63" t="s">
        <v>7</v>
      </c>
    </row>
    <row r="541" spans="1:7" hidden="1">
      <c r="A541" t="s">
        <v>77</v>
      </c>
      <c r="B541" s="1" t="s">
        <v>3</v>
      </c>
      <c r="C541" s="63">
        <v>1992</v>
      </c>
      <c r="D541" s="63">
        <v>16</v>
      </c>
      <c r="E541" s="63">
        <v>14</v>
      </c>
      <c r="F541" s="63">
        <v>2</v>
      </c>
      <c r="G541" s="63" t="s">
        <v>7</v>
      </c>
    </row>
    <row r="542" spans="1:7" hidden="1">
      <c r="A542" t="s">
        <v>77</v>
      </c>
      <c r="B542" s="1" t="s">
        <v>3</v>
      </c>
      <c r="C542" s="63">
        <v>1993</v>
      </c>
      <c r="D542" s="63">
        <v>12</v>
      </c>
      <c r="E542" s="63">
        <v>11</v>
      </c>
      <c r="F542" s="63">
        <v>1</v>
      </c>
      <c r="G542" s="63" t="s">
        <v>7</v>
      </c>
    </row>
    <row r="543" spans="1:7" hidden="1">
      <c r="A543" t="s">
        <v>77</v>
      </c>
      <c r="B543" s="1" t="s">
        <v>3</v>
      </c>
      <c r="C543" s="63">
        <v>1994</v>
      </c>
      <c r="D543" s="63">
        <v>10</v>
      </c>
      <c r="E543" s="63">
        <v>8</v>
      </c>
      <c r="F543" s="63">
        <v>2</v>
      </c>
      <c r="G543" s="63" t="s">
        <v>7</v>
      </c>
    </row>
    <row r="544" spans="1:7" hidden="1">
      <c r="A544" t="s">
        <v>77</v>
      </c>
      <c r="B544" s="1" t="s">
        <v>3</v>
      </c>
      <c r="C544" s="63">
        <v>1995</v>
      </c>
      <c r="D544" s="63">
        <v>6</v>
      </c>
      <c r="E544" s="63">
        <v>4</v>
      </c>
      <c r="F544" s="63">
        <v>2</v>
      </c>
      <c r="G544" s="63" t="s">
        <v>7</v>
      </c>
    </row>
    <row r="545" spans="1:7" hidden="1">
      <c r="A545" t="s">
        <v>77</v>
      </c>
      <c r="B545" s="1" t="s">
        <v>3</v>
      </c>
      <c r="C545" s="63">
        <v>1996</v>
      </c>
      <c r="D545" s="63">
        <v>8</v>
      </c>
      <c r="E545" s="63">
        <v>8</v>
      </c>
      <c r="F545" s="63" t="s">
        <v>7</v>
      </c>
      <c r="G545" s="63" t="s">
        <v>7</v>
      </c>
    </row>
    <row r="546" spans="1:7" hidden="1">
      <c r="A546" t="s">
        <v>77</v>
      </c>
      <c r="B546" s="1" t="s">
        <v>3</v>
      </c>
      <c r="C546" s="63">
        <v>1997</v>
      </c>
      <c r="D546" s="63">
        <v>11</v>
      </c>
      <c r="E546" s="63">
        <v>11</v>
      </c>
      <c r="F546" s="63" t="s">
        <v>7</v>
      </c>
      <c r="G546" s="63" t="s">
        <v>7</v>
      </c>
    </row>
    <row r="547" spans="1:7" hidden="1">
      <c r="A547" t="s">
        <v>77</v>
      </c>
      <c r="B547" s="1" t="s">
        <v>3</v>
      </c>
      <c r="C547" s="63">
        <v>1998</v>
      </c>
      <c r="D547" s="63">
        <v>8</v>
      </c>
      <c r="E547" s="63">
        <v>8</v>
      </c>
      <c r="F547" s="63" t="s">
        <v>7</v>
      </c>
      <c r="G547" s="63" t="s">
        <v>7</v>
      </c>
    </row>
    <row r="548" spans="1:7" hidden="1">
      <c r="A548" t="s">
        <v>77</v>
      </c>
      <c r="B548" s="1" t="s">
        <v>3</v>
      </c>
      <c r="C548" s="63">
        <v>1999</v>
      </c>
      <c r="D548" s="63">
        <v>8</v>
      </c>
      <c r="E548" s="63">
        <v>8</v>
      </c>
      <c r="F548" s="63" t="s">
        <v>7</v>
      </c>
      <c r="G548" s="63" t="s">
        <v>7</v>
      </c>
    </row>
    <row r="549" spans="1:7" hidden="1">
      <c r="A549" t="s">
        <v>77</v>
      </c>
      <c r="B549" s="1" t="s">
        <v>3</v>
      </c>
      <c r="C549" s="63">
        <v>2000</v>
      </c>
      <c r="D549" s="63">
        <v>6</v>
      </c>
      <c r="E549" s="63">
        <v>6</v>
      </c>
      <c r="F549" s="63" t="s">
        <v>7</v>
      </c>
      <c r="G549" s="63" t="s">
        <v>7</v>
      </c>
    </row>
    <row r="550" spans="1:7" hidden="1">
      <c r="A550" t="s">
        <v>77</v>
      </c>
      <c r="B550" s="1" t="s">
        <v>3</v>
      </c>
      <c r="C550" s="63">
        <v>2001</v>
      </c>
      <c r="D550" s="63">
        <v>5</v>
      </c>
      <c r="E550" s="63">
        <v>5</v>
      </c>
      <c r="F550" s="63" t="s">
        <v>7</v>
      </c>
      <c r="G550" s="63" t="s">
        <v>7</v>
      </c>
    </row>
    <row r="551" spans="1:7" hidden="1">
      <c r="A551" t="s">
        <v>77</v>
      </c>
      <c r="B551" s="1" t="s">
        <v>3</v>
      </c>
      <c r="C551" s="63">
        <v>2002</v>
      </c>
      <c r="D551" s="63">
        <v>8</v>
      </c>
      <c r="E551" s="63">
        <v>8</v>
      </c>
      <c r="F551" s="63" t="s">
        <v>7</v>
      </c>
      <c r="G551" s="63" t="s">
        <v>7</v>
      </c>
    </row>
    <row r="552" spans="1:7" hidden="1">
      <c r="A552" t="s">
        <v>77</v>
      </c>
      <c r="B552" s="1" t="s">
        <v>3</v>
      </c>
      <c r="C552" s="63">
        <v>2003</v>
      </c>
      <c r="D552" s="63">
        <v>7</v>
      </c>
      <c r="E552" s="63">
        <v>6</v>
      </c>
      <c r="F552" s="63">
        <v>1</v>
      </c>
      <c r="G552" s="63" t="s">
        <v>7</v>
      </c>
    </row>
    <row r="553" spans="1:7" hidden="1">
      <c r="A553" t="s">
        <v>77</v>
      </c>
      <c r="B553" s="1" t="s">
        <v>3</v>
      </c>
      <c r="C553" s="63">
        <v>2004</v>
      </c>
      <c r="D553" s="63">
        <v>4</v>
      </c>
      <c r="E553" s="63">
        <v>4</v>
      </c>
      <c r="F553" s="63" t="s">
        <v>7</v>
      </c>
      <c r="G553" s="63" t="s">
        <v>7</v>
      </c>
    </row>
    <row r="554" spans="1:7" hidden="1">
      <c r="A554" t="s">
        <v>77</v>
      </c>
      <c r="B554" s="1" t="s">
        <v>3</v>
      </c>
      <c r="C554" s="63">
        <v>2005</v>
      </c>
      <c r="D554" s="63">
        <v>7</v>
      </c>
      <c r="E554" s="63">
        <v>6</v>
      </c>
      <c r="F554" s="63">
        <v>1</v>
      </c>
      <c r="G554" s="63" t="s">
        <v>7</v>
      </c>
    </row>
    <row r="555" spans="1:7" hidden="1">
      <c r="A555" t="s">
        <v>77</v>
      </c>
      <c r="B555" s="1" t="s">
        <v>3</v>
      </c>
      <c r="C555" s="63">
        <v>2006</v>
      </c>
      <c r="D555" s="63">
        <v>6</v>
      </c>
      <c r="E555" s="63">
        <v>5</v>
      </c>
      <c r="F555" s="63">
        <v>1</v>
      </c>
      <c r="G555" s="63" t="s">
        <v>7</v>
      </c>
    </row>
    <row r="556" spans="1:7" hidden="1">
      <c r="A556" t="s">
        <v>77</v>
      </c>
      <c r="B556" s="1" t="s">
        <v>3</v>
      </c>
      <c r="C556" s="63">
        <v>2007</v>
      </c>
      <c r="D556" s="63">
        <v>9</v>
      </c>
      <c r="E556" s="63">
        <v>9</v>
      </c>
      <c r="F556" s="63" t="s">
        <v>7</v>
      </c>
      <c r="G556" s="63" t="s">
        <v>7</v>
      </c>
    </row>
    <row r="557" spans="1:7" hidden="1">
      <c r="A557" t="s">
        <v>77</v>
      </c>
      <c r="B557" s="1" t="s">
        <v>3</v>
      </c>
      <c r="C557" s="63">
        <v>2008</v>
      </c>
      <c r="D557" s="63">
        <v>9</v>
      </c>
      <c r="E557" s="63">
        <v>8</v>
      </c>
      <c r="F557" s="63">
        <v>1</v>
      </c>
      <c r="G557" s="63" t="s">
        <v>7</v>
      </c>
    </row>
    <row r="558" spans="1:7" hidden="1">
      <c r="A558" t="s">
        <v>77</v>
      </c>
      <c r="B558" s="1" t="s">
        <v>3</v>
      </c>
      <c r="C558" s="63">
        <v>2009</v>
      </c>
      <c r="D558" s="63">
        <v>8</v>
      </c>
      <c r="E558" s="63">
        <v>6</v>
      </c>
      <c r="F558" s="63">
        <v>2</v>
      </c>
      <c r="G558" s="63" t="s">
        <v>7</v>
      </c>
    </row>
    <row r="559" spans="1:7">
      <c r="A559" t="s">
        <v>77</v>
      </c>
      <c r="B559" s="1" t="s">
        <v>3</v>
      </c>
      <c r="C559" s="63">
        <v>2010</v>
      </c>
      <c r="D559" s="63">
        <v>18</v>
      </c>
      <c r="E559" s="63">
        <v>17</v>
      </c>
      <c r="F559" s="63">
        <v>1</v>
      </c>
      <c r="G559" s="63" t="s">
        <v>7</v>
      </c>
    </row>
    <row r="560" spans="1:7" hidden="1">
      <c r="A560" t="s">
        <v>77</v>
      </c>
      <c r="B560" s="1" t="s">
        <v>3</v>
      </c>
      <c r="C560" s="63">
        <v>2011</v>
      </c>
      <c r="D560" s="63">
        <v>25</v>
      </c>
      <c r="E560" s="63">
        <v>20</v>
      </c>
      <c r="F560" s="63">
        <v>5</v>
      </c>
      <c r="G560" s="63" t="s">
        <v>7</v>
      </c>
    </row>
    <row r="561" spans="1:7" hidden="1">
      <c r="A561" t="s">
        <v>77</v>
      </c>
      <c r="B561" s="1" t="s">
        <v>3</v>
      </c>
      <c r="C561" s="63">
        <v>2012</v>
      </c>
      <c r="D561" s="63">
        <v>42</v>
      </c>
      <c r="E561" s="63">
        <v>39</v>
      </c>
      <c r="F561" s="63">
        <v>3</v>
      </c>
      <c r="G561" s="63" t="s">
        <v>7</v>
      </c>
    </row>
    <row r="562" spans="1:7" hidden="1">
      <c r="A562" t="s">
        <v>77</v>
      </c>
      <c r="B562" s="1" t="s">
        <v>3</v>
      </c>
      <c r="C562" s="63">
        <v>2013</v>
      </c>
      <c r="D562" s="63">
        <v>26</v>
      </c>
      <c r="E562" s="63">
        <v>24</v>
      </c>
      <c r="F562" s="63">
        <v>2</v>
      </c>
      <c r="G562" s="63" t="s">
        <v>7</v>
      </c>
    </row>
    <row r="563" spans="1:7" hidden="1">
      <c r="A563" t="s">
        <v>77</v>
      </c>
      <c r="B563" s="1" t="s">
        <v>3</v>
      </c>
      <c r="C563" s="63">
        <v>2014</v>
      </c>
      <c r="D563" s="63">
        <v>16</v>
      </c>
      <c r="E563" s="63">
        <v>14</v>
      </c>
      <c r="F563" s="63">
        <v>2</v>
      </c>
      <c r="G563" s="63" t="s">
        <v>7</v>
      </c>
    </row>
    <row r="564" spans="1:7" hidden="1">
      <c r="A564" t="s">
        <v>77</v>
      </c>
      <c r="B564" s="1" t="s">
        <v>3</v>
      </c>
      <c r="C564" s="63">
        <v>2015</v>
      </c>
      <c r="D564" s="63">
        <v>34</v>
      </c>
      <c r="E564" s="63">
        <v>32</v>
      </c>
      <c r="F564" s="63">
        <v>2</v>
      </c>
      <c r="G564" s="63" t="s">
        <v>7</v>
      </c>
    </row>
    <row r="565" spans="1:7" hidden="1">
      <c r="A565" t="s">
        <v>77</v>
      </c>
      <c r="B565" s="1" t="s">
        <v>3</v>
      </c>
      <c r="C565" s="63">
        <v>2016</v>
      </c>
      <c r="D565" s="63">
        <v>88</v>
      </c>
      <c r="E565" s="63">
        <v>84</v>
      </c>
      <c r="F565" s="63">
        <v>4</v>
      </c>
      <c r="G565" s="63" t="s">
        <v>7</v>
      </c>
    </row>
    <row r="566" spans="1:7" hidden="1">
      <c r="A566" t="s">
        <v>77</v>
      </c>
      <c r="B566" s="1" t="s">
        <v>3</v>
      </c>
      <c r="C566" s="63">
        <v>2017</v>
      </c>
      <c r="D566" s="63">
        <v>126</v>
      </c>
      <c r="E566" s="63">
        <v>121</v>
      </c>
      <c r="F566" s="63">
        <v>5</v>
      </c>
      <c r="G566" s="63" t="s">
        <v>7</v>
      </c>
    </row>
    <row r="567" spans="1:7" hidden="1">
      <c r="A567" t="s">
        <v>77</v>
      </c>
      <c r="B567" s="1" t="s">
        <v>3</v>
      </c>
      <c r="C567" s="63">
        <v>2018</v>
      </c>
      <c r="D567" s="63">
        <v>108</v>
      </c>
      <c r="E567" s="63">
        <v>96</v>
      </c>
      <c r="F567" s="63">
        <v>12</v>
      </c>
      <c r="G567" s="63" t="s">
        <v>7</v>
      </c>
    </row>
    <row r="568" spans="1:7">
      <c r="A568" t="s">
        <v>77</v>
      </c>
      <c r="B568" s="1" t="s">
        <v>3</v>
      </c>
      <c r="C568" s="63">
        <v>2019</v>
      </c>
      <c r="D568" s="63">
        <v>104</v>
      </c>
      <c r="E568" s="63">
        <v>93</v>
      </c>
      <c r="F568" s="63">
        <v>11</v>
      </c>
      <c r="G568" s="63" t="s">
        <v>7</v>
      </c>
    </row>
    <row r="569" spans="1:7" hidden="1">
      <c r="A569" t="s">
        <v>77</v>
      </c>
      <c r="B569" s="1" t="s">
        <v>3</v>
      </c>
      <c r="C569" s="63">
        <v>2020</v>
      </c>
      <c r="D569" s="63">
        <v>82</v>
      </c>
      <c r="E569" s="63">
        <v>70</v>
      </c>
      <c r="F569" s="63">
        <v>12</v>
      </c>
      <c r="G569" s="63" t="s">
        <v>7</v>
      </c>
    </row>
    <row r="570" spans="1:7">
      <c r="A570" t="s">
        <v>77</v>
      </c>
      <c r="B570" s="1" t="s">
        <v>3</v>
      </c>
      <c r="C570" s="63">
        <v>2021</v>
      </c>
      <c r="D570" s="63">
        <v>72</v>
      </c>
      <c r="E570" s="63">
        <v>61</v>
      </c>
      <c r="F570" s="63">
        <v>11</v>
      </c>
      <c r="G570" s="63" t="s">
        <v>7</v>
      </c>
    </row>
    <row r="571" spans="1:7" hidden="1">
      <c r="A571" t="s">
        <v>77</v>
      </c>
      <c r="B571" s="1" t="s">
        <v>3</v>
      </c>
      <c r="C571" s="63">
        <v>2022</v>
      </c>
      <c r="D571" s="63">
        <v>121</v>
      </c>
      <c r="E571" s="63">
        <v>112</v>
      </c>
      <c r="F571" s="63">
        <v>9</v>
      </c>
      <c r="G571" s="63" t="s">
        <v>7</v>
      </c>
    </row>
    <row r="572" spans="1:7" hidden="1">
      <c r="A572" t="s">
        <v>77</v>
      </c>
      <c r="B572" s="1" t="s">
        <v>3</v>
      </c>
      <c r="C572" s="63">
        <v>2023</v>
      </c>
      <c r="D572" s="63">
        <v>145</v>
      </c>
      <c r="E572" s="63">
        <v>126</v>
      </c>
      <c r="F572" s="63">
        <v>19</v>
      </c>
      <c r="G572" s="63" t="s">
        <v>7</v>
      </c>
    </row>
    <row r="573" spans="1:7" hidden="1">
      <c r="A573" t="s">
        <v>77</v>
      </c>
      <c r="B573" s="1" t="s">
        <v>3</v>
      </c>
      <c r="C573" s="63">
        <v>2024</v>
      </c>
      <c r="D573" s="63">
        <v>144</v>
      </c>
      <c r="E573" s="63">
        <v>117</v>
      </c>
      <c r="F573" s="63">
        <v>27</v>
      </c>
      <c r="G573" s="63" t="s">
        <v>7</v>
      </c>
    </row>
    <row r="574" spans="1:7" hidden="1">
      <c r="A574" t="s">
        <v>77</v>
      </c>
      <c r="B574" s="1" t="s">
        <v>35</v>
      </c>
      <c r="C574" s="2">
        <v>1990</v>
      </c>
      <c r="D574" s="2">
        <v>8</v>
      </c>
      <c r="E574" s="2">
        <v>8</v>
      </c>
      <c r="F574" s="1" t="s">
        <v>7</v>
      </c>
      <c r="G574" s="1" t="s">
        <v>7</v>
      </c>
    </row>
    <row r="575" spans="1:7" hidden="1">
      <c r="A575" t="s">
        <v>77</v>
      </c>
      <c r="B575" s="1" t="s">
        <v>36</v>
      </c>
      <c r="C575" s="2">
        <v>1991</v>
      </c>
      <c r="D575" s="2">
        <v>14</v>
      </c>
      <c r="E575" s="2">
        <v>13</v>
      </c>
      <c r="F575" s="2">
        <v>1</v>
      </c>
      <c r="G575" s="1" t="s">
        <v>7</v>
      </c>
    </row>
    <row r="576" spans="1:7" hidden="1">
      <c r="A576" t="s">
        <v>77</v>
      </c>
      <c r="B576" s="1" t="s">
        <v>37</v>
      </c>
      <c r="C576" s="2">
        <v>1992</v>
      </c>
      <c r="D576" s="2">
        <v>12</v>
      </c>
      <c r="E576" s="2">
        <v>11</v>
      </c>
      <c r="F576" s="2">
        <v>1</v>
      </c>
      <c r="G576" s="1" t="s">
        <v>7</v>
      </c>
    </row>
    <row r="577" spans="1:7" hidden="1">
      <c r="A577" t="s">
        <v>77</v>
      </c>
      <c r="B577" s="1" t="s">
        <v>38</v>
      </c>
      <c r="C577" s="2">
        <v>1993</v>
      </c>
      <c r="D577" s="2">
        <v>11</v>
      </c>
      <c r="E577" s="2">
        <v>10</v>
      </c>
      <c r="F577" s="2">
        <v>1</v>
      </c>
      <c r="G577" s="1" t="s">
        <v>7</v>
      </c>
    </row>
    <row r="578" spans="1:7" hidden="1">
      <c r="A578" t="s">
        <v>77</v>
      </c>
      <c r="B578" s="1" t="s">
        <v>38</v>
      </c>
      <c r="C578" s="2">
        <v>1998</v>
      </c>
      <c r="D578" s="2">
        <v>1</v>
      </c>
      <c r="E578" s="2">
        <v>1</v>
      </c>
      <c r="F578" s="1" t="s">
        <v>7</v>
      </c>
      <c r="G578" s="1" t="s">
        <v>7</v>
      </c>
    </row>
    <row r="579" spans="1:7" hidden="1">
      <c r="A579" t="s">
        <v>77</v>
      </c>
      <c r="B579" s="1" t="s">
        <v>39</v>
      </c>
      <c r="C579" s="2">
        <v>1994</v>
      </c>
      <c r="D579" s="2">
        <v>10</v>
      </c>
      <c r="E579" s="2">
        <v>8</v>
      </c>
      <c r="F579" s="2">
        <v>2</v>
      </c>
      <c r="G579" s="1" t="s">
        <v>7</v>
      </c>
    </row>
    <row r="580" spans="1:7" hidden="1">
      <c r="A580" t="s">
        <v>77</v>
      </c>
      <c r="B580" s="1" t="s">
        <v>40</v>
      </c>
      <c r="C580" s="2">
        <v>1995</v>
      </c>
      <c r="D580" s="2">
        <v>6</v>
      </c>
      <c r="E580" s="2">
        <v>4</v>
      </c>
      <c r="F580" s="2">
        <v>2</v>
      </c>
      <c r="G580" s="1" t="s">
        <v>7</v>
      </c>
    </row>
    <row r="581" spans="1:7" hidden="1">
      <c r="A581" t="s">
        <v>77</v>
      </c>
      <c r="B581" s="1" t="s">
        <v>41</v>
      </c>
      <c r="C581" s="2">
        <v>1996</v>
      </c>
      <c r="D581" s="2">
        <v>8</v>
      </c>
      <c r="E581" s="2">
        <v>8</v>
      </c>
      <c r="F581" s="1" t="s">
        <v>7</v>
      </c>
      <c r="G581" s="1" t="s">
        <v>7</v>
      </c>
    </row>
    <row r="582" spans="1:7" hidden="1">
      <c r="A582" t="s">
        <v>77</v>
      </c>
      <c r="B582" s="1" t="s">
        <v>42</v>
      </c>
      <c r="C582" s="2">
        <v>1997</v>
      </c>
      <c r="D582" s="2">
        <v>11</v>
      </c>
      <c r="E582" s="2">
        <v>11</v>
      </c>
      <c r="F582" s="1" t="s">
        <v>7</v>
      </c>
      <c r="G582" s="1" t="s">
        <v>7</v>
      </c>
    </row>
    <row r="583" spans="1:7" hidden="1">
      <c r="A583" t="s">
        <v>77</v>
      </c>
      <c r="B583" s="1" t="s">
        <v>43</v>
      </c>
      <c r="C583" s="2">
        <v>1998</v>
      </c>
      <c r="D583" s="2">
        <v>7</v>
      </c>
      <c r="E583" s="2">
        <v>7</v>
      </c>
      <c r="F583" s="1" t="s">
        <v>7</v>
      </c>
      <c r="G583" s="1" t="s">
        <v>7</v>
      </c>
    </row>
    <row r="584" spans="1:7" hidden="1">
      <c r="A584" t="s">
        <v>77</v>
      </c>
      <c r="B584" s="1" t="s">
        <v>44</v>
      </c>
      <c r="C584" s="2">
        <v>1999</v>
      </c>
      <c r="D584" s="2">
        <v>8</v>
      </c>
      <c r="E584" s="2">
        <v>8</v>
      </c>
      <c r="F584" s="1" t="s">
        <v>7</v>
      </c>
      <c r="G584" s="1" t="s">
        <v>7</v>
      </c>
    </row>
    <row r="585" spans="1:7" hidden="1">
      <c r="A585" t="s">
        <v>77</v>
      </c>
      <c r="B585" s="1" t="s">
        <v>45</v>
      </c>
      <c r="C585" s="2">
        <v>2000</v>
      </c>
      <c r="D585" s="2">
        <v>6</v>
      </c>
      <c r="E585" s="2">
        <v>6</v>
      </c>
      <c r="F585" s="1" t="s">
        <v>7</v>
      </c>
      <c r="G585" s="1" t="s">
        <v>7</v>
      </c>
    </row>
    <row r="586" spans="1:7" hidden="1">
      <c r="A586" t="s">
        <v>77</v>
      </c>
      <c r="B586" s="1" t="s">
        <v>46</v>
      </c>
      <c r="C586" s="2">
        <v>2001</v>
      </c>
      <c r="D586" s="2">
        <v>5</v>
      </c>
      <c r="E586" s="2">
        <v>5</v>
      </c>
      <c r="F586" s="1" t="s">
        <v>7</v>
      </c>
      <c r="G586" s="1" t="s">
        <v>7</v>
      </c>
    </row>
    <row r="587" spans="1:7" hidden="1">
      <c r="A587" t="s">
        <v>77</v>
      </c>
      <c r="B587" s="1" t="s">
        <v>47</v>
      </c>
      <c r="C587" s="2">
        <v>2002</v>
      </c>
      <c r="D587" s="2">
        <v>8</v>
      </c>
      <c r="E587" s="2">
        <v>8</v>
      </c>
      <c r="F587" s="1" t="s">
        <v>7</v>
      </c>
      <c r="G587" s="1" t="s">
        <v>7</v>
      </c>
    </row>
    <row r="588" spans="1:7" hidden="1">
      <c r="A588" t="s">
        <v>77</v>
      </c>
      <c r="B588" s="1" t="s">
        <v>48</v>
      </c>
      <c r="C588" s="2">
        <v>2003</v>
      </c>
      <c r="D588" s="2">
        <v>7</v>
      </c>
      <c r="E588" s="2">
        <v>6</v>
      </c>
      <c r="F588" s="2">
        <v>1</v>
      </c>
      <c r="G588" s="1" t="s">
        <v>7</v>
      </c>
    </row>
    <row r="589" spans="1:7" hidden="1">
      <c r="A589" t="s">
        <v>77</v>
      </c>
      <c r="B589" s="1" t="s">
        <v>49</v>
      </c>
      <c r="C589" s="2">
        <v>2004</v>
      </c>
      <c r="D589" s="2">
        <v>4</v>
      </c>
      <c r="E589" s="2">
        <v>4</v>
      </c>
      <c r="F589" s="1" t="s">
        <v>7</v>
      </c>
      <c r="G589" s="1" t="s">
        <v>7</v>
      </c>
    </row>
    <row r="590" spans="1:7" hidden="1">
      <c r="A590" t="s">
        <v>77</v>
      </c>
      <c r="B590" s="1" t="s">
        <v>50</v>
      </c>
      <c r="C590" s="2">
        <v>2005</v>
      </c>
      <c r="D590" s="2">
        <v>7</v>
      </c>
      <c r="E590" s="2">
        <v>6</v>
      </c>
      <c r="F590" s="2">
        <v>1</v>
      </c>
      <c r="G590" s="1" t="s">
        <v>7</v>
      </c>
    </row>
    <row r="591" spans="1:7" hidden="1">
      <c r="A591" t="s">
        <v>77</v>
      </c>
      <c r="B591" s="1" t="s">
        <v>51</v>
      </c>
      <c r="C591" s="2">
        <v>2006</v>
      </c>
      <c r="D591" s="2">
        <v>6</v>
      </c>
      <c r="E591" s="2">
        <v>5</v>
      </c>
      <c r="F591" s="2">
        <v>1</v>
      </c>
      <c r="G591" s="1" t="s">
        <v>7</v>
      </c>
    </row>
    <row r="592" spans="1:7" hidden="1">
      <c r="A592" t="s">
        <v>77</v>
      </c>
      <c r="B592" s="1" t="s">
        <v>52</v>
      </c>
      <c r="C592" s="2">
        <v>2007</v>
      </c>
      <c r="D592" s="2">
        <v>9</v>
      </c>
      <c r="E592" s="2">
        <v>9</v>
      </c>
      <c r="F592" s="1" t="s">
        <v>7</v>
      </c>
      <c r="G592" s="1" t="s">
        <v>7</v>
      </c>
    </row>
    <row r="593" spans="1:7" hidden="1">
      <c r="A593" t="s">
        <v>77</v>
      </c>
      <c r="B593" s="1" t="s">
        <v>53</v>
      </c>
      <c r="C593" s="2">
        <v>2008</v>
      </c>
      <c r="D593" s="2">
        <v>9</v>
      </c>
      <c r="E593" s="2">
        <v>8</v>
      </c>
      <c r="F593" s="2">
        <v>1</v>
      </c>
      <c r="G593" s="1" t="s">
        <v>7</v>
      </c>
    </row>
    <row r="594" spans="1:7" hidden="1">
      <c r="A594" t="s">
        <v>77</v>
      </c>
      <c r="B594" s="1" t="s">
        <v>53</v>
      </c>
      <c r="C594" s="2">
        <v>2009</v>
      </c>
      <c r="D594" s="2">
        <v>1</v>
      </c>
      <c r="E594" s="2">
        <v>1</v>
      </c>
      <c r="F594" s="1" t="s">
        <v>7</v>
      </c>
      <c r="G594" s="1" t="s">
        <v>7</v>
      </c>
    </row>
    <row r="595" spans="1:7" hidden="1">
      <c r="A595" t="s">
        <v>77</v>
      </c>
      <c r="B595" s="1" t="s">
        <v>54</v>
      </c>
      <c r="C595" s="2">
        <v>2009</v>
      </c>
      <c r="D595" s="2">
        <v>7</v>
      </c>
      <c r="E595" s="2">
        <v>5</v>
      </c>
      <c r="F595" s="2">
        <v>2</v>
      </c>
      <c r="G595" s="1" t="s">
        <v>7</v>
      </c>
    </row>
    <row r="596" spans="1:7" hidden="1">
      <c r="A596" t="s">
        <v>77</v>
      </c>
      <c r="B596" s="1" t="s">
        <v>55</v>
      </c>
      <c r="C596" s="2">
        <v>2010</v>
      </c>
      <c r="D596" s="2">
        <v>18</v>
      </c>
      <c r="E596" s="2">
        <v>17</v>
      </c>
      <c r="F596" s="2">
        <v>1</v>
      </c>
      <c r="G596" s="1" t="s">
        <v>7</v>
      </c>
    </row>
    <row r="597" spans="1:7" hidden="1">
      <c r="A597" t="s">
        <v>77</v>
      </c>
      <c r="B597" s="1" t="s">
        <v>56</v>
      </c>
      <c r="C597" s="2">
        <v>2011</v>
      </c>
      <c r="D597" s="2">
        <v>25</v>
      </c>
      <c r="E597" s="2">
        <v>20</v>
      </c>
      <c r="F597" s="2">
        <v>5</v>
      </c>
      <c r="G597" s="1" t="s">
        <v>7</v>
      </c>
    </row>
    <row r="598" spans="1:7" hidden="1">
      <c r="A598" t="s">
        <v>77</v>
      </c>
      <c r="B598" s="1" t="s">
        <v>57</v>
      </c>
      <c r="C598" s="2">
        <v>2012</v>
      </c>
      <c r="D598" s="2">
        <v>42</v>
      </c>
      <c r="E598" s="2">
        <v>39</v>
      </c>
      <c r="F598" s="2">
        <v>3</v>
      </c>
      <c r="G598" s="1" t="s">
        <v>7</v>
      </c>
    </row>
    <row r="599" spans="1:7" hidden="1">
      <c r="A599" t="s">
        <v>77</v>
      </c>
      <c r="B599" s="1" t="s">
        <v>57</v>
      </c>
      <c r="C599" s="2">
        <v>2013</v>
      </c>
      <c r="D599" s="2">
        <v>2</v>
      </c>
      <c r="E599" s="2">
        <v>2</v>
      </c>
      <c r="F599" s="1" t="s">
        <v>7</v>
      </c>
      <c r="G599" s="1" t="s">
        <v>7</v>
      </c>
    </row>
    <row r="600" spans="1:7" hidden="1">
      <c r="A600" t="s">
        <v>77</v>
      </c>
      <c r="B600" s="1" t="s">
        <v>58</v>
      </c>
      <c r="C600" s="2">
        <v>2013</v>
      </c>
      <c r="D600" s="2">
        <v>24</v>
      </c>
      <c r="E600" s="2">
        <v>22</v>
      </c>
      <c r="F600" s="2">
        <v>2</v>
      </c>
      <c r="G600" s="1" t="s">
        <v>7</v>
      </c>
    </row>
    <row r="601" spans="1:7" hidden="1">
      <c r="A601" t="s">
        <v>77</v>
      </c>
      <c r="B601" s="1" t="s">
        <v>59</v>
      </c>
      <c r="C601" s="2">
        <v>2014</v>
      </c>
      <c r="D601" s="2">
        <v>16</v>
      </c>
      <c r="E601" s="2">
        <v>14</v>
      </c>
      <c r="F601" s="2">
        <v>2</v>
      </c>
      <c r="G601" s="1" t="s">
        <v>7</v>
      </c>
    </row>
    <row r="602" spans="1:7" hidden="1">
      <c r="A602" t="s">
        <v>77</v>
      </c>
      <c r="B602" s="1" t="s">
        <v>60</v>
      </c>
      <c r="C602" s="2">
        <v>2015</v>
      </c>
      <c r="D602" s="2">
        <v>34</v>
      </c>
      <c r="E602" s="2">
        <v>32</v>
      </c>
      <c r="F602" s="2">
        <v>2</v>
      </c>
      <c r="G602" s="1" t="s">
        <v>7</v>
      </c>
    </row>
    <row r="603" spans="1:7" hidden="1">
      <c r="A603" t="s">
        <v>77</v>
      </c>
      <c r="B603" s="1" t="s">
        <v>60</v>
      </c>
      <c r="C603" s="2">
        <v>2016</v>
      </c>
      <c r="D603" s="2">
        <v>1</v>
      </c>
      <c r="E603" s="2">
        <v>1</v>
      </c>
      <c r="F603" s="1" t="s">
        <v>7</v>
      </c>
      <c r="G603" s="1" t="s">
        <v>7</v>
      </c>
    </row>
    <row r="604" spans="1:7" hidden="1">
      <c r="A604" t="s">
        <v>77</v>
      </c>
      <c r="B604" s="1" t="s">
        <v>61</v>
      </c>
      <c r="C604" s="2">
        <v>2016</v>
      </c>
      <c r="D604" s="2">
        <v>87</v>
      </c>
      <c r="E604" s="2">
        <v>83</v>
      </c>
      <c r="F604" s="2">
        <v>4</v>
      </c>
      <c r="G604" s="1" t="s">
        <v>7</v>
      </c>
    </row>
    <row r="605" spans="1:7" hidden="1">
      <c r="A605" t="s">
        <v>77</v>
      </c>
      <c r="B605" s="1" t="s">
        <v>61</v>
      </c>
      <c r="C605" s="2">
        <v>2017</v>
      </c>
      <c r="D605" s="2">
        <v>1</v>
      </c>
      <c r="E605" s="2">
        <v>1</v>
      </c>
      <c r="F605" s="1" t="s">
        <v>7</v>
      </c>
      <c r="G605" s="1" t="s">
        <v>7</v>
      </c>
    </row>
    <row r="606" spans="1:7" hidden="1">
      <c r="A606" t="s">
        <v>77</v>
      </c>
      <c r="B606" s="1" t="s">
        <v>62</v>
      </c>
      <c r="C606" s="2">
        <v>2017</v>
      </c>
      <c r="D606" s="2">
        <v>125</v>
      </c>
      <c r="E606" s="2">
        <v>120</v>
      </c>
      <c r="F606" s="2">
        <v>5</v>
      </c>
      <c r="G606" s="1" t="s">
        <v>7</v>
      </c>
    </row>
    <row r="607" spans="1:7" hidden="1">
      <c r="A607" t="s">
        <v>77</v>
      </c>
      <c r="B607" s="1" t="s">
        <v>62</v>
      </c>
      <c r="C607" s="2">
        <v>2018</v>
      </c>
      <c r="D607" s="2">
        <v>1</v>
      </c>
      <c r="E607" s="1" t="s">
        <v>7</v>
      </c>
      <c r="F607" s="2">
        <v>1</v>
      </c>
      <c r="G607" s="1" t="s">
        <v>7</v>
      </c>
    </row>
    <row r="608" spans="1:7" hidden="1">
      <c r="A608" t="s">
        <v>77</v>
      </c>
      <c r="B608" s="1" t="s">
        <v>63</v>
      </c>
      <c r="C608" s="2">
        <v>2018</v>
      </c>
      <c r="D608" s="2">
        <v>106</v>
      </c>
      <c r="E608" s="2">
        <v>95</v>
      </c>
      <c r="F608" s="2">
        <v>11</v>
      </c>
      <c r="G608" s="1" t="s">
        <v>7</v>
      </c>
    </row>
    <row r="609" spans="1:7" hidden="1">
      <c r="A609" t="s">
        <v>77</v>
      </c>
      <c r="B609" s="1" t="s">
        <v>63</v>
      </c>
      <c r="C609" s="2">
        <v>2019</v>
      </c>
      <c r="D609" s="2">
        <v>4</v>
      </c>
      <c r="E609" s="2">
        <v>3</v>
      </c>
      <c r="F609" s="2">
        <v>1</v>
      </c>
      <c r="G609" s="1" t="s">
        <v>7</v>
      </c>
    </row>
    <row r="610" spans="1:7" hidden="1">
      <c r="A610" t="s">
        <v>77</v>
      </c>
      <c r="B610" s="1" t="s">
        <v>64</v>
      </c>
      <c r="C610" s="2">
        <v>2019</v>
      </c>
      <c r="D610" s="2">
        <v>100</v>
      </c>
      <c r="E610" s="2">
        <v>90</v>
      </c>
      <c r="F610" s="2">
        <v>10</v>
      </c>
      <c r="G610" s="1" t="s">
        <v>7</v>
      </c>
    </row>
    <row r="611" spans="1:7" hidden="1">
      <c r="A611" t="s">
        <v>77</v>
      </c>
      <c r="B611" s="1" t="s">
        <v>64</v>
      </c>
      <c r="C611" s="2">
        <v>2020</v>
      </c>
      <c r="D611" s="2">
        <v>1</v>
      </c>
      <c r="E611" s="2">
        <v>1</v>
      </c>
      <c r="F611" s="1" t="s">
        <v>7</v>
      </c>
      <c r="G611" s="1" t="s">
        <v>7</v>
      </c>
    </row>
    <row r="612" spans="1:7" hidden="1">
      <c r="A612" t="s">
        <v>77</v>
      </c>
      <c r="B612" s="1" t="s">
        <v>64</v>
      </c>
      <c r="C612" s="2">
        <v>2021</v>
      </c>
      <c r="D612" s="2">
        <v>1</v>
      </c>
      <c r="E612" s="2">
        <v>1</v>
      </c>
      <c r="F612" s="1" t="s">
        <v>7</v>
      </c>
      <c r="G612" s="1" t="s">
        <v>7</v>
      </c>
    </row>
    <row r="613" spans="1:7" hidden="1">
      <c r="A613" t="s">
        <v>77</v>
      </c>
      <c r="B613" s="1" t="s">
        <v>65</v>
      </c>
      <c r="C613" s="2">
        <v>2020</v>
      </c>
      <c r="D613" s="2">
        <v>81</v>
      </c>
      <c r="E613" s="2">
        <v>69</v>
      </c>
      <c r="F613" s="2">
        <v>12</v>
      </c>
      <c r="G613" s="1" t="s">
        <v>7</v>
      </c>
    </row>
    <row r="614" spans="1:7" hidden="1">
      <c r="A614" t="s">
        <v>77</v>
      </c>
      <c r="B614" s="1" t="s">
        <v>65</v>
      </c>
      <c r="C614" s="2">
        <v>2021</v>
      </c>
      <c r="D614" s="2">
        <v>2</v>
      </c>
      <c r="E614" s="2">
        <v>1</v>
      </c>
      <c r="F614" s="2">
        <v>1</v>
      </c>
      <c r="G614" s="1" t="s">
        <v>7</v>
      </c>
    </row>
    <row r="615" spans="1:7" hidden="1">
      <c r="A615" t="s">
        <v>77</v>
      </c>
      <c r="B615" s="1" t="s">
        <v>66</v>
      </c>
      <c r="C615" s="2">
        <v>2021</v>
      </c>
      <c r="D615" s="2">
        <v>65</v>
      </c>
      <c r="E615" s="2">
        <v>56</v>
      </c>
      <c r="F615" s="2">
        <v>9</v>
      </c>
      <c r="G615" s="1" t="s">
        <v>7</v>
      </c>
    </row>
    <row r="616" spans="1:7" hidden="1">
      <c r="A616" t="s">
        <v>77</v>
      </c>
      <c r="B616" s="1" t="s">
        <v>66</v>
      </c>
      <c r="C616" s="2">
        <v>2022</v>
      </c>
      <c r="D616" s="2">
        <v>1</v>
      </c>
      <c r="E616" s="2">
        <v>1</v>
      </c>
      <c r="F616" s="1" t="s">
        <v>7</v>
      </c>
      <c r="G616" s="1" t="s">
        <v>7</v>
      </c>
    </row>
    <row r="617" spans="1:7" hidden="1">
      <c r="A617" t="s">
        <v>77</v>
      </c>
      <c r="B617" s="1" t="s">
        <v>67</v>
      </c>
      <c r="C617" s="2">
        <v>2022</v>
      </c>
      <c r="D617" s="2">
        <v>116</v>
      </c>
      <c r="E617" s="2">
        <v>107</v>
      </c>
      <c r="F617" s="2">
        <v>9</v>
      </c>
      <c r="G617" s="1" t="s">
        <v>7</v>
      </c>
    </row>
    <row r="618" spans="1:7" hidden="1">
      <c r="A618" t="s">
        <v>77</v>
      </c>
      <c r="B618" s="1" t="s">
        <v>67</v>
      </c>
      <c r="C618" s="2">
        <v>2023</v>
      </c>
      <c r="D618" s="2">
        <v>1</v>
      </c>
      <c r="E618" s="2">
        <v>1</v>
      </c>
      <c r="F618" s="1" t="s">
        <v>7</v>
      </c>
      <c r="G618" s="1" t="s">
        <v>7</v>
      </c>
    </row>
    <row r="619" spans="1:7" hidden="1">
      <c r="A619" t="s">
        <v>77</v>
      </c>
      <c r="B619" s="1" t="s">
        <v>67</v>
      </c>
      <c r="C619" s="2">
        <v>2024</v>
      </c>
      <c r="D619" s="2">
        <v>5</v>
      </c>
      <c r="E619" s="2">
        <v>4</v>
      </c>
      <c r="F619" s="2">
        <v>1</v>
      </c>
      <c r="G619" s="1" t="s">
        <v>7</v>
      </c>
    </row>
    <row r="620" spans="1:7" hidden="1">
      <c r="A620" t="s">
        <v>77</v>
      </c>
      <c r="B620" s="1" t="s">
        <v>68</v>
      </c>
      <c r="C620" s="2">
        <v>2023</v>
      </c>
      <c r="D620" s="2">
        <v>140</v>
      </c>
      <c r="E620" s="2">
        <v>121</v>
      </c>
      <c r="F620" s="2">
        <v>19</v>
      </c>
      <c r="G620" s="1" t="s">
        <v>7</v>
      </c>
    </row>
    <row r="621" spans="1:7" hidden="1">
      <c r="A621" t="s">
        <v>77</v>
      </c>
      <c r="B621" s="1" t="s">
        <v>68</v>
      </c>
      <c r="C621" s="2">
        <v>2024</v>
      </c>
      <c r="D621" s="2">
        <v>4</v>
      </c>
      <c r="E621" s="2">
        <v>4</v>
      </c>
      <c r="F621" s="1" t="s">
        <v>7</v>
      </c>
      <c r="G621" s="1" t="s">
        <v>7</v>
      </c>
    </row>
    <row r="622" spans="1:7" hidden="1">
      <c r="A622" t="s">
        <v>77</v>
      </c>
      <c r="B622" s="1" t="s">
        <v>69</v>
      </c>
      <c r="C622" s="2">
        <v>2024</v>
      </c>
      <c r="D622" s="2">
        <v>135</v>
      </c>
      <c r="E622" s="2">
        <v>109</v>
      </c>
      <c r="F622" s="2">
        <v>26</v>
      </c>
      <c r="G622" s="1" t="s">
        <v>7</v>
      </c>
    </row>
    <row r="623" spans="1:7" hidden="1">
      <c r="A623" t="s">
        <v>77</v>
      </c>
      <c r="B623" s="1" t="s">
        <v>6</v>
      </c>
      <c r="C623" s="2">
        <v>1990</v>
      </c>
      <c r="D623" s="2">
        <v>1</v>
      </c>
      <c r="E623" s="2">
        <v>1</v>
      </c>
      <c r="F623" s="1" t="s">
        <v>7</v>
      </c>
      <c r="G623" s="1" t="s">
        <v>7</v>
      </c>
    </row>
    <row r="624" spans="1:7" hidden="1">
      <c r="A624" t="s">
        <v>77</v>
      </c>
      <c r="B624" s="1" t="s">
        <v>6</v>
      </c>
      <c r="C624" s="2">
        <v>1991</v>
      </c>
      <c r="D624" s="2">
        <v>1</v>
      </c>
      <c r="E624" s="2">
        <v>1</v>
      </c>
      <c r="F624" s="1" t="s">
        <v>7</v>
      </c>
      <c r="G624" s="1" t="s">
        <v>7</v>
      </c>
    </row>
    <row r="625" spans="1:7" hidden="1">
      <c r="A625" t="s">
        <v>77</v>
      </c>
      <c r="B625" s="1" t="s">
        <v>6</v>
      </c>
      <c r="C625" s="2">
        <v>1992</v>
      </c>
      <c r="D625" s="2">
        <v>4</v>
      </c>
      <c r="E625" s="2">
        <v>3</v>
      </c>
      <c r="F625" s="2">
        <v>1</v>
      </c>
      <c r="G625" s="1" t="s">
        <v>7</v>
      </c>
    </row>
    <row r="626" spans="1:7" hidden="1">
      <c r="A626" t="s">
        <v>77</v>
      </c>
      <c r="B626" s="1" t="s">
        <v>6</v>
      </c>
      <c r="C626" s="2">
        <v>1993</v>
      </c>
      <c r="D626" s="2">
        <v>1</v>
      </c>
      <c r="E626" s="2">
        <v>1</v>
      </c>
      <c r="F626" s="1" t="s">
        <v>7</v>
      </c>
      <c r="G626" s="1" t="s">
        <v>7</v>
      </c>
    </row>
    <row r="627" spans="1:7" hidden="1">
      <c r="A627" t="s">
        <v>77</v>
      </c>
      <c r="B627" s="1" t="s">
        <v>6</v>
      </c>
      <c r="C627" s="2">
        <v>2018</v>
      </c>
      <c r="D627" s="2">
        <v>1</v>
      </c>
      <c r="E627" s="2">
        <v>1</v>
      </c>
      <c r="F627" s="1" t="s">
        <v>7</v>
      </c>
      <c r="G627" s="1" t="s">
        <v>7</v>
      </c>
    </row>
    <row r="628" spans="1:7" hidden="1">
      <c r="A628" t="s">
        <v>77</v>
      </c>
      <c r="B628" s="1" t="s">
        <v>6</v>
      </c>
      <c r="C628" s="2">
        <v>2021</v>
      </c>
      <c r="D628" s="2">
        <v>4</v>
      </c>
      <c r="E628" s="2">
        <v>3</v>
      </c>
      <c r="F628" s="2">
        <v>1</v>
      </c>
      <c r="G628" s="1" t="s">
        <v>7</v>
      </c>
    </row>
    <row r="629" spans="1:7" hidden="1">
      <c r="A629" t="s">
        <v>77</v>
      </c>
      <c r="B629" s="1" t="s">
        <v>6</v>
      </c>
      <c r="C629" s="2">
        <v>2022</v>
      </c>
      <c r="D629" s="2">
        <v>4</v>
      </c>
      <c r="E629" s="2">
        <v>4</v>
      </c>
      <c r="F629" s="1" t="s">
        <v>7</v>
      </c>
      <c r="G629" s="1" t="s">
        <v>7</v>
      </c>
    </row>
    <row r="630" spans="1:7" hidden="1">
      <c r="A630" t="s">
        <v>77</v>
      </c>
      <c r="B630" s="1" t="s">
        <v>6</v>
      </c>
      <c r="C630" s="2">
        <v>2023</v>
      </c>
      <c r="D630" s="2">
        <v>4</v>
      </c>
      <c r="E630" s="2">
        <v>4</v>
      </c>
      <c r="F630" s="1" t="s">
        <v>7</v>
      </c>
      <c r="G630" s="1" t="s">
        <v>7</v>
      </c>
    </row>
    <row r="631" spans="1:7" hidden="1">
      <c r="A631" t="s">
        <v>78</v>
      </c>
      <c r="B631" s="1" t="s">
        <v>3</v>
      </c>
      <c r="C631" s="63">
        <v>1990</v>
      </c>
      <c r="D631" s="63">
        <v>8</v>
      </c>
      <c r="E631" s="63">
        <v>8</v>
      </c>
      <c r="F631" s="63" t="s">
        <v>7</v>
      </c>
      <c r="G631" s="63" t="s">
        <v>7</v>
      </c>
    </row>
    <row r="632" spans="1:7" hidden="1">
      <c r="A632" t="s">
        <v>78</v>
      </c>
      <c r="B632" s="1" t="s">
        <v>3</v>
      </c>
      <c r="C632" s="63">
        <v>1991</v>
      </c>
      <c r="D632" s="63">
        <v>12</v>
      </c>
      <c r="E632" s="63">
        <v>11</v>
      </c>
      <c r="F632" s="63">
        <v>1</v>
      </c>
      <c r="G632" s="63" t="s">
        <v>7</v>
      </c>
    </row>
    <row r="633" spans="1:7" hidden="1">
      <c r="A633" t="s">
        <v>78</v>
      </c>
      <c r="B633" s="1" t="s">
        <v>3</v>
      </c>
      <c r="C633" s="63">
        <v>1992</v>
      </c>
      <c r="D633" s="63">
        <v>12</v>
      </c>
      <c r="E633" s="63">
        <v>11</v>
      </c>
      <c r="F633" s="63">
        <v>1</v>
      </c>
      <c r="G633" s="63" t="s">
        <v>7</v>
      </c>
    </row>
    <row r="634" spans="1:7" hidden="1">
      <c r="A634" t="s">
        <v>78</v>
      </c>
      <c r="B634" s="1" t="s">
        <v>3</v>
      </c>
      <c r="C634" s="63">
        <v>1993</v>
      </c>
      <c r="D634" s="63">
        <v>5</v>
      </c>
      <c r="E634" s="63">
        <v>5</v>
      </c>
      <c r="F634" s="63" t="s">
        <v>7</v>
      </c>
      <c r="G634" s="63" t="s">
        <v>7</v>
      </c>
    </row>
    <row r="635" spans="1:7" hidden="1">
      <c r="A635" t="s">
        <v>78</v>
      </c>
      <c r="B635" s="1" t="s">
        <v>3</v>
      </c>
      <c r="C635" s="63">
        <v>1994</v>
      </c>
      <c r="D635" s="63">
        <v>12</v>
      </c>
      <c r="E635" s="63">
        <v>10</v>
      </c>
      <c r="F635" s="63">
        <v>2</v>
      </c>
      <c r="G635" s="63" t="s">
        <v>7</v>
      </c>
    </row>
    <row r="636" spans="1:7" hidden="1">
      <c r="A636" t="s">
        <v>78</v>
      </c>
      <c r="B636" s="1" t="s">
        <v>3</v>
      </c>
      <c r="C636" s="63">
        <v>1995</v>
      </c>
      <c r="D636" s="63">
        <v>2</v>
      </c>
      <c r="E636" s="63">
        <v>2</v>
      </c>
      <c r="F636" s="63" t="s">
        <v>7</v>
      </c>
      <c r="G636" s="63" t="s">
        <v>7</v>
      </c>
    </row>
    <row r="637" spans="1:7" hidden="1">
      <c r="A637" t="s">
        <v>78</v>
      </c>
      <c r="B637" s="1" t="s">
        <v>3</v>
      </c>
      <c r="C637" s="63">
        <v>1996</v>
      </c>
      <c r="D637" s="63">
        <v>3</v>
      </c>
      <c r="E637" s="63">
        <v>3</v>
      </c>
      <c r="F637" s="63" t="s">
        <v>7</v>
      </c>
      <c r="G637" s="63" t="s">
        <v>7</v>
      </c>
    </row>
    <row r="638" spans="1:7" hidden="1">
      <c r="A638" t="s">
        <v>78</v>
      </c>
      <c r="B638" s="1" t="s">
        <v>3</v>
      </c>
      <c r="C638" s="63">
        <v>1997</v>
      </c>
      <c r="D638" s="63">
        <v>6</v>
      </c>
      <c r="E638" s="63">
        <v>5</v>
      </c>
      <c r="F638" s="63">
        <v>1</v>
      </c>
      <c r="G638" s="63" t="s">
        <v>7</v>
      </c>
    </row>
    <row r="639" spans="1:7" hidden="1">
      <c r="A639" t="s">
        <v>78</v>
      </c>
      <c r="B639" s="1" t="s">
        <v>3</v>
      </c>
      <c r="C639" s="63">
        <v>1998</v>
      </c>
      <c r="D639" s="63">
        <v>5</v>
      </c>
      <c r="E639" s="63">
        <v>3</v>
      </c>
      <c r="F639" s="63">
        <v>2</v>
      </c>
      <c r="G639" s="63" t="s">
        <v>7</v>
      </c>
    </row>
    <row r="640" spans="1:7" hidden="1">
      <c r="A640" t="s">
        <v>78</v>
      </c>
      <c r="B640" s="1" t="s">
        <v>3</v>
      </c>
      <c r="C640" s="63">
        <v>1999</v>
      </c>
      <c r="D640" s="63">
        <v>5</v>
      </c>
      <c r="E640" s="63">
        <v>4</v>
      </c>
      <c r="F640" s="63">
        <v>1</v>
      </c>
      <c r="G640" s="63" t="s">
        <v>7</v>
      </c>
    </row>
    <row r="641" spans="1:7" hidden="1">
      <c r="A641" t="s">
        <v>78</v>
      </c>
      <c r="B641" s="1" t="s">
        <v>3</v>
      </c>
      <c r="C641" s="63">
        <v>2000</v>
      </c>
      <c r="D641" s="63">
        <v>6</v>
      </c>
      <c r="E641" s="63">
        <v>4</v>
      </c>
      <c r="F641" s="63">
        <v>2</v>
      </c>
      <c r="G641" s="63" t="s">
        <v>7</v>
      </c>
    </row>
    <row r="642" spans="1:7" hidden="1">
      <c r="A642" t="s">
        <v>78</v>
      </c>
      <c r="B642" s="1" t="s">
        <v>3</v>
      </c>
      <c r="C642" s="63">
        <v>2001</v>
      </c>
      <c r="D642" s="63">
        <v>5</v>
      </c>
      <c r="E642" s="63">
        <v>5</v>
      </c>
      <c r="F642" s="63" t="s">
        <v>7</v>
      </c>
      <c r="G642" s="63" t="s">
        <v>7</v>
      </c>
    </row>
    <row r="643" spans="1:7" hidden="1">
      <c r="A643" t="s">
        <v>78</v>
      </c>
      <c r="B643" s="1" t="s">
        <v>3</v>
      </c>
      <c r="C643" s="63">
        <v>2002</v>
      </c>
      <c r="D643" s="63">
        <v>3</v>
      </c>
      <c r="E643" s="63">
        <v>3</v>
      </c>
      <c r="F643" s="63" t="s">
        <v>7</v>
      </c>
      <c r="G643" s="63" t="s">
        <v>7</v>
      </c>
    </row>
    <row r="644" spans="1:7" hidden="1">
      <c r="A644" t="s">
        <v>78</v>
      </c>
      <c r="B644" s="1" t="s">
        <v>3</v>
      </c>
      <c r="C644" s="63">
        <v>2003</v>
      </c>
      <c r="D644" s="63">
        <v>5</v>
      </c>
      <c r="E644" s="63">
        <v>3</v>
      </c>
      <c r="F644" s="63">
        <v>2</v>
      </c>
      <c r="G644" s="63" t="s">
        <v>7</v>
      </c>
    </row>
    <row r="645" spans="1:7" hidden="1">
      <c r="A645" t="s">
        <v>78</v>
      </c>
      <c r="B645" s="1" t="s">
        <v>3</v>
      </c>
      <c r="C645" s="63">
        <v>2004</v>
      </c>
      <c r="D645" s="63">
        <v>8</v>
      </c>
      <c r="E645" s="63">
        <v>8</v>
      </c>
      <c r="F645" s="63" t="s">
        <v>7</v>
      </c>
      <c r="G645" s="63" t="s">
        <v>7</v>
      </c>
    </row>
    <row r="646" spans="1:7" hidden="1">
      <c r="A646" t="s">
        <v>78</v>
      </c>
      <c r="B646" s="1" t="s">
        <v>3</v>
      </c>
      <c r="C646" s="63">
        <v>2005</v>
      </c>
      <c r="D646" s="63">
        <v>6</v>
      </c>
      <c r="E646" s="63">
        <v>5</v>
      </c>
      <c r="F646" s="63">
        <v>1</v>
      </c>
      <c r="G646" s="63" t="s">
        <v>7</v>
      </c>
    </row>
    <row r="647" spans="1:7" hidden="1">
      <c r="A647" t="s">
        <v>78</v>
      </c>
      <c r="B647" s="1" t="s">
        <v>3</v>
      </c>
      <c r="C647" s="63">
        <v>2006</v>
      </c>
      <c r="D647" s="63">
        <v>2</v>
      </c>
      <c r="E647" s="63">
        <v>2</v>
      </c>
      <c r="F647" s="63" t="s">
        <v>7</v>
      </c>
      <c r="G647" s="63" t="s">
        <v>7</v>
      </c>
    </row>
    <row r="648" spans="1:7" hidden="1">
      <c r="A648" t="s">
        <v>78</v>
      </c>
      <c r="B648" s="1" t="s">
        <v>3</v>
      </c>
      <c r="C648" s="63">
        <v>2007</v>
      </c>
      <c r="D648" s="63">
        <v>5</v>
      </c>
      <c r="E648" s="63">
        <v>3</v>
      </c>
      <c r="F648" s="63">
        <v>2</v>
      </c>
      <c r="G648" s="63" t="s">
        <v>7</v>
      </c>
    </row>
    <row r="649" spans="1:7" hidden="1">
      <c r="A649" t="s">
        <v>78</v>
      </c>
      <c r="B649" s="1" t="s">
        <v>3</v>
      </c>
      <c r="C649" s="63">
        <v>2008</v>
      </c>
      <c r="D649" s="63">
        <v>1</v>
      </c>
      <c r="E649" s="63">
        <v>1</v>
      </c>
      <c r="F649" s="63" t="s">
        <v>7</v>
      </c>
      <c r="G649" s="63" t="s">
        <v>7</v>
      </c>
    </row>
    <row r="650" spans="1:7" hidden="1">
      <c r="A650" t="s">
        <v>78</v>
      </c>
      <c r="B650" s="1" t="s">
        <v>3</v>
      </c>
      <c r="C650" s="63">
        <v>2009</v>
      </c>
      <c r="D650" s="63">
        <v>6</v>
      </c>
      <c r="E650" s="63">
        <v>6</v>
      </c>
      <c r="F650" s="63" t="s">
        <v>7</v>
      </c>
      <c r="G650" s="63" t="s">
        <v>7</v>
      </c>
    </row>
    <row r="651" spans="1:7">
      <c r="A651" t="s">
        <v>78</v>
      </c>
      <c r="B651" s="1" t="s">
        <v>3</v>
      </c>
      <c r="C651" s="63">
        <v>2010</v>
      </c>
      <c r="D651" s="63">
        <v>23</v>
      </c>
      <c r="E651" s="63">
        <v>23</v>
      </c>
      <c r="F651" s="63" t="s">
        <v>7</v>
      </c>
      <c r="G651" s="63" t="s">
        <v>7</v>
      </c>
    </row>
    <row r="652" spans="1:7" hidden="1">
      <c r="A652" t="s">
        <v>78</v>
      </c>
      <c r="B652" s="1" t="s">
        <v>3</v>
      </c>
      <c r="C652" s="63">
        <v>2011</v>
      </c>
      <c r="D652" s="63">
        <v>33</v>
      </c>
      <c r="E652" s="63">
        <v>30</v>
      </c>
      <c r="F652" s="63">
        <v>3</v>
      </c>
      <c r="G652" s="63" t="s">
        <v>7</v>
      </c>
    </row>
    <row r="653" spans="1:7" hidden="1">
      <c r="A653" t="s">
        <v>78</v>
      </c>
      <c r="B653" s="1" t="s">
        <v>3</v>
      </c>
      <c r="C653" s="63">
        <v>2012</v>
      </c>
      <c r="D653" s="63">
        <v>40</v>
      </c>
      <c r="E653" s="63">
        <v>40</v>
      </c>
      <c r="F653" s="63" t="s">
        <v>7</v>
      </c>
      <c r="G653" s="63" t="s">
        <v>7</v>
      </c>
    </row>
    <row r="654" spans="1:7" hidden="1">
      <c r="A654" t="s">
        <v>78</v>
      </c>
      <c r="B654" s="1" t="s">
        <v>3</v>
      </c>
      <c r="C654" s="63">
        <v>2013</v>
      </c>
      <c r="D654" s="63">
        <v>34</v>
      </c>
      <c r="E654" s="63">
        <v>30</v>
      </c>
      <c r="F654" s="63">
        <v>4</v>
      </c>
      <c r="G654" s="63" t="s">
        <v>7</v>
      </c>
    </row>
    <row r="655" spans="1:7" hidden="1">
      <c r="A655" t="s">
        <v>78</v>
      </c>
      <c r="B655" s="1" t="s">
        <v>3</v>
      </c>
      <c r="C655" s="63">
        <v>2014</v>
      </c>
      <c r="D655" s="63">
        <v>17</v>
      </c>
      <c r="E655" s="63">
        <v>16</v>
      </c>
      <c r="F655" s="63">
        <v>1</v>
      </c>
      <c r="G655" s="63" t="s">
        <v>7</v>
      </c>
    </row>
    <row r="656" spans="1:7" hidden="1">
      <c r="A656" t="s">
        <v>78</v>
      </c>
      <c r="B656" s="1" t="s">
        <v>3</v>
      </c>
      <c r="C656" s="63">
        <v>2015</v>
      </c>
      <c r="D656" s="63">
        <v>42</v>
      </c>
      <c r="E656" s="63">
        <v>37</v>
      </c>
      <c r="F656" s="63">
        <v>5</v>
      </c>
      <c r="G656" s="63" t="s">
        <v>7</v>
      </c>
    </row>
    <row r="657" spans="1:7" hidden="1">
      <c r="A657" t="s">
        <v>78</v>
      </c>
      <c r="B657" s="1" t="s">
        <v>3</v>
      </c>
      <c r="C657" s="63">
        <v>2016</v>
      </c>
      <c r="D657" s="63">
        <v>73</v>
      </c>
      <c r="E657" s="63">
        <v>64</v>
      </c>
      <c r="F657" s="63">
        <v>9</v>
      </c>
      <c r="G657" s="63" t="s">
        <v>7</v>
      </c>
    </row>
    <row r="658" spans="1:7" hidden="1">
      <c r="A658" t="s">
        <v>78</v>
      </c>
      <c r="B658" s="1" t="s">
        <v>3</v>
      </c>
      <c r="C658" s="63">
        <v>2017</v>
      </c>
      <c r="D658" s="63">
        <v>126</v>
      </c>
      <c r="E658" s="63">
        <v>115</v>
      </c>
      <c r="F658" s="63">
        <v>11</v>
      </c>
      <c r="G658" s="63" t="s">
        <v>7</v>
      </c>
    </row>
    <row r="659" spans="1:7" hidden="1">
      <c r="A659" t="s">
        <v>78</v>
      </c>
      <c r="B659" s="1" t="s">
        <v>3</v>
      </c>
      <c r="C659" s="63">
        <v>2018</v>
      </c>
      <c r="D659" s="63">
        <v>91</v>
      </c>
      <c r="E659" s="63">
        <v>81</v>
      </c>
      <c r="F659" s="63">
        <v>10</v>
      </c>
      <c r="G659" s="63" t="s">
        <v>7</v>
      </c>
    </row>
    <row r="660" spans="1:7">
      <c r="A660" t="s">
        <v>78</v>
      </c>
      <c r="B660" s="1" t="s">
        <v>3</v>
      </c>
      <c r="C660" s="63">
        <v>2019</v>
      </c>
      <c r="D660" s="63">
        <v>73</v>
      </c>
      <c r="E660" s="63">
        <v>68</v>
      </c>
      <c r="F660" s="63">
        <v>5</v>
      </c>
      <c r="G660" s="63" t="s">
        <v>7</v>
      </c>
    </row>
    <row r="661" spans="1:7" hidden="1">
      <c r="A661" t="s">
        <v>78</v>
      </c>
      <c r="B661" s="1" t="s">
        <v>3</v>
      </c>
      <c r="C661" s="63">
        <v>2020</v>
      </c>
      <c r="D661" s="63">
        <v>77</v>
      </c>
      <c r="E661" s="63">
        <v>64</v>
      </c>
      <c r="F661" s="63">
        <v>13</v>
      </c>
      <c r="G661" s="63" t="s">
        <v>7</v>
      </c>
    </row>
    <row r="662" spans="1:7">
      <c r="A662" t="s">
        <v>78</v>
      </c>
      <c r="B662" s="1" t="s">
        <v>3</v>
      </c>
      <c r="C662" s="63">
        <v>2021</v>
      </c>
      <c r="D662" s="63">
        <v>84</v>
      </c>
      <c r="E662" s="63">
        <v>74</v>
      </c>
      <c r="F662" s="63">
        <v>10</v>
      </c>
      <c r="G662" s="63" t="s">
        <v>7</v>
      </c>
    </row>
    <row r="663" spans="1:7" hidden="1">
      <c r="A663" t="s">
        <v>78</v>
      </c>
      <c r="B663" s="1" t="s">
        <v>3</v>
      </c>
      <c r="C663" s="63">
        <v>2022</v>
      </c>
      <c r="D663" s="63">
        <v>104</v>
      </c>
      <c r="E663" s="63">
        <v>85</v>
      </c>
      <c r="F663" s="63">
        <v>19</v>
      </c>
      <c r="G663" s="63" t="s">
        <v>7</v>
      </c>
    </row>
    <row r="664" spans="1:7" hidden="1">
      <c r="A664" t="s">
        <v>78</v>
      </c>
      <c r="B664" s="1" t="s">
        <v>3</v>
      </c>
      <c r="C664" s="63">
        <v>2023</v>
      </c>
      <c r="D664" s="63">
        <v>105</v>
      </c>
      <c r="E664" s="63">
        <v>88</v>
      </c>
      <c r="F664" s="63">
        <v>17</v>
      </c>
      <c r="G664" s="63" t="s">
        <v>7</v>
      </c>
    </row>
    <row r="665" spans="1:7" hidden="1">
      <c r="A665" t="s">
        <v>78</v>
      </c>
      <c r="B665" s="1" t="s">
        <v>3</v>
      </c>
      <c r="C665" s="63">
        <v>2024</v>
      </c>
      <c r="D665" s="63">
        <v>92</v>
      </c>
      <c r="E665" s="63">
        <v>75</v>
      </c>
      <c r="F665" s="63">
        <v>17</v>
      </c>
      <c r="G665" s="63" t="s">
        <v>7</v>
      </c>
    </row>
    <row r="666" spans="1:7" hidden="1">
      <c r="A666" t="s">
        <v>78</v>
      </c>
      <c r="B666" s="1" t="s">
        <v>35</v>
      </c>
      <c r="C666" s="2">
        <v>1990</v>
      </c>
      <c r="D666" s="2">
        <v>7</v>
      </c>
      <c r="E666" s="2">
        <v>7</v>
      </c>
      <c r="F666" s="1" t="s">
        <v>7</v>
      </c>
      <c r="G666" s="1" t="s">
        <v>7</v>
      </c>
    </row>
    <row r="667" spans="1:7" hidden="1">
      <c r="A667" t="s">
        <v>78</v>
      </c>
      <c r="B667" s="1" t="s">
        <v>36</v>
      </c>
      <c r="C667" s="2">
        <v>1991</v>
      </c>
      <c r="D667" s="2">
        <v>10</v>
      </c>
      <c r="E667" s="2">
        <v>9</v>
      </c>
      <c r="F667" s="2">
        <v>1</v>
      </c>
      <c r="G667" s="1" t="s">
        <v>7</v>
      </c>
    </row>
    <row r="668" spans="1:7" hidden="1">
      <c r="A668" t="s">
        <v>78</v>
      </c>
      <c r="B668" s="1" t="s">
        <v>37</v>
      </c>
      <c r="C668" s="2">
        <v>1992</v>
      </c>
      <c r="D668" s="2">
        <v>3</v>
      </c>
      <c r="E668" s="2">
        <v>3</v>
      </c>
      <c r="F668" s="1" t="s">
        <v>7</v>
      </c>
      <c r="G668" s="1" t="s">
        <v>7</v>
      </c>
    </row>
    <row r="669" spans="1:7" hidden="1">
      <c r="A669" t="s">
        <v>78</v>
      </c>
      <c r="B669" s="1" t="s">
        <v>38</v>
      </c>
      <c r="C669" s="2">
        <v>1993</v>
      </c>
      <c r="D669" s="2">
        <v>5</v>
      </c>
      <c r="E669" s="2">
        <v>5</v>
      </c>
      <c r="F669" s="1" t="s">
        <v>7</v>
      </c>
      <c r="G669" s="1" t="s">
        <v>7</v>
      </c>
    </row>
    <row r="670" spans="1:7" hidden="1">
      <c r="A670" t="s">
        <v>78</v>
      </c>
      <c r="B670" s="1" t="s">
        <v>39</v>
      </c>
      <c r="C670" s="2">
        <v>1994</v>
      </c>
      <c r="D670" s="2">
        <v>12</v>
      </c>
      <c r="E670" s="2">
        <v>10</v>
      </c>
      <c r="F670" s="2">
        <v>2</v>
      </c>
      <c r="G670" s="1" t="s">
        <v>7</v>
      </c>
    </row>
    <row r="671" spans="1:7" hidden="1">
      <c r="A671" t="s">
        <v>78</v>
      </c>
      <c r="B671" s="1" t="s">
        <v>40</v>
      </c>
      <c r="C671" s="2">
        <v>1995</v>
      </c>
      <c r="D671" s="2">
        <v>2</v>
      </c>
      <c r="E671" s="2">
        <v>2</v>
      </c>
      <c r="F671" s="1" t="s">
        <v>7</v>
      </c>
      <c r="G671" s="1" t="s">
        <v>7</v>
      </c>
    </row>
    <row r="672" spans="1:7" hidden="1">
      <c r="A672" t="s">
        <v>78</v>
      </c>
      <c r="B672" s="1" t="s">
        <v>41</v>
      </c>
      <c r="C672" s="2">
        <v>1996</v>
      </c>
      <c r="D672" s="2">
        <v>3</v>
      </c>
      <c r="E672" s="2">
        <v>3</v>
      </c>
      <c r="F672" s="1" t="s">
        <v>7</v>
      </c>
      <c r="G672" s="1" t="s">
        <v>7</v>
      </c>
    </row>
    <row r="673" spans="1:7" hidden="1">
      <c r="A673" t="s">
        <v>78</v>
      </c>
      <c r="B673" s="1" t="s">
        <v>41</v>
      </c>
      <c r="C673" s="2">
        <v>1997</v>
      </c>
      <c r="D673" s="2">
        <v>1</v>
      </c>
      <c r="E673" s="2">
        <v>1</v>
      </c>
      <c r="F673" s="1" t="s">
        <v>7</v>
      </c>
      <c r="G673" s="1" t="s">
        <v>7</v>
      </c>
    </row>
    <row r="674" spans="1:7" hidden="1">
      <c r="A674" t="s">
        <v>78</v>
      </c>
      <c r="B674" s="1" t="s">
        <v>42</v>
      </c>
      <c r="C674" s="2">
        <v>1997</v>
      </c>
      <c r="D674" s="2">
        <v>5</v>
      </c>
      <c r="E674" s="2">
        <v>4</v>
      </c>
      <c r="F674" s="2">
        <v>1</v>
      </c>
      <c r="G674" s="1" t="s">
        <v>7</v>
      </c>
    </row>
    <row r="675" spans="1:7" hidden="1">
      <c r="A675" t="s">
        <v>78</v>
      </c>
      <c r="B675" s="1" t="s">
        <v>43</v>
      </c>
      <c r="C675" s="2">
        <v>1998</v>
      </c>
      <c r="D675" s="2">
        <v>5</v>
      </c>
      <c r="E675" s="2">
        <v>3</v>
      </c>
      <c r="F675" s="2">
        <v>2</v>
      </c>
      <c r="G675" s="1" t="s">
        <v>7</v>
      </c>
    </row>
    <row r="676" spans="1:7" hidden="1">
      <c r="A676" t="s">
        <v>78</v>
      </c>
      <c r="B676" s="1" t="s">
        <v>44</v>
      </c>
      <c r="C676" s="2">
        <v>1999</v>
      </c>
      <c r="D676" s="2">
        <v>5</v>
      </c>
      <c r="E676" s="2">
        <v>4</v>
      </c>
      <c r="F676" s="2">
        <v>1</v>
      </c>
      <c r="G676" s="1" t="s">
        <v>7</v>
      </c>
    </row>
    <row r="677" spans="1:7" hidden="1">
      <c r="A677" t="s">
        <v>78</v>
      </c>
      <c r="B677" s="1" t="s">
        <v>44</v>
      </c>
      <c r="C677" s="2">
        <v>2000</v>
      </c>
      <c r="D677" s="2">
        <v>1</v>
      </c>
      <c r="E677" s="2">
        <v>1</v>
      </c>
      <c r="F677" s="1" t="s">
        <v>7</v>
      </c>
      <c r="G677" s="1" t="s">
        <v>7</v>
      </c>
    </row>
    <row r="678" spans="1:7" hidden="1">
      <c r="A678" t="s">
        <v>78</v>
      </c>
      <c r="B678" s="1" t="s">
        <v>45</v>
      </c>
      <c r="C678" s="2">
        <v>2000</v>
      </c>
      <c r="D678" s="2">
        <v>5</v>
      </c>
      <c r="E678" s="2">
        <v>3</v>
      </c>
      <c r="F678" s="2">
        <v>2</v>
      </c>
      <c r="G678" s="1" t="s">
        <v>7</v>
      </c>
    </row>
    <row r="679" spans="1:7" hidden="1">
      <c r="A679" t="s">
        <v>78</v>
      </c>
      <c r="B679" s="1" t="s">
        <v>46</v>
      </c>
      <c r="C679" s="2">
        <v>2001</v>
      </c>
      <c r="D679" s="2">
        <v>5</v>
      </c>
      <c r="E679" s="2">
        <v>5</v>
      </c>
      <c r="F679" s="1" t="s">
        <v>7</v>
      </c>
      <c r="G679" s="1" t="s">
        <v>7</v>
      </c>
    </row>
    <row r="680" spans="1:7" hidden="1">
      <c r="A680" t="s">
        <v>78</v>
      </c>
      <c r="B680" s="1" t="s">
        <v>47</v>
      </c>
      <c r="C680" s="2">
        <v>2002</v>
      </c>
      <c r="D680" s="2">
        <v>3</v>
      </c>
      <c r="E680" s="2">
        <v>3</v>
      </c>
      <c r="F680" s="1" t="s">
        <v>7</v>
      </c>
      <c r="G680" s="1" t="s">
        <v>7</v>
      </c>
    </row>
    <row r="681" spans="1:7" hidden="1">
      <c r="A681" t="s">
        <v>78</v>
      </c>
      <c r="B681" s="1" t="s">
        <v>48</v>
      </c>
      <c r="C681" s="2">
        <v>2003</v>
      </c>
      <c r="D681" s="2">
        <v>5</v>
      </c>
      <c r="E681" s="2">
        <v>3</v>
      </c>
      <c r="F681" s="2">
        <v>2</v>
      </c>
      <c r="G681" s="1" t="s">
        <v>7</v>
      </c>
    </row>
    <row r="682" spans="1:7" hidden="1">
      <c r="A682" t="s">
        <v>78</v>
      </c>
      <c r="B682" s="1" t="s">
        <v>49</v>
      </c>
      <c r="C682" s="2">
        <v>2004</v>
      </c>
      <c r="D682" s="2">
        <v>8</v>
      </c>
      <c r="E682" s="2">
        <v>8</v>
      </c>
      <c r="F682" s="1" t="s">
        <v>7</v>
      </c>
      <c r="G682" s="1" t="s">
        <v>7</v>
      </c>
    </row>
    <row r="683" spans="1:7" hidden="1">
      <c r="A683" t="s">
        <v>78</v>
      </c>
      <c r="B683" s="1" t="s">
        <v>50</v>
      </c>
      <c r="C683" s="2">
        <v>2005</v>
      </c>
      <c r="D683" s="2">
        <v>6</v>
      </c>
      <c r="E683" s="2">
        <v>5</v>
      </c>
      <c r="F683" s="2">
        <v>1</v>
      </c>
      <c r="G683" s="1" t="s">
        <v>7</v>
      </c>
    </row>
    <row r="684" spans="1:7" hidden="1">
      <c r="A684" t="s">
        <v>78</v>
      </c>
      <c r="B684" s="1" t="s">
        <v>51</v>
      </c>
      <c r="C684" s="2">
        <v>2006</v>
      </c>
      <c r="D684" s="2">
        <v>2</v>
      </c>
      <c r="E684" s="2">
        <v>2</v>
      </c>
      <c r="F684" s="1" t="s">
        <v>7</v>
      </c>
      <c r="G684" s="1" t="s">
        <v>7</v>
      </c>
    </row>
    <row r="685" spans="1:7" hidden="1">
      <c r="A685" t="s">
        <v>78</v>
      </c>
      <c r="B685" s="1" t="s">
        <v>52</v>
      </c>
      <c r="C685" s="2">
        <v>2007</v>
      </c>
      <c r="D685" s="2">
        <v>5</v>
      </c>
      <c r="E685" s="2">
        <v>3</v>
      </c>
      <c r="F685" s="2">
        <v>2</v>
      </c>
      <c r="G685" s="1" t="s">
        <v>7</v>
      </c>
    </row>
    <row r="686" spans="1:7" hidden="1">
      <c r="A686" t="s">
        <v>78</v>
      </c>
      <c r="B686" s="1" t="s">
        <v>53</v>
      </c>
      <c r="C686" s="2">
        <v>2008</v>
      </c>
      <c r="D686" s="2">
        <v>1</v>
      </c>
      <c r="E686" s="2">
        <v>1</v>
      </c>
      <c r="F686" s="1" t="s">
        <v>7</v>
      </c>
      <c r="G686" s="1" t="s">
        <v>7</v>
      </c>
    </row>
    <row r="687" spans="1:7" hidden="1">
      <c r="A687" t="s">
        <v>78</v>
      </c>
      <c r="B687" s="1" t="s">
        <v>54</v>
      </c>
      <c r="C687" s="2">
        <v>2009</v>
      </c>
      <c r="D687" s="2">
        <v>6</v>
      </c>
      <c r="E687" s="2">
        <v>6</v>
      </c>
      <c r="F687" s="1" t="s">
        <v>7</v>
      </c>
      <c r="G687" s="1" t="s">
        <v>7</v>
      </c>
    </row>
    <row r="688" spans="1:7" hidden="1">
      <c r="A688" t="s">
        <v>78</v>
      </c>
      <c r="B688" s="1" t="s">
        <v>55</v>
      </c>
      <c r="C688" s="2">
        <v>2010</v>
      </c>
      <c r="D688" s="2">
        <v>23</v>
      </c>
      <c r="E688" s="2">
        <v>23</v>
      </c>
      <c r="F688" s="1" t="s">
        <v>7</v>
      </c>
      <c r="G688" s="1" t="s">
        <v>7</v>
      </c>
    </row>
    <row r="689" spans="1:7" hidden="1">
      <c r="A689" t="s">
        <v>78</v>
      </c>
      <c r="B689" s="1" t="s">
        <v>56</v>
      </c>
      <c r="C689" s="2">
        <v>2011</v>
      </c>
      <c r="D689" s="2">
        <v>33</v>
      </c>
      <c r="E689" s="2">
        <v>30</v>
      </c>
      <c r="F689" s="2">
        <v>3</v>
      </c>
      <c r="G689" s="1" t="s">
        <v>7</v>
      </c>
    </row>
    <row r="690" spans="1:7" hidden="1">
      <c r="A690" t="s">
        <v>78</v>
      </c>
      <c r="B690" s="1" t="s">
        <v>57</v>
      </c>
      <c r="C690" s="2">
        <v>2012</v>
      </c>
      <c r="D690" s="2">
        <v>40</v>
      </c>
      <c r="E690" s="2">
        <v>40</v>
      </c>
      <c r="F690" s="1" t="s">
        <v>7</v>
      </c>
      <c r="G690" s="1" t="s">
        <v>7</v>
      </c>
    </row>
    <row r="691" spans="1:7" hidden="1">
      <c r="A691" t="s">
        <v>78</v>
      </c>
      <c r="B691" s="1" t="s">
        <v>57</v>
      </c>
      <c r="C691" s="2">
        <v>2014</v>
      </c>
      <c r="D691" s="2">
        <v>1</v>
      </c>
      <c r="E691" s="2">
        <v>1</v>
      </c>
      <c r="F691" s="1" t="s">
        <v>7</v>
      </c>
      <c r="G691" s="1" t="s">
        <v>7</v>
      </c>
    </row>
    <row r="692" spans="1:7" hidden="1">
      <c r="A692" t="s">
        <v>78</v>
      </c>
      <c r="B692" s="1" t="s">
        <v>58</v>
      </c>
      <c r="C692" s="2">
        <v>2013</v>
      </c>
      <c r="D692" s="2">
        <v>34</v>
      </c>
      <c r="E692" s="2">
        <v>30</v>
      </c>
      <c r="F692" s="2">
        <v>4</v>
      </c>
      <c r="G692" s="1" t="s">
        <v>7</v>
      </c>
    </row>
    <row r="693" spans="1:7" hidden="1">
      <c r="A693" t="s">
        <v>78</v>
      </c>
      <c r="B693" s="1" t="s">
        <v>59</v>
      </c>
      <c r="C693" s="2">
        <v>2014</v>
      </c>
      <c r="D693" s="2">
        <v>16</v>
      </c>
      <c r="E693" s="2">
        <v>15</v>
      </c>
      <c r="F693" s="2">
        <v>1</v>
      </c>
      <c r="G693" s="1" t="s">
        <v>7</v>
      </c>
    </row>
    <row r="694" spans="1:7" hidden="1">
      <c r="A694" t="s">
        <v>78</v>
      </c>
      <c r="B694" s="1" t="s">
        <v>60</v>
      </c>
      <c r="C694" s="2">
        <v>2015</v>
      </c>
      <c r="D694" s="2">
        <v>42</v>
      </c>
      <c r="E694" s="2">
        <v>37</v>
      </c>
      <c r="F694" s="2">
        <v>5</v>
      </c>
      <c r="G694" s="1" t="s">
        <v>7</v>
      </c>
    </row>
    <row r="695" spans="1:7" hidden="1">
      <c r="A695" t="s">
        <v>78</v>
      </c>
      <c r="B695" s="1" t="s">
        <v>61</v>
      </c>
      <c r="C695" s="2">
        <v>2016</v>
      </c>
      <c r="D695" s="2">
        <v>73</v>
      </c>
      <c r="E695" s="2">
        <v>64</v>
      </c>
      <c r="F695" s="2">
        <v>9</v>
      </c>
      <c r="G695" s="1" t="s">
        <v>7</v>
      </c>
    </row>
    <row r="696" spans="1:7" hidden="1">
      <c r="A696" t="s">
        <v>78</v>
      </c>
      <c r="B696" s="1" t="s">
        <v>61</v>
      </c>
      <c r="C696" s="2">
        <v>2017</v>
      </c>
      <c r="D696" s="2">
        <v>1</v>
      </c>
      <c r="E696" s="2">
        <v>1</v>
      </c>
      <c r="F696" s="1" t="s">
        <v>7</v>
      </c>
      <c r="G696" s="1" t="s">
        <v>7</v>
      </c>
    </row>
    <row r="697" spans="1:7" hidden="1">
      <c r="A697" t="s">
        <v>78</v>
      </c>
      <c r="B697" s="1" t="s">
        <v>62</v>
      </c>
      <c r="C697" s="2">
        <v>2017</v>
      </c>
      <c r="D697" s="2">
        <v>125</v>
      </c>
      <c r="E697" s="2">
        <v>114</v>
      </c>
      <c r="F697" s="2">
        <v>11</v>
      </c>
      <c r="G697" s="1" t="s">
        <v>7</v>
      </c>
    </row>
    <row r="698" spans="1:7" hidden="1">
      <c r="A698" t="s">
        <v>78</v>
      </c>
      <c r="B698" s="1" t="s">
        <v>62</v>
      </c>
      <c r="C698" s="2">
        <v>2018</v>
      </c>
      <c r="D698" s="2">
        <v>1</v>
      </c>
      <c r="E698" s="2">
        <v>1</v>
      </c>
      <c r="F698" s="1" t="s">
        <v>7</v>
      </c>
      <c r="G698" s="1" t="s">
        <v>7</v>
      </c>
    </row>
    <row r="699" spans="1:7" hidden="1">
      <c r="A699" t="s">
        <v>78</v>
      </c>
      <c r="B699" s="1" t="s">
        <v>63</v>
      </c>
      <c r="C699" s="2">
        <v>2018</v>
      </c>
      <c r="D699" s="2">
        <v>90</v>
      </c>
      <c r="E699" s="2">
        <v>80</v>
      </c>
      <c r="F699" s="2">
        <v>10</v>
      </c>
      <c r="G699" s="1" t="s">
        <v>7</v>
      </c>
    </row>
    <row r="700" spans="1:7" hidden="1">
      <c r="A700" t="s">
        <v>78</v>
      </c>
      <c r="B700" s="1" t="s">
        <v>63</v>
      </c>
      <c r="C700" s="2">
        <v>2019</v>
      </c>
      <c r="D700" s="2">
        <v>6</v>
      </c>
      <c r="E700" s="2">
        <v>4</v>
      </c>
      <c r="F700" s="2">
        <v>2</v>
      </c>
      <c r="G700" s="1" t="s">
        <v>7</v>
      </c>
    </row>
    <row r="701" spans="1:7" hidden="1">
      <c r="A701" t="s">
        <v>78</v>
      </c>
      <c r="B701" s="1" t="s">
        <v>63</v>
      </c>
      <c r="C701" s="2">
        <v>2020</v>
      </c>
      <c r="D701" s="2">
        <v>1</v>
      </c>
      <c r="E701" s="2">
        <v>1</v>
      </c>
      <c r="F701" s="1" t="s">
        <v>7</v>
      </c>
      <c r="G701" s="1" t="s">
        <v>7</v>
      </c>
    </row>
    <row r="702" spans="1:7" hidden="1">
      <c r="A702" t="s">
        <v>78</v>
      </c>
      <c r="B702" s="1" t="s">
        <v>64</v>
      </c>
      <c r="C702" s="2">
        <v>2019</v>
      </c>
      <c r="D702" s="2">
        <v>67</v>
      </c>
      <c r="E702" s="2">
        <v>64</v>
      </c>
      <c r="F702" s="2">
        <v>3</v>
      </c>
      <c r="G702" s="1" t="s">
        <v>7</v>
      </c>
    </row>
    <row r="703" spans="1:7" hidden="1">
      <c r="A703" t="s">
        <v>78</v>
      </c>
      <c r="B703" s="1" t="s">
        <v>64</v>
      </c>
      <c r="C703" s="2">
        <v>2020</v>
      </c>
      <c r="D703" s="2">
        <v>1</v>
      </c>
      <c r="E703" s="2">
        <v>1</v>
      </c>
      <c r="F703" s="1" t="s">
        <v>7</v>
      </c>
      <c r="G703" s="1" t="s">
        <v>7</v>
      </c>
    </row>
    <row r="704" spans="1:7" hidden="1">
      <c r="A704" t="s">
        <v>78</v>
      </c>
      <c r="B704" s="1" t="s">
        <v>64</v>
      </c>
      <c r="C704" s="2">
        <v>2021</v>
      </c>
      <c r="D704" s="2">
        <v>1</v>
      </c>
      <c r="E704" s="2">
        <v>1</v>
      </c>
      <c r="F704" s="1" t="s">
        <v>7</v>
      </c>
      <c r="G704" s="1" t="s">
        <v>7</v>
      </c>
    </row>
    <row r="705" spans="1:7" hidden="1">
      <c r="A705" t="s">
        <v>78</v>
      </c>
      <c r="B705" s="1" t="s">
        <v>65</v>
      </c>
      <c r="C705" s="2">
        <v>2020</v>
      </c>
      <c r="D705" s="2">
        <v>75</v>
      </c>
      <c r="E705" s="2">
        <v>62</v>
      </c>
      <c r="F705" s="2">
        <v>13</v>
      </c>
      <c r="G705" s="1" t="s">
        <v>7</v>
      </c>
    </row>
    <row r="706" spans="1:7" hidden="1">
      <c r="A706" t="s">
        <v>78</v>
      </c>
      <c r="B706" s="1" t="s">
        <v>65</v>
      </c>
      <c r="C706" s="2">
        <v>2021</v>
      </c>
      <c r="D706" s="2">
        <v>2</v>
      </c>
      <c r="E706" s="2">
        <v>2</v>
      </c>
      <c r="F706" s="1" t="s">
        <v>7</v>
      </c>
      <c r="G706" s="1" t="s">
        <v>7</v>
      </c>
    </row>
    <row r="707" spans="1:7" hidden="1">
      <c r="A707" t="s">
        <v>78</v>
      </c>
      <c r="B707" s="1" t="s">
        <v>66</v>
      </c>
      <c r="C707" s="2">
        <v>2021</v>
      </c>
      <c r="D707" s="2">
        <v>79</v>
      </c>
      <c r="E707" s="2">
        <v>69</v>
      </c>
      <c r="F707" s="2">
        <v>10</v>
      </c>
      <c r="G707" s="1" t="s">
        <v>7</v>
      </c>
    </row>
    <row r="708" spans="1:7" hidden="1">
      <c r="A708" t="s">
        <v>78</v>
      </c>
      <c r="B708" s="1" t="s">
        <v>66</v>
      </c>
      <c r="C708" s="2">
        <v>2022</v>
      </c>
      <c r="D708" s="2">
        <v>2</v>
      </c>
      <c r="E708" s="2">
        <v>2</v>
      </c>
      <c r="F708" s="1" t="s">
        <v>7</v>
      </c>
      <c r="G708" s="1" t="s">
        <v>7</v>
      </c>
    </row>
    <row r="709" spans="1:7" hidden="1">
      <c r="A709" t="s">
        <v>78</v>
      </c>
      <c r="B709" s="1" t="s">
        <v>67</v>
      </c>
      <c r="C709" s="2">
        <v>2022</v>
      </c>
      <c r="D709" s="2">
        <v>99</v>
      </c>
      <c r="E709" s="2">
        <v>82</v>
      </c>
      <c r="F709" s="2">
        <v>17</v>
      </c>
      <c r="G709" s="1" t="s">
        <v>7</v>
      </c>
    </row>
    <row r="710" spans="1:7" hidden="1">
      <c r="A710" t="s">
        <v>78</v>
      </c>
      <c r="B710" s="1" t="s">
        <v>67</v>
      </c>
      <c r="C710" s="2">
        <v>2023</v>
      </c>
      <c r="D710" s="2">
        <v>1</v>
      </c>
      <c r="E710" s="2">
        <v>1</v>
      </c>
      <c r="F710" s="1" t="s">
        <v>7</v>
      </c>
      <c r="G710" s="1" t="s">
        <v>7</v>
      </c>
    </row>
    <row r="711" spans="1:7" hidden="1">
      <c r="A711" t="s">
        <v>78</v>
      </c>
      <c r="B711" s="1" t="s">
        <v>68</v>
      </c>
      <c r="C711" s="2">
        <v>2023</v>
      </c>
      <c r="D711" s="2">
        <v>104</v>
      </c>
      <c r="E711" s="2">
        <v>87</v>
      </c>
      <c r="F711" s="2">
        <v>17</v>
      </c>
      <c r="G711" s="1" t="s">
        <v>7</v>
      </c>
    </row>
    <row r="712" spans="1:7" hidden="1">
      <c r="A712" t="s">
        <v>78</v>
      </c>
      <c r="B712" s="1" t="s">
        <v>68</v>
      </c>
      <c r="C712" s="2">
        <v>2024</v>
      </c>
      <c r="D712" s="2">
        <v>3</v>
      </c>
      <c r="E712" s="2">
        <v>1</v>
      </c>
      <c r="F712" s="2">
        <v>2</v>
      </c>
      <c r="G712" s="1" t="s">
        <v>7</v>
      </c>
    </row>
    <row r="713" spans="1:7" hidden="1">
      <c r="A713" t="s">
        <v>78</v>
      </c>
      <c r="B713" s="1" t="s">
        <v>69</v>
      </c>
      <c r="C713" s="2">
        <v>2024</v>
      </c>
      <c r="D713" s="2">
        <v>89</v>
      </c>
      <c r="E713" s="2">
        <v>74</v>
      </c>
      <c r="F713" s="2">
        <v>15</v>
      </c>
      <c r="G713" s="1" t="s">
        <v>7</v>
      </c>
    </row>
    <row r="714" spans="1:7" hidden="1">
      <c r="A714" t="s">
        <v>78</v>
      </c>
      <c r="B714" s="1" t="s">
        <v>6</v>
      </c>
      <c r="C714" s="2">
        <v>1990</v>
      </c>
      <c r="D714" s="2">
        <v>1</v>
      </c>
      <c r="E714" s="2">
        <v>1</v>
      </c>
      <c r="F714" s="1" t="s">
        <v>7</v>
      </c>
      <c r="G714" s="1" t="s">
        <v>7</v>
      </c>
    </row>
    <row r="715" spans="1:7" hidden="1">
      <c r="A715" t="s">
        <v>78</v>
      </c>
      <c r="B715" s="1" t="s">
        <v>6</v>
      </c>
      <c r="C715" s="2">
        <v>1991</v>
      </c>
      <c r="D715" s="2">
        <v>2</v>
      </c>
      <c r="E715" s="2">
        <v>2</v>
      </c>
      <c r="F715" s="1" t="s">
        <v>7</v>
      </c>
      <c r="G715" s="1" t="s">
        <v>7</v>
      </c>
    </row>
    <row r="716" spans="1:7" hidden="1">
      <c r="A716" t="s">
        <v>78</v>
      </c>
      <c r="B716" s="1" t="s">
        <v>6</v>
      </c>
      <c r="C716" s="2">
        <v>1992</v>
      </c>
      <c r="D716" s="2">
        <v>9</v>
      </c>
      <c r="E716" s="2">
        <v>8</v>
      </c>
      <c r="F716" s="2">
        <v>1</v>
      </c>
      <c r="G716" s="1" t="s">
        <v>7</v>
      </c>
    </row>
    <row r="717" spans="1:7" hidden="1">
      <c r="A717" t="s">
        <v>78</v>
      </c>
      <c r="B717" s="1" t="s">
        <v>6</v>
      </c>
      <c r="C717" s="2">
        <v>2021</v>
      </c>
      <c r="D717" s="2">
        <v>2</v>
      </c>
      <c r="E717" s="2">
        <v>2</v>
      </c>
      <c r="F717" s="1" t="s">
        <v>7</v>
      </c>
      <c r="G717" s="1" t="s">
        <v>7</v>
      </c>
    </row>
    <row r="718" spans="1:7" hidden="1">
      <c r="A718" t="s">
        <v>78</v>
      </c>
      <c r="B718" s="1" t="s">
        <v>6</v>
      </c>
      <c r="C718" s="2">
        <v>2022</v>
      </c>
      <c r="D718" s="2">
        <v>3</v>
      </c>
      <c r="E718" s="2">
        <v>1</v>
      </c>
      <c r="F718" s="2">
        <v>2</v>
      </c>
      <c r="G718" s="1" t="s">
        <v>7</v>
      </c>
    </row>
    <row r="719" spans="1:7" hidden="1">
      <c r="A719" t="s">
        <v>79</v>
      </c>
      <c r="B719" s="1" t="s">
        <v>3</v>
      </c>
      <c r="C719" s="63">
        <v>1990</v>
      </c>
      <c r="D719" s="63">
        <v>4</v>
      </c>
      <c r="E719" s="63">
        <v>4</v>
      </c>
      <c r="F719" s="63" t="s">
        <v>7</v>
      </c>
      <c r="G719" s="63" t="s">
        <v>7</v>
      </c>
    </row>
    <row r="720" spans="1:7" hidden="1">
      <c r="A720" t="s">
        <v>79</v>
      </c>
      <c r="B720" s="1" t="s">
        <v>3</v>
      </c>
      <c r="C720" s="63">
        <v>1991</v>
      </c>
      <c r="D720" s="63">
        <v>11</v>
      </c>
      <c r="E720" s="63">
        <v>9</v>
      </c>
      <c r="F720" s="63">
        <v>2</v>
      </c>
      <c r="G720" s="63" t="s">
        <v>7</v>
      </c>
    </row>
    <row r="721" spans="1:7" hidden="1">
      <c r="A721" t="s">
        <v>79</v>
      </c>
      <c r="B721" s="1" t="s">
        <v>3</v>
      </c>
      <c r="C721" s="63">
        <v>1992</v>
      </c>
      <c r="D721" s="63">
        <v>7</v>
      </c>
      <c r="E721" s="63">
        <v>7</v>
      </c>
      <c r="F721" s="63" t="s">
        <v>7</v>
      </c>
      <c r="G721" s="63" t="s">
        <v>7</v>
      </c>
    </row>
    <row r="722" spans="1:7" hidden="1">
      <c r="A722" t="s">
        <v>79</v>
      </c>
      <c r="B722" s="1" t="s">
        <v>3</v>
      </c>
      <c r="C722" s="63">
        <v>1993</v>
      </c>
      <c r="D722" s="63">
        <v>4</v>
      </c>
      <c r="E722" s="63">
        <v>3</v>
      </c>
      <c r="F722" s="63">
        <v>1</v>
      </c>
      <c r="G722" s="63" t="s">
        <v>7</v>
      </c>
    </row>
    <row r="723" spans="1:7" hidden="1">
      <c r="A723" t="s">
        <v>79</v>
      </c>
      <c r="B723" s="1" t="s">
        <v>3</v>
      </c>
      <c r="C723" s="63">
        <v>1994</v>
      </c>
      <c r="D723" s="63">
        <v>9</v>
      </c>
      <c r="E723" s="63">
        <v>9</v>
      </c>
      <c r="F723" s="63" t="s">
        <v>7</v>
      </c>
      <c r="G723" s="63" t="s">
        <v>7</v>
      </c>
    </row>
    <row r="724" spans="1:7" hidden="1">
      <c r="A724" t="s">
        <v>79</v>
      </c>
      <c r="B724" s="1" t="s">
        <v>3</v>
      </c>
      <c r="C724" s="63">
        <v>1995</v>
      </c>
      <c r="D724" s="63">
        <v>4</v>
      </c>
      <c r="E724" s="63">
        <v>4</v>
      </c>
      <c r="F724" s="63" t="s">
        <v>7</v>
      </c>
      <c r="G724" s="63" t="s">
        <v>7</v>
      </c>
    </row>
    <row r="725" spans="1:7" hidden="1">
      <c r="A725" t="s">
        <v>79</v>
      </c>
      <c r="B725" s="1" t="s">
        <v>3</v>
      </c>
      <c r="C725" s="63">
        <v>1996</v>
      </c>
      <c r="D725" s="63">
        <v>4</v>
      </c>
      <c r="E725" s="63">
        <v>4</v>
      </c>
      <c r="F725" s="63" t="s">
        <v>7</v>
      </c>
      <c r="G725" s="63" t="s">
        <v>7</v>
      </c>
    </row>
    <row r="726" spans="1:7" hidden="1">
      <c r="A726" t="s">
        <v>79</v>
      </c>
      <c r="B726" s="1" t="s">
        <v>3</v>
      </c>
      <c r="C726" s="63">
        <v>1997</v>
      </c>
      <c r="D726" s="63">
        <v>2</v>
      </c>
      <c r="E726" s="63">
        <v>2</v>
      </c>
      <c r="F726" s="63" t="s">
        <v>7</v>
      </c>
      <c r="G726" s="63" t="s">
        <v>7</v>
      </c>
    </row>
    <row r="727" spans="1:7" hidden="1">
      <c r="A727" t="s">
        <v>79</v>
      </c>
      <c r="B727" s="1" t="s">
        <v>3</v>
      </c>
      <c r="C727" s="63">
        <v>1998</v>
      </c>
      <c r="D727" s="63">
        <v>1</v>
      </c>
      <c r="E727" s="63">
        <v>1</v>
      </c>
      <c r="F727" s="63" t="s">
        <v>7</v>
      </c>
      <c r="G727" s="63" t="s">
        <v>7</v>
      </c>
    </row>
    <row r="728" spans="1:7" hidden="1">
      <c r="A728" t="s">
        <v>79</v>
      </c>
      <c r="B728" s="1" t="s">
        <v>3</v>
      </c>
      <c r="C728" s="63">
        <v>1999</v>
      </c>
      <c r="D728" s="63">
        <v>10</v>
      </c>
      <c r="E728" s="63">
        <v>9</v>
      </c>
      <c r="F728" s="63">
        <v>1</v>
      </c>
      <c r="G728" s="63" t="s">
        <v>7</v>
      </c>
    </row>
    <row r="729" spans="1:7" hidden="1">
      <c r="A729" t="s">
        <v>79</v>
      </c>
      <c r="B729" s="1" t="s">
        <v>3</v>
      </c>
      <c r="C729" s="63">
        <v>2000</v>
      </c>
      <c r="D729" s="63">
        <v>8</v>
      </c>
      <c r="E729" s="63">
        <v>7</v>
      </c>
      <c r="F729" s="63">
        <v>1</v>
      </c>
      <c r="G729" s="63" t="s">
        <v>7</v>
      </c>
    </row>
    <row r="730" spans="1:7" hidden="1">
      <c r="A730" t="s">
        <v>79</v>
      </c>
      <c r="B730" s="1" t="s">
        <v>3</v>
      </c>
      <c r="C730" s="63">
        <v>2001</v>
      </c>
      <c r="D730" s="63">
        <v>7</v>
      </c>
      <c r="E730" s="63">
        <v>7</v>
      </c>
      <c r="F730" s="63" t="s">
        <v>7</v>
      </c>
      <c r="G730" s="63" t="s">
        <v>7</v>
      </c>
    </row>
    <row r="731" spans="1:7" hidden="1">
      <c r="A731" t="s">
        <v>79</v>
      </c>
      <c r="B731" s="1" t="s">
        <v>3</v>
      </c>
      <c r="C731" s="63">
        <v>2002</v>
      </c>
      <c r="D731" s="63">
        <v>5</v>
      </c>
      <c r="E731" s="63">
        <v>5</v>
      </c>
      <c r="F731" s="63" t="s">
        <v>7</v>
      </c>
      <c r="G731" s="63" t="s">
        <v>7</v>
      </c>
    </row>
    <row r="732" spans="1:7" hidden="1">
      <c r="A732" t="s">
        <v>79</v>
      </c>
      <c r="B732" s="1" t="s">
        <v>3</v>
      </c>
      <c r="C732" s="63">
        <v>2003</v>
      </c>
      <c r="D732" s="63">
        <v>4</v>
      </c>
      <c r="E732" s="63">
        <v>3</v>
      </c>
      <c r="F732" s="63">
        <v>1</v>
      </c>
      <c r="G732" s="63" t="s">
        <v>7</v>
      </c>
    </row>
    <row r="733" spans="1:7" hidden="1">
      <c r="A733" t="s">
        <v>79</v>
      </c>
      <c r="B733" s="1" t="s">
        <v>3</v>
      </c>
      <c r="C733" s="63">
        <v>2004</v>
      </c>
      <c r="D733" s="63">
        <v>10</v>
      </c>
      <c r="E733" s="63">
        <v>10</v>
      </c>
      <c r="F733" s="63" t="s">
        <v>7</v>
      </c>
      <c r="G733" s="63" t="s">
        <v>7</v>
      </c>
    </row>
    <row r="734" spans="1:7" hidden="1">
      <c r="A734" t="s">
        <v>79</v>
      </c>
      <c r="B734" s="1" t="s">
        <v>3</v>
      </c>
      <c r="C734" s="63">
        <v>2005</v>
      </c>
      <c r="D734" s="63">
        <v>4</v>
      </c>
      <c r="E734" s="63">
        <v>4</v>
      </c>
      <c r="F734" s="63" t="s">
        <v>7</v>
      </c>
      <c r="G734" s="63" t="s">
        <v>7</v>
      </c>
    </row>
    <row r="735" spans="1:7" hidden="1">
      <c r="A735" t="s">
        <v>79</v>
      </c>
      <c r="B735" s="1" t="s">
        <v>3</v>
      </c>
      <c r="C735" s="63">
        <v>2006</v>
      </c>
      <c r="D735" s="63">
        <v>4</v>
      </c>
      <c r="E735" s="63">
        <v>4</v>
      </c>
      <c r="F735" s="63" t="s">
        <v>7</v>
      </c>
      <c r="G735" s="63" t="s">
        <v>7</v>
      </c>
    </row>
    <row r="736" spans="1:7" hidden="1">
      <c r="A736" t="s">
        <v>79</v>
      </c>
      <c r="B736" s="1" t="s">
        <v>3</v>
      </c>
      <c r="C736" s="63">
        <v>2007</v>
      </c>
      <c r="D736" s="63">
        <v>1</v>
      </c>
      <c r="E736" s="63">
        <v>1</v>
      </c>
      <c r="F736" s="63" t="s">
        <v>7</v>
      </c>
      <c r="G736" s="63" t="s">
        <v>7</v>
      </c>
    </row>
    <row r="737" spans="1:7" hidden="1">
      <c r="A737" t="s">
        <v>79</v>
      </c>
      <c r="B737" s="1" t="s">
        <v>3</v>
      </c>
      <c r="C737" s="63">
        <v>2008</v>
      </c>
      <c r="D737" s="63">
        <v>8</v>
      </c>
      <c r="E737" s="63">
        <v>6</v>
      </c>
      <c r="F737" s="63">
        <v>2</v>
      </c>
      <c r="G737" s="63" t="s">
        <v>7</v>
      </c>
    </row>
    <row r="738" spans="1:7" hidden="1">
      <c r="A738" t="s">
        <v>79</v>
      </c>
      <c r="B738" s="1" t="s">
        <v>3</v>
      </c>
      <c r="C738" s="63">
        <v>2009</v>
      </c>
      <c r="D738" s="63">
        <v>6</v>
      </c>
      <c r="E738" s="63">
        <v>5</v>
      </c>
      <c r="F738" s="63">
        <v>1</v>
      </c>
      <c r="G738" s="63" t="s">
        <v>7</v>
      </c>
    </row>
    <row r="739" spans="1:7">
      <c r="A739" t="s">
        <v>79</v>
      </c>
      <c r="B739" s="1" t="s">
        <v>3</v>
      </c>
      <c r="C739" s="63">
        <v>2010</v>
      </c>
      <c r="D739" s="63">
        <v>16</v>
      </c>
      <c r="E739" s="63">
        <v>14</v>
      </c>
      <c r="F739" s="63">
        <v>2</v>
      </c>
      <c r="G739" s="63" t="s">
        <v>7</v>
      </c>
    </row>
    <row r="740" spans="1:7" hidden="1">
      <c r="A740" t="s">
        <v>79</v>
      </c>
      <c r="B740" s="1" t="s">
        <v>3</v>
      </c>
      <c r="C740" s="63">
        <v>2011</v>
      </c>
      <c r="D740" s="63">
        <v>21</v>
      </c>
      <c r="E740" s="63">
        <v>21</v>
      </c>
      <c r="F740" s="63" t="s">
        <v>7</v>
      </c>
      <c r="G740" s="63" t="s">
        <v>7</v>
      </c>
    </row>
    <row r="741" spans="1:7" hidden="1">
      <c r="A741" t="s">
        <v>79</v>
      </c>
      <c r="B741" s="1" t="s">
        <v>3</v>
      </c>
      <c r="C741" s="63">
        <v>2012</v>
      </c>
      <c r="D741" s="63">
        <v>27</v>
      </c>
      <c r="E741" s="63">
        <v>26</v>
      </c>
      <c r="F741" s="63">
        <v>1</v>
      </c>
      <c r="G741" s="63" t="s">
        <v>7</v>
      </c>
    </row>
    <row r="742" spans="1:7" hidden="1">
      <c r="A742" t="s">
        <v>79</v>
      </c>
      <c r="B742" s="1" t="s">
        <v>3</v>
      </c>
      <c r="C742" s="63">
        <v>2013</v>
      </c>
      <c r="D742" s="63">
        <v>25</v>
      </c>
      <c r="E742" s="63">
        <v>25</v>
      </c>
      <c r="F742" s="63" t="s">
        <v>7</v>
      </c>
      <c r="G742" s="63" t="s">
        <v>7</v>
      </c>
    </row>
    <row r="743" spans="1:7" hidden="1">
      <c r="A743" t="s">
        <v>79</v>
      </c>
      <c r="B743" s="1" t="s">
        <v>3</v>
      </c>
      <c r="C743" s="63">
        <v>2014</v>
      </c>
      <c r="D743" s="63">
        <v>10</v>
      </c>
      <c r="E743" s="63">
        <v>10</v>
      </c>
      <c r="F743" s="63" t="s">
        <v>7</v>
      </c>
      <c r="G743" s="63" t="s">
        <v>7</v>
      </c>
    </row>
    <row r="744" spans="1:7" hidden="1">
      <c r="A744" t="s">
        <v>79</v>
      </c>
      <c r="B744" s="1" t="s">
        <v>3</v>
      </c>
      <c r="C744" s="63">
        <v>2015</v>
      </c>
      <c r="D744" s="63">
        <v>24</v>
      </c>
      <c r="E744" s="63">
        <v>23</v>
      </c>
      <c r="F744" s="63">
        <v>1</v>
      </c>
      <c r="G744" s="63" t="s">
        <v>7</v>
      </c>
    </row>
    <row r="745" spans="1:7" hidden="1">
      <c r="A745" t="s">
        <v>79</v>
      </c>
      <c r="B745" s="1" t="s">
        <v>3</v>
      </c>
      <c r="C745" s="63">
        <v>2016</v>
      </c>
      <c r="D745" s="63">
        <v>60</v>
      </c>
      <c r="E745" s="63">
        <v>57</v>
      </c>
      <c r="F745" s="63">
        <v>3</v>
      </c>
      <c r="G745" s="63" t="s">
        <v>7</v>
      </c>
    </row>
    <row r="746" spans="1:7" hidden="1">
      <c r="A746" t="s">
        <v>79</v>
      </c>
      <c r="B746" s="1" t="s">
        <v>3</v>
      </c>
      <c r="C746" s="63">
        <v>2017</v>
      </c>
      <c r="D746" s="63">
        <v>93</v>
      </c>
      <c r="E746" s="63">
        <v>91</v>
      </c>
      <c r="F746" s="63">
        <v>2</v>
      </c>
      <c r="G746" s="63" t="s">
        <v>7</v>
      </c>
    </row>
    <row r="747" spans="1:7" hidden="1">
      <c r="A747" t="s">
        <v>79</v>
      </c>
      <c r="B747" s="1" t="s">
        <v>3</v>
      </c>
      <c r="C747" s="63">
        <v>2018</v>
      </c>
      <c r="D747" s="63">
        <v>67</v>
      </c>
      <c r="E747" s="63">
        <v>57</v>
      </c>
      <c r="F747" s="63">
        <v>10</v>
      </c>
      <c r="G747" s="63" t="s">
        <v>7</v>
      </c>
    </row>
    <row r="748" spans="1:7">
      <c r="A748" t="s">
        <v>79</v>
      </c>
      <c r="B748" s="1" t="s">
        <v>3</v>
      </c>
      <c r="C748" s="63">
        <v>2019</v>
      </c>
      <c r="D748" s="63">
        <v>79</v>
      </c>
      <c r="E748" s="63">
        <v>70</v>
      </c>
      <c r="F748" s="63">
        <v>9</v>
      </c>
      <c r="G748" s="63" t="s">
        <v>7</v>
      </c>
    </row>
    <row r="749" spans="1:7" hidden="1">
      <c r="A749" t="s">
        <v>79</v>
      </c>
      <c r="B749" s="1" t="s">
        <v>3</v>
      </c>
      <c r="C749" s="63">
        <v>2020</v>
      </c>
      <c r="D749" s="63">
        <v>77</v>
      </c>
      <c r="E749" s="63">
        <v>62</v>
      </c>
      <c r="F749" s="63">
        <v>15</v>
      </c>
      <c r="G749" s="63" t="s">
        <v>7</v>
      </c>
    </row>
    <row r="750" spans="1:7">
      <c r="A750" t="s">
        <v>79</v>
      </c>
      <c r="B750" s="1" t="s">
        <v>3</v>
      </c>
      <c r="C750" s="63">
        <v>2021</v>
      </c>
      <c r="D750" s="63">
        <v>59</v>
      </c>
      <c r="E750" s="63">
        <v>57</v>
      </c>
      <c r="F750" s="63">
        <v>2</v>
      </c>
      <c r="G750" s="63" t="s">
        <v>7</v>
      </c>
    </row>
    <row r="751" spans="1:7" hidden="1">
      <c r="A751" t="s">
        <v>79</v>
      </c>
      <c r="B751" s="1" t="s">
        <v>3</v>
      </c>
      <c r="C751" s="63">
        <v>2022</v>
      </c>
      <c r="D751" s="63">
        <v>93</v>
      </c>
      <c r="E751" s="63">
        <v>80</v>
      </c>
      <c r="F751" s="63">
        <v>13</v>
      </c>
      <c r="G751" s="63" t="s">
        <v>7</v>
      </c>
    </row>
    <row r="752" spans="1:7" hidden="1">
      <c r="A752" t="s">
        <v>79</v>
      </c>
      <c r="B752" s="1" t="s">
        <v>3</v>
      </c>
      <c r="C752" s="63">
        <v>2023</v>
      </c>
      <c r="D752" s="63">
        <v>95</v>
      </c>
      <c r="E752" s="63">
        <v>84</v>
      </c>
      <c r="F752" s="63">
        <v>11</v>
      </c>
      <c r="G752" s="63" t="s">
        <v>7</v>
      </c>
    </row>
    <row r="753" spans="1:7" hidden="1">
      <c r="A753" t="s">
        <v>79</v>
      </c>
      <c r="B753" s="1" t="s">
        <v>3</v>
      </c>
      <c r="C753" s="63">
        <v>2024</v>
      </c>
      <c r="D753" s="63">
        <v>97</v>
      </c>
      <c r="E753" s="63">
        <v>86</v>
      </c>
      <c r="F753" s="63">
        <v>11</v>
      </c>
      <c r="G753" s="63" t="s">
        <v>7</v>
      </c>
    </row>
    <row r="754" spans="1:7" hidden="1">
      <c r="A754" t="s">
        <v>79</v>
      </c>
      <c r="B754" s="1" t="s">
        <v>35</v>
      </c>
      <c r="C754" s="2">
        <v>1990</v>
      </c>
      <c r="D754" s="2">
        <v>2</v>
      </c>
      <c r="E754" s="2">
        <v>2</v>
      </c>
      <c r="F754" s="1" t="s">
        <v>7</v>
      </c>
      <c r="G754" s="1" t="s">
        <v>7</v>
      </c>
    </row>
    <row r="755" spans="1:7" hidden="1">
      <c r="A755" t="s">
        <v>79</v>
      </c>
      <c r="B755" s="1" t="s">
        <v>36</v>
      </c>
      <c r="C755" s="2">
        <v>1991</v>
      </c>
      <c r="D755" s="2">
        <v>11</v>
      </c>
      <c r="E755" s="2">
        <v>9</v>
      </c>
      <c r="F755" s="2">
        <v>2</v>
      </c>
      <c r="G755" s="1" t="s">
        <v>7</v>
      </c>
    </row>
    <row r="756" spans="1:7" hidden="1">
      <c r="A756" t="s">
        <v>79</v>
      </c>
      <c r="B756" s="1" t="s">
        <v>37</v>
      </c>
      <c r="C756" s="2">
        <v>1992</v>
      </c>
      <c r="D756" s="2">
        <v>3</v>
      </c>
      <c r="E756" s="2">
        <v>3</v>
      </c>
      <c r="F756" s="1" t="s">
        <v>7</v>
      </c>
      <c r="G756" s="1" t="s">
        <v>7</v>
      </c>
    </row>
    <row r="757" spans="1:7" hidden="1">
      <c r="A757" t="s">
        <v>79</v>
      </c>
      <c r="B757" s="1" t="s">
        <v>38</v>
      </c>
      <c r="C757" s="2">
        <v>1993</v>
      </c>
      <c r="D757" s="2">
        <v>3</v>
      </c>
      <c r="E757" s="2">
        <v>2</v>
      </c>
      <c r="F757" s="2">
        <v>1</v>
      </c>
      <c r="G757" s="1" t="s">
        <v>7</v>
      </c>
    </row>
    <row r="758" spans="1:7" hidden="1">
      <c r="A758" t="s">
        <v>79</v>
      </c>
      <c r="B758" s="1" t="s">
        <v>39</v>
      </c>
      <c r="C758" s="2">
        <v>1994</v>
      </c>
      <c r="D758" s="2">
        <v>9</v>
      </c>
      <c r="E758" s="2">
        <v>9</v>
      </c>
      <c r="F758" s="1" t="s">
        <v>7</v>
      </c>
      <c r="G758" s="1" t="s">
        <v>7</v>
      </c>
    </row>
    <row r="759" spans="1:7" hidden="1">
      <c r="A759" t="s">
        <v>79</v>
      </c>
      <c r="B759" s="1" t="s">
        <v>40</v>
      </c>
      <c r="C759" s="2">
        <v>1995</v>
      </c>
      <c r="D759" s="2">
        <v>4</v>
      </c>
      <c r="E759" s="2">
        <v>4</v>
      </c>
      <c r="F759" s="1" t="s">
        <v>7</v>
      </c>
      <c r="G759" s="1" t="s">
        <v>7</v>
      </c>
    </row>
    <row r="760" spans="1:7" hidden="1">
      <c r="A760" t="s">
        <v>79</v>
      </c>
      <c r="B760" s="1" t="s">
        <v>41</v>
      </c>
      <c r="C760" s="2">
        <v>1996</v>
      </c>
      <c r="D760" s="2">
        <v>4</v>
      </c>
      <c r="E760" s="2">
        <v>4</v>
      </c>
      <c r="F760" s="1" t="s">
        <v>7</v>
      </c>
      <c r="G760" s="1" t="s">
        <v>7</v>
      </c>
    </row>
    <row r="761" spans="1:7" hidden="1">
      <c r="A761" t="s">
        <v>79</v>
      </c>
      <c r="B761" s="1" t="s">
        <v>42</v>
      </c>
      <c r="C761" s="2">
        <v>1997</v>
      </c>
      <c r="D761" s="2">
        <v>2</v>
      </c>
      <c r="E761" s="2">
        <v>2</v>
      </c>
      <c r="F761" s="1" t="s">
        <v>7</v>
      </c>
      <c r="G761" s="1" t="s">
        <v>7</v>
      </c>
    </row>
    <row r="762" spans="1:7" hidden="1">
      <c r="A762" t="s">
        <v>79</v>
      </c>
      <c r="B762" s="1" t="s">
        <v>43</v>
      </c>
      <c r="C762" s="2">
        <v>1998</v>
      </c>
      <c r="D762" s="2">
        <v>1</v>
      </c>
      <c r="E762" s="2">
        <v>1</v>
      </c>
      <c r="F762" s="1" t="s">
        <v>7</v>
      </c>
      <c r="G762" s="1" t="s">
        <v>7</v>
      </c>
    </row>
    <row r="763" spans="1:7" hidden="1">
      <c r="A763" t="s">
        <v>79</v>
      </c>
      <c r="B763" s="1" t="s">
        <v>44</v>
      </c>
      <c r="C763" s="2">
        <v>1999</v>
      </c>
      <c r="D763" s="2">
        <v>10</v>
      </c>
      <c r="E763" s="2">
        <v>9</v>
      </c>
      <c r="F763" s="2">
        <v>1</v>
      </c>
      <c r="G763" s="1" t="s">
        <v>7</v>
      </c>
    </row>
    <row r="764" spans="1:7" hidden="1">
      <c r="A764" t="s">
        <v>79</v>
      </c>
      <c r="B764" s="1" t="s">
        <v>45</v>
      </c>
      <c r="C764" s="2">
        <v>2000</v>
      </c>
      <c r="D764" s="2">
        <v>8</v>
      </c>
      <c r="E764" s="2">
        <v>7</v>
      </c>
      <c r="F764" s="2">
        <v>1</v>
      </c>
      <c r="G764" s="1" t="s">
        <v>7</v>
      </c>
    </row>
    <row r="765" spans="1:7" hidden="1">
      <c r="A765" t="s">
        <v>79</v>
      </c>
      <c r="B765" s="1" t="s">
        <v>46</v>
      </c>
      <c r="C765" s="2">
        <v>2001</v>
      </c>
      <c r="D765" s="2">
        <v>7</v>
      </c>
      <c r="E765" s="2">
        <v>7</v>
      </c>
      <c r="F765" s="1" t="s">
        <v>7</v>
      </c>
      <c r="G765" s="1" t="s">
        <v>7</v>
      </c>
    </row>
    <row r="766" spans="1:7" hidden="1">
      <c r="A766" t="s">
        <v>79</v>
      </c>
      <c r="B766" s="1" t="s">
        <v>47</v>
      </c>
      <c r="C766" s="2">
        <v>2002</v>
      </c>
      <c r="D766" s="2">
        <v>5</v>
      </c>
      <c r="E766" s="2">
        <v>5</v>
      </c>
      <c r="F766" s="1" t="s">
        <v>7</v>
      </c>
      <c r="G766" s="1" t="s">
        <v>7</v>
      </c>
    </row>
    <row r="767" spans="1:7" hidden="1">
      <c r="A767" t="s">
        <v>79</v>
      </c>
      <c r="B767" s="1" t="s">
        <v>48</v>
      </c>
      <c r="C767" s="2">
        <v>2003</v>
      </c>
      <c r="D767" s="2">
        <v>4</v>
      </c>
      <c r="E767" s="2">
        <v>3</v>
      </c>
      <c r="F767" s="2">
        <v>1</v>
      </c>
      <c r="G767" s="1" t="s">
        <v>7</v>
      </c>
    </row>
    <row r="768" spans="1:7" hidden="1">
      <c r="A768" t="s">
        <v>79</v>
      </c>
      <c r="B768" s="1" t="s">
        <v>49</v>
      </c>
      <c r="C768" s="2">
        <v>2004</v>
      </c>
      <c r="D768" s="2">
        <v>10</v>
      </c>
      <c r="E768" s="2">
        <v>10</v>
      </c>
      <c r="F768" s="1" t="s">
        <v>7</v>
      </c>
      <c r="G768" s="1" t="s">
        <v>7</v>
      </c>
    </row>
    <row r="769" spans="1:7" hidden="1">
      <c r="A769" t="s">
        <v>79</v>
      </c>
      <c r="B769" s="1" t="s">
        <v>50</v>
      </c>
      <c r="C769" s="2">
        <v>2005</v>
      </c>
      <c r="D769" s="2">
        <v>4</v>
      </c>
      <c r="E769" s="2">
        <v>4</v>
      </c>
      <c r="F769" s="1" t="s">
        <v>7</v>
      </c>
      <c r="G769" s="1" t="s">
        <v>7</v>
      </c>
    </row>
    <row r="770" spans="1:7" hidden="1">
      <c r="A770" t="s">
        <v>79</v>
      </c>
      <c r="B770" s="1" t="s">
        <v>51</v>
      </c>
      <c r="C770" s="2">
        <v>2006</v>
      </c>
      <c r="D770" s="2">
        <v>4</v>
      </c>
      <c r="E770" s="2">
        <v>4</v>
      </c>
      <c r="F770" s="1" t="s">
        <v>7</v>
      </c>
      <c r="G770" s="1" t="s">
        <v>7</v>
      </c>
    </row>
    <row r="771" spans="1:7" hidden="1">
      <c r="A771" t="s">
        <v>79</v>
      </c>
      <c r="B771" s="1" t="s">
        <v>52</v>
      </c>
      <c r="C771" s="2">
        <v>2007</v>
      </c>
      <c r="D771" s="2">
        <v>1</v>
      </c>
      <c r="E771" s="2">
        <v>1</v>
      </c>
      <c r="F771" s="1" t="s">
        <v>7</v>
      </c>
      <c r="G771" s="1" t="s">
        <v>7</v>
      </c>
    </row>
    <row r="772" spans="1:7" hidden="1">
      <c r="A772" t="s">
        <v>79</v>
      </c>
      <c r="B772" s="1" t="s">
        <v>53</v>
      </c>
      <c r="C772" s="2">
        <v>2008</v>
      </c>
      <c r="D772" s="2">
        <v>8</v>
      </c>
      <c r="E772" s="2">
        <v>6</v>
      </c>
      <c r="F772" s="2">
        <v>2</v>
      </c>
      <c r="G772" s="1" t="s">
        <v>7</v>
      </c>
    </row>
    <row r="773" spans="1:7" hidden="1">
      <c r="A773" t="s">
        <v>79</v>
      </c>
      <c r="B773" s="1" t="s">
        <v>54</v>
      </c>
      <c r="C773" s="2">
        <v>2009</v>
      </c>
      <c r="D773" s="2">
        <v>6</v>
      </c>
      <c r="E773" s="2">
        <v>5</v>
      </c>
      <c r="F773" s="2">
        <v>1</v>
      </c>
      <c r="G773" s="1" t="s">
        <v>7</v>
      </c>
    </row>
    <row r="774" spans="1:7" hidden="1">
      <c r="A774" t="s">
        <v>79</v>
      </c>
      <c r="B774" s="1" t="s">
        <v>55</v>
      </c>
      <c r="C774" s="2">
        <v>2010</v>
      </c>
      <c r="D774" s="2">
        <v>16</v>
      </c>
      <c r="E774" s="2">
        <v>14</v>
      </c>
      <c r="F774" s="2">
        <v>2</v>
      </c>
      <c r="G774" s="1" t="s">
        <v>7</v>
      </c>
    </row>
    <row r="775" spans="1:7" hidden="1">
      <c r="A775" t="s">
        <v>79</v>
      </c>
      <c r="B775" s="1" t="s">
        <v>56</v>
      </c>
      <c r="C775" s="2">
        <v>2011</v>
      </c>
      <c r="D775" s="2">
        <v>21</v>
      </c>
      <c r="E775" s="2">
        <v>21</v>
      </c>
      <c r="F775" s="1" t="s">
        <v>7</v>
      </c>
      <c r="G775" s="1" t="s">
        <v>7</v>
      </c>
    </row>
    <row r="776" spans="1:7" hidden="1">
      <c r="A776" t="s">
        <v>79</v>
      </c>
      <c r="B776" s="1" t="s">
        <v>57</v>
      </c>
      <c r="C776" s="2">
        <v>2012</v>
      </c>
      <c r="D776" s="2">
        <v>27</v>
      </c>
      <c r="E776" s="2">
        <v>26</v>
      </c>
      <c r="F776" s="2">
        <v>1</v>
      </c>
      <c r="G776" s="1" t="s">
        <v>7</v>
      </c>
    </row>
    <row r="777" spans="1:7" hidden="1">
      <c r="A777" t="s">
        <v>79</v>
      </c>
      <c r="B777" s="1" t="s">
        <v>58</v>
      </c>
      <c r="C777" s="2">
        <v>2013</v>
      </c>
      <c r="D777" s="2">
        <v>25</v>
      </c>
      <c r="E777" s="2">
        <v>25</v>
      </c>
      <c r="F777" s="1" t="s">
        <v>7</v>
      </c>
      <c r="G777" s="1" t="s">
        <v>7</v>
      </c>
    </row>
    <row r="778" spans="1:7" hidden="1">
      <c r="A778" t="s">
        <v>79</v>
      </c>
      <c r="B778" s="1" t="s">
        <v>58</v>
      </c>
      <c r="C778" s="2">
        <v>2014</v>
      </c>
      <c r="D778" s="2">
        <v>1</v>
      </c>
      <c r="E778" s="2">
        <v>1</v>
      </c>
      <c r="F778" s="1" t="s">
        <v>7</v>
      </c>
      <c r="G778" s="1" t="s">
        <v>7</v>
      </c>
    </row>
    <row r="779" spans="1:7" hidden="1">
      <c r="A779" t="s">
        <v>79</v>
      </c>
      <c r="B779" s="1" t="s">
        <v>59</v>
      </c>
      <c r="C779" s="2">
        <v>2014</v>
      </c>
      <c r="D779" s="2">
        <v>9</v>
      </c>
      <c r="E779" s="2">
        <v>9</v>
      </c>
      <c r="F779" s="1" t="s">
        <v>7</v>
      </c>
      <c r="G779" s="1" t="s">
        <v>7</v>
      </c>
    </row>
    <row r="780" spans="1:7" hidden="1">
      <c r="A780" t="s">
        <v>79</v>
      </c>
      <c r="B780" s="1" t="s">
        <v>60</v>
      </c>
      <c r="C780" s="2">
        <v>2015</v>
      </c>
      <c r="D780" s="2">
        <v>24</v>
      </c>
      <c r="E780" s="2">
        <v>23</v>
      </c>
      <c r="F780" s="2">
        <v>1</v>
      </c>
      <c r="G780" s="1" t="s">
        <v>7</v>
      </c>
    </row>
    <row r="781" spans="1:7" hidden="1">
      <c r="A781" t="s">
        <v>79</v>
      </c>
      <c r="B781" s="1" t="s">
        <v>61</v>
      </c>
      <c r="C781" s="2">
        <v>2016</v>
      </c>
      <c r="D781" s="2">
        <v>60</v>
      </c>
      <c r="E781" s="2">
        <v>57</v>
      </c>
      <c r="F781" s="2">
        <v>3</v>
      </c>
      <c r="G781" s="1" t="s">
        <v>7</v>
      </c>
    </row>
    <row r="782" spans="1:7" hidden="1">
      <c r="A782" t="s">
        <v>79</v>
      </c>
      <c r="B782" s="1" t="s">
        <v>61</v>
      </c>
      <c r="C782" s="2">
        <v>2017</v>
      </c>
      <c r="D782" s="2">
        <v>1</v>
      </c>
      <c r="E782" s="2">
        <v>1</v>
      </c>
      <c r="F782" s="1" t="s">
        <v>7</v>
      </c>
      <c r="G782" s="1" t="s">
        <v>7</v>
      </c>
    </row>
    <row r="783" spans="1:7" hidden="1">
      <c r="A783" t="s">
        <v>79</v>
      </c>
      <c r="B783" s="1" t="s">
        <v>62</v>
      </c>
      <c r="C783" s="2">
        <v>2017</v>
      </c>
      <c r="D783" s="2">
        <v>92</v>
      </c>
      <c r="E783" s="2">
        <v>90</v>
      </c>
      <c r="F783" s="2">
        <v>2</v>
      </c>
      <c r="G783" s="1" t="s">
        <v>7</v>
      </c>
    </row>
    <row r="784" spans="1:7" hidden="1">
      <c r="A784" t="s">
        <v>79</v>
      </c>
      <c r="B784" s="1" t="s">
        <v>62</v>
      </c>
      <c r="C784" s="2">
        <v>2018</v>
      </c>
      <c r="D784" s="2">
        <v>1</v>
      </c>
      <c r="E784" s="2">
        <v>1</v>
      </c>
      <c r="F784" s="1" t="s">
        <v>7</v>
      </c>
      <c r="G784" s="1" t="s">
        <v>7</v>
      </c>
    </row>
    <row r="785" spans="1:7" hidden="1">
      <c r="A785" t="s">
        <v>79</v>
      </c>
      <c r="B785" s="1" t="s">
        <v>63</v>
      </c>
      <c r="C785" s="2">
        <v>2018</v>
      </c>
      <c r="D785" s="2">
        <v>66</v>
      </c>
      <c r="E785" s="2">
        <v>56</v>
      </c>
      <c r="F785" s="2">
        <v>10</v>
      </c>
      <c r="G785" s="1" t="s">
        <v>7</v>
      </c>
    </row>
    <row r="786" spans="1:7" hidden="1">
      <c r="A786" t="s">
        <v>79</v>
      </c>
      <c r="B786" s="1" t="s">
        <v>63</v>
      </c>
      <c r="C786" s="2">
        <v>2019</v>
      </c>
      <c r="D786" s="2">
        <v>4</v>
      </c>
      <c r="E786" s="2">
        <v>3</v>
      </c>
      <c r="F786" s="2">
        <v>1</v>
      </c>
      <c r="G786" s="1" t="s">
        <v>7</v>
      </c>
    </row>
    <row r="787" spans="1:7" hidden="1">
      <c r="A787" t="s">
        <v>79</v>
      </c>
      <c r="B787" s="1" t="s">
        <v>63</v>
      </c>
      <c r="C787" s="2">
        <v>2020</v>
      </c>
      <c r="D787" s="2">
        <v>2</v>
      </c>
      <c r="E787" s="2">
        <v>1</v>
      </c>
      <c r="F787" s="2">
        <v>1</v>
      </c>
      <c r="G787" s="1" t="s">
        <v>7</v>
      </c>
    </row>
    <row r="788" spans="1:7" hidden="1">
      <c r="A788" t="s">
        <v>79</v>
      </c>
      <c r="B788" s="1" t="s">
        <v>64</v>
      </c>
      <c r="C788" s="2">
        <v>2019</v>
      </c>
      <c r="D788" s="2">
        <v>75</v>
      </c>
      <c r="E788" s="2">
        <v>67</v>
      </c>
      <c r="F788" s="2">
        <v>8</v>
      </c>
      <c r="G788" s="1" t="s">
        <v>7</v>
      </c>
    </row>
    <row r="789" spans="1:7" hidden="1">
      <c r="A789" t="s">
        <v>79</v>
      </c>
      <c r="B789" s="1" t="s">
        <v>64</v>
      </c>
      <c r="C789" s="2">
        <v>2021</v>
      </c>
      <c r="D789" s="2">
        <v>2</v>
      </c>
      <c r="E789" s="2">
        <v>1</v>
      </c>
      <c r="F789" s="2">
        <v>1</v>
      </c>
      <c r="G789" s="1" t="s">
        <v>7</v>
      </c>
    </row>
    <row r="790" spans="1:7" hidden="1">
      <c r="A790" t="s">
        <v>79</v>
      </c>
      <c r="B790" s="1" t="s">
        <v>65</v>
      </c>
      <c r="C790" s="2">
        <v>2020</v>
      </c>
      <c r="D790" s="2">
        <v>74</v>
      </c>
      <c r="E790" s="2">
        <v>60</v>
      </c>
      <c r="F790" s="2">
        <v>14</v>
      </c>
      <c r="G790" s="1" t="s">
        <v>7</v>
      </c>
    </row>
    <row r="791" spans="1:7" hidden="1">
      <c r="A791" t="s">
        <v>79</v>
      </c>
      <c r="B791" s="1" t="s">
        <v>65</v>
      </c>
      <c r="C791" s="2">
        <v>2021</v>
      </c>
      <c r="D791" s="2">
        <v>2</v>
      </c>
      <c r="E791" s="2">
        <v>2</v>
      </c>
      <c r="F791" s="1" t="s">
        <v>7</v>
      </c>
      <c r="G791" s="1" t="s">
        <v>7</v>
      </c>
    </row>
    <row r="792" spans="1:7" hidden="1">
      <c r="A792" t="s">
        <v>79</v>
      </c>
      <c r="B792" s="1" t="s">
        <v>66</v>
      </c>
      <c r="C792" s="2">
        <v>2021</v>
      </c>
      <c r="D792" s="2">
        <v>53</v>
      </c>
      <c r="E792" s="2">
        <v>52</v>
      </c>
      <c r="F792" s="2">
        <v>1</v>
      </c>
      <c r="G792" s="1" t="s">
        <v>7</v>
      </c>
    </row>
    <row r="793" spans="1:7" hidden="1">
      <c r="A793" t="s">
        <v>79</v>
      </c>
      <c r="B793" s="1" t="s">
        <v>66</v>
      </c>
      <c r="C793" s="2">
        <v>2022</v>
      </c>
      <c r="D793" s="2">
        <v>2</v>
      </c>
      <c r="E793" s="2">
        <v>2</v>
      </c>
      <c r="F793" s="1" t="s">
        <v>7</v>
      </c>
      <c r="G793" s="1" t="s">
        <v>7</v>
      </c>
    </row>
    <row r="794" spans="1:7" hidden="1">
      <c r="A794" t="s">
        <v>79</v>
      </c>
      <c r="B794" s="1" t="s">
        <v>67</v>
      </c>
      <c r="C794" s="2">
        <v>2022</v>
      </c>
      <c r="D794" s="2">
        <v>87</v>
      </c>
      <c r="E794" s="2">
        <v>74</v>
      </c>
      <c r="F794" s="2">
        <v>13</v>
      </c>
      <c r="G794" s="1" t="s">
        <v>7</v>
      </c>
    </row>
    <row r="795" spans="1:7" hidden="1">
      <c r="A795" t="s">
        <v>79</v>
      </c>
      <c r="B795" s="1" t="s">
        <v>68</v>
      </c>
      <c r="C795" s="2">
        <v>2023</v>
      </c>
      <c r="D795" s="2">
        <v>94</v>
      </c>
      <c r="E795" s="2">
        <v>83</v>
      </c>
      <c r="F795" s="2">
        <v>11</v>
      </c>
      <c r="G795" s="1" t="s">
        <v>7</v>
      </c>
    </row>
    <row r="796" spans="1:7" hidden="1">
      <c r="A796" t="s">
        <v>79</v>
      </c>
      <c r="B796" s="1" t="s">
        <v>68</v>
      </c>
      <c r="C796" s="2">
        <v>2024</v>
      </c>
      <c r="D796" s="2">
        <v>3</v>
      </c>
      <c r="E796" s="2">
        <v>3</v>
      </c>
      <c r="F796" s="1" t="s">
        <v>7</v>
      </c>
      <c r="G796" s="1" t="s">
        <v>7</v>
      </c>
    </row>
    <row r="797" spans="1:7" hidden="1">
      <c r="A797" t="s">
        <v>79</v>
      </c>
      <c r="B797" s="1" t="s">
        <v>69</v>
      </c>
      <c r="C797" s="2">
        <v>2024</v>
      </c>
      <c r="D797" s="2">
        <v>92</v>
      </c>
      <c r="E797" s="2">
        <v>81</v>
      </c>
      <c r="F797" s="2">
        <v>11</v>
      </c>
      <c r="G797" s="1" t="s">
        <v>7</v>
      </c>
    </row>
    <row r="798" spans="1:7" hidden="1">
      <c r="A798" t="s">
        <v>79</v>
      </c>
      <c r="B798" s="1" t="s">
        <v>6</v>
      </c>
      <c r="C798" s="2">
        <v>1990</v>
      </c>
      <c r="D798" s="2">
        <v>2</v>
      </c>
      <c r="E798" s="2">
        <v>2</v>
      </c>
      <c r="F798" s="1" t="s">
        <v>7</v>
      </c>
      <c r="G798" s="1" t="s">
        <v>7</v>
      </c>
    </row>
    <row r="799" spans="1:7" hidden="1">
      <c r="A799" t="s">
        <v>79</v>
      </c>
      <c r="B799" s="1" t="s">
        <v>6</v>
      </c>
      <c r="C799" s="2">
        <v>1992</v>
      </c>
      <c r="D799" s="2">
        <v>4</v>
      </c>
      <c r="E799" s="2">
        <v>4</v>
      </c>
      <c r="F799" s="1" t="s">
        <v>7</v>
      </c>
      <c r="G799" s="1" t="s">
        <v>7</v>
      </c>
    </row>
    <row r="800" spans="1:7" hidden="1">
      <c r="A800" t="s">
        <v>79</v>
      </c>
      <c r="B800" s="1" t="s">
        <v>6</v>
      </c>
      <c r="C800" s="2">
        <v>1993</v>
      </c>
      <c r="D800" s="2">
        <v>1</v>
      </c>
      <c r="E800" s="2">
        <v>1</v>
      </c>
      <c r="F800" s="1" t="s">
        <v>7</v>
      </c>
      <c r="G800" s="1" t="s">
        <v>7</v>
      </c>
    </row>
    <row r="801" spans="1:7" hidden="1">
      <c r="A801" t="s">
        <v>79</v>
      </c>
      <c r="B801" s="1" t="s">
        <v>6</v>
      </c>
      <c r="C801" s="2">
        <v>2020</v>
      </c>
      <c r="D801" s="2">
        <v>1</v>
      </c>
      <c r="E801" s="2">
        <v>1</v>
      </c>
      <c r="F801" s="1" t="s">
        <v>7</v>
      </c>
      <c r="G801" s="1" t="s">
        <v>7</v>
      </c>
    </row>
    <row r="802" spans="1:7" hidden="1">
      <c r="A802" t="s">
        <v>79</v>
      </c>
      <c r="B802" s="1" t="s">
        <v>6</v>
      </c>
      <c r="C802" s="2">
        <v>2021</v>
      </c>
      <c r="D802" s="2">
        <v>2</v>
      </c>
      <c r="E802" s="2">
        <v>2</v>
      </c>
      <c r="F802" s="1" t="s">
        <v>7</v>
      </c>
      <c r="G802" s="1" t="s">
        <v>7</v>
      </c>
    </row>
    <row r="803" spans="1:7" hidden="1">
      <c r="A803" t="s">
        <v>79</v>
      </c>
      <c r="B803" s="1" t="s">
        <v>6</v>
      </c>
      <c r="C803" s="2">
        <v>2022</v>
      </c>
      <c r="D803" s="2">
        <v>4</v>
      </c>
      <c r="E803" s="2">
        <v>4</v>
      </c>
      <c r="F803" s="1" t="s">
        <v>7</v>
      </c>
      <c r="G803" s="1" t="s">
        <v>7</v>
      </c>
    </row>
    <row r="804" spans="1:7" hidden="1">
      <c r="A804" t="s">
        <v>79</v>
      </c>
      <c r="B804" s="1" t="s">
        <v>6</v>
      </c>
      <c r="C804" s="2">
        <v>2023</v>
      </c>
      <c r="D804" s="2">
        <v>1</v>
      </c>
      <c r="E804" s="2">
        <v>1</v>
      </c>
      <c r="F804" s="1" t="s">
        <v>7</v>
      </c>
      <c r="G804" s="1" t="s">
        <v>7</v>
      </c>
    </row>
    <row r="805" spans="1:7" hidden="1">
      <c r="A805" t="s">
        <v>79</v>
      </c>
      <c r="B805" s="1" t="s">
        <v>6</v>
      </c>
      <c r="C805" s="2">
        <v>2024</v>
      </c>
      <c r="D805" s="2">
        <v>2</v>
      </c>
      <c r="E805" s="2">
        <v>2</v>
      </c>
      <c r="F805" s="1" t="s">
        <v>7</v>
      </c>
      <c r="G805" s="1" t="s">
        <v>7</v>
      </c>
    </row>
    <row r="806" spans="1:7" hidden="1">
      <c r="A806" t="s">
        <v>80</v>
      </c>
      <c r="B806" s="1" t="s">
        <v>3</v>
      </c>
      <c r="C806" s="63">
        <v>1990</v>
      </c>
      <c r="D806" s="63">
        <v>9</v>
      </c>
      <c r="E806" s="63">
        <v>9</v>
      </c>
      <c r="F806" s="63" t="s">
        <v>7</v>
      </c>
      <c r="G806" s="63" t="s">
        <v>7</v>
      </c>
    </row>
    <row r="807" spans="1:7" hidden="1">
      <c r="A807" t="s">
        <v>80</v>
      </c>
      <c r="B807" s="1" t="s">
        <v>3</v>
      </c>
      <c r="C807" s="63">
        <v>1991</v>
      </c>
      <c r="D807" s="63">
        <v>9</v>
      </c>
      <c r="E807" s="63">
        <v>8</v>
      </c>
      <c r="F807" s="63">
        <v>1</v>
      </c>
      <c r="G807" s="63" t="s">
        <v>7</v>
      </c>
    </row>
    <row r="808" spans="1:7" hidden="1">
      <c r="A808" t="s">
        <v>80</v>
      </c>
      <c r="B808" s="1" t="s">
        <v>3</v>
      </c>
      <c r="C808" s="63">
        <v>1992</v>
      </c>
      <c r="D808" s="63">
        <v>2</v>
      </c>
      <c r="E808" s="63">
        <v>2</v>
      </c>
      <c r="F808" s="63" t="s">
        <v>7</v>
      </c>
      <c r="G808" s="63" t="s">
        <v>7</v>
      </c>
    </row>
    <row r="809" spans="1:7" hidden="1">
      <c r="A809" t="s">
        <v>80</v>
      </c>
      <c r="B809" s="1" t="s">
        <v>3</v>
      </c>
      <c r="C809" s="63">
        <v>1993</v>
      </c>
      <c r="D809" s="63">
        <v>7</v>
      </c>
      <c r="E809" s="63">
        <v>7</v>
      </c>
      <c r="F809" s="63" t="s">
        <v>7</v>
      </c>
      <c r="G809" s="63" t="s">
        <v>7</v>
      </c>
    </row>
    <row r="810" spans="1:7" hidden="1">
      <c r="A810" t="s">
        <v>80</v>
      </c>
      <c r="B810" s="1" t="s">
        <v>3</v>
      </c>
      <c r="C810" s="63">
        <v>1994</v>
      </c>
      <c r="D810" s="63">
        <v>1</v>
      </c>
      <c r="E810" s="63">
        <v>1</v>
      </c>
      <c r="F810" s="63" t="s">
        <v>7</v>
      </c>
      <c r="G810" s="63" t="s">
        <v>7</v>
      </c>
    </row>
    <row r="811" spans="1:7" hidden="1">
      <c r="A811" t="s">
        <v>80</v>
      </c>
      <c r="B811" s="1" t="s">
        <v>3</v>
      </c>
      <c r="C811" s="63">
        <v>1995</v>
      </c>
      <c r="D811" s="63">
        <v>2</v>
      </c>
      <c r="E811" s="63">
        <v>2</v>
      </c>
      <c r="F811" s="63" t="s">
        <v>7</v>
      </c>
      <c r="G811" s="63" t="s">
        <v>7</v>
      </c>
    </row>
    <row r="812" spans="1:7" hidden="1">
      <c r="A812" t="s">
        <v>80</v>
      </c>
      <c r="B812" s="1" t="s">
        <v>3</v>
      </c>
      <c r="C812" s="63">
        <v>1996</v>
      </c>
      <c r="D812" s="63">
        <v>2</v>
      </c>
      <c r="E812" s="63">
        <v>2</v>
      </c>
      <c r="F812" s="63" t="s">
        <v>7</v>
      </c>
      <c r="G812" s="63" t="s">
        <v>7</v>
      </c>
    </row>
    <row r="813" spans="1:7" hidden="1">
      <c r="A813" t="s">
        <v>80</v>
      </c>
      <c r="B813" s="1" t="s">
        <v>3</v>
      </c>
      <c r="C813" s="63">
        <v>1997</v>
      </c>
      <c r="D813" s="63">
        <v>3</v>
      </c>
      <c r="E813" s="63">
        <v>2</v>
      </c>
      <c r="F813" s="63">
        <v>1</v>
      </c>
      <c r="G813" s="63" t="s">
        <v>7</v>
      </c>
    </row>
    <row r="814" spans="1:7" hidden="1">
      <c r="A814" t="s">
        <v>80</v>
      </c>
      <c r="B814" s="1" t="s">
        <v>3</v>
      </c>
      <c r="C814" s="63">
        <v>1998</v>
      </c>
      <c r="D814" s="63">
        <v>5</v>
      </c>
      <c r="E814" s="63">
        <v>2</v>
      </c>
      <c r="F814" s="63">
        <v>3</v>
      </c>
      <c r="G814" s="63" t="s">
        <v>7</v>
      </c>
    </row>
    <row r="815" spans="1:7" hidden="1">
      <c r="A815" t="s">
        <v>80</v>
      </c>
      <c r="B815" s="1" t="s">
        <v>3</v>
      </c>
      <c r="C815" s="63">
        <v>1999</v>
      </c>
      <c r="D815" s="63">
        <v>5</v>
      </c>
      <c r="E815" s="63">
        <v>4</v>
      </c>
      <c r="F815" s="63">
        <v>1</v>
      </c>
      <c r="G815" s="63" t="s">
        <v>7</v>
      </c>
    </row>
    <row r="816" spans="1:7" hidden="1">
      <c r="A816" t="s">
        <v>80</v>
      </c>
      <c r="B816" s="1" t="s">
        <v>3</v>
      </c>
      <c r="C816" s="63">
        <v>2000</v>
      </c>
      <c r="D816" s="63">
        <v>6</v>
      </c>
      <c r="E816" s="63">
        <v>6</v>
      </c>
      <c r="F816" s="63" t="s">
        <v>7</v>
      </c>
      <c r="G816" s="63" t="s">
        <v>7</v>
      </c>
    </row>
    <row r="817" spans="1:7" hidden="1">
      <c r="A817" t="s">
        <v>80</v>
      </c>
      <c r="B817" s="1" t="s">
        <v>3</v>
      </c>
      <c r="C817" s="63">
        <v>2001</v>
      </c>
      <c r="D817" s="63">
        <v>5</v>
      </c>
      <c r="E817" s="63">
        <v>5</v>
      </c>
      <c r="F817" s="63" t="s">
        <v>7</v>
      </c>
      <c r="G817" s="63" t="s">
        <v>7</v>
      </c>
    </row>
    <row r="818" spans="1:7" hidden="1">
      <c r="A818" t="s">
        <v>80</v>
      </c>
      <c r="B818" s="1" t="s">
        <v>3</v>
      </c>
      <c r="C818" s="63">
        <v>2002</v>
      </c>
      <c r="D818" s="63">
        <v>3</v>
      </c>
      <c r="E818" s="63">
        <v>3</v>
      </c>
      <c r="F818" s="63" t="s">
        <v>7</v>
      </c>
      <c r="G818" s="63" t="s">
        <v>7</v>
      </c>
    </row>
    <row r="819" spans="1:7" hidden="1">
      <c r="A819" t="s">
        <v>80</v>
      </c>
      <c r="B819" s="1" t="s">
        <v>3</v>
      </c>
      <c r="C819" s="63">
        <v>2004</v>
      </c>
      <c r="D819" s="63">
        <v>6</v>
      </c>
      <c r="E819" s="63">
        <v>6</v>
      </c>
      <c r="F819" s="63" t="s">
        <v>7</v>
      </c>
      <c r="G819" s="63" t="s">
        <v>7</v>
      </c>
    </row>
    <row r="820" spans="1:7" hidden="1">
      <c r="A820" t="s">
        <v>80</v>
      </c>
      <c r="B820" s="1" t="s">
        <v>3</v>
      </c>
      <c r="C820" s="63">
        <v>2005</v>
      </c>
      <c r="D820" s="63">
        <v>7</v>
      </c>
      <c r="E820" s="63">
        <v>6</v>
      </c>
      <c r="F820" s="63">
        <v>1</v>
      </c>
      <c r="G820" s="63" t="s">
        <v>7</v>
      </c>
    </row>
    <row r="821" spans="1:7" hidden="1">
      <c r="A821" t="s">
        <v>80</v>
      </c>
      <c r="B821" s="1" t="s">
        <v>3</v>
      </c>
      <c r="C821" s="63">
        <v>2006</v>
      </c>
      <c r="D821" s="63">
        <v>2</v>
      </c>
      <c r="E821" s="63">
        <v>2</v>
      </c>
      <c r="F821" s="63" t="s">
        <v>7</v>
      </c>
      <c r="G821" s="63" t="s">
        <v>7</v>
      </c>
    </row>
    <row r="822" spans="1:7" hidden="1">
      <c r="A822" t="s">
        <v>80</v>
      </c>
      <c r="B822" s="1" t="s">
        <v>3</v>
      </c>
      <c r="C822" s="63">
        <v>2007</v>
      </c>
      <c r="D822" s="63">
        <v>5</v>
      </c>
      <c r="E822" s="63">
        <v>5</v>
      </c>
      <c r="F822" s="63" t="s">
        <v>7</v>
      </c>
      <c r="G822" s="63" t="s">
        <v>7</v>
      </c>
    </row>
    <row r="823" spans="1:7" hidden="1">
      <c r="A823" t="s">
        <v>80</v>
      </c>
      <c r="B823" s="1" t="s">
        <v>3</v>
      </c>
      <c r="C823" s="63">
        <v>2008</v>
      </c>
      <c r="D823" s="63">
        <v>6</v>
      </c>
      <c r="E823" s="63">
        <v>6</v>
      </c>
      <c r="F823" s="63" t="s">
        <v>7</v>
      </c>
      <c r="G823" s="63" t="s">
        <v>7</v>
      </c>
    </row>
    <row r="824" spans="1:7" hidden="1">
      <c r="A824" t="s">
        <v>80</v>
      </c>
      <c r="B824" s="1" t="s">
        <v>3</v>
      </c>
      <c r="C824" s="63">
        <v>2009</v>
      </c>
      <c r="D824" s="63">
        <v>4</v>
      </c>
      <c r="E824" s="63">
        <v>3</v>
      </c>
      <c r="F824" s="63">
        <v>1</v>
      </c>
      <c r="G824" s="63" t="s">
        <v>7</v>
      </c>
    </row>
    <row r="825" spans="1:7">
      <c r="A825" t="s">
        <v>80</v>
      </c>
      <c r="B825" s="1" t="s">
        <v>3</v>
      </c>
      <c r="C825" s="63">
        <v>2010</v>
      </c>
      <c r="D825" s="63">
        <v>13</v>
      </c>
      <c r="E825" s="63">
        <v>13</v>
      </c>
      <c r="F825" s="63" t="s">
        <v>7</v>
      </c>
      <c r="G825" s="63" t="s">
        <v>7</v>
      </c>
    </row>
    <row r="826" spans="1:7" hidden="1">
      <c r="A826" t="s">
        <v>80</v>
      </c>
      <c r="B826" s="1" t="s">
        <v>3</v>
      </c>
      <c r="C826" s="63">
        <v>2011</v>
      </c>
      <c r="D826" s="63">
        <v>13</v>
      </c>
      <c r="E826" s="63">
        <v>13</v>
      </c>
      <c r="F826" s="63" t="s">
        <v>7</v>
      </c>
      <c r="G826" s="63" t="s">
        <v>7</v>
      </c>
    </row>
    <row r="827" spans="1:7" hidden="1">
      <c r="A827" t="s">
        <v>80</v>
      </c>
      <c r="B827" s="1" t="s">
        <v>3</v>
      </c>
      <c r="C827" s="63">
        <v>2012</v>
      </c>
      <c r="D827" s="63">
        <v>17</v>
      </c>
      <c r="E827" s="63">
        <v>14</v>
      </c>
      <c r="F827" s="63">
        <v>3</v>
      </c>
      <c r="G827" s="63" t="s">
        <v>7</v>
      </c>
    </row>
    <row r="828" spans="1:7" hidden="1">
      <c r="A828" t="s">
        <v>80</v>
      </c>
      <c r="B828" s="1" t="s">
        <v>3</v>
      </c>
      <c r="C828" s="63">
        <v>2013</v>
      </c>
      <c r="D828" s="63">
        <v>21</v>
      </c>
      <c r="E828" s="63">
        <v>20</v>
      </c>
      <c r="F828" s="63">
        <v>1</v>
      </c>
      <c r="G828" s="63" t="s">
        <v>7</v>
      </c>
    </row>
    <row r="829" spans="1:7" hidden="1">
      <c r="A829" t="s">
        <v>80</v>
      </c>
      <c r="B829" s="1" t="s">
        <v>3</v>
      </c>
      <c r="C829" s="63">
        <v>2014</v>
      </c>
      <c r="D829" s="63">
        <v>13</v>
      </c>
      <c r="E829" s="63">
        <v>13</v>
      </c>
      <c r="F829" s="63" t="s">
        <v>7</v>
      </c>
      <c r="G829" s="63" t="s">
        <v>7</v>
      </c>
    </row>
    <row r="830" spans="1:7" hidden="1">
      <c r="A830" t="s">
        <v>80</v>
      </c>
      <c r="B830" s="1" t="s">
        <v>3</v>
      </c>
      <c r="C830" s="63">
        <v>2015</v>
      </c>
      <c r="D830" s="63">
        <v>18</v>
      </c>
      <c r="E830" s="63">
        <v>17</v>
      </c>
      <c r="F830" s="63">
        <v>1</v>
      </c>
      <c r="G830" s="63" t="s">
        <v>7</v>
      </c>
    </row>
    <row r="831" spans="1:7" hidden="1">
      <c r="A831" t="s">
        <v>80</v>
      </c>
      <c r="B831" s="1" t="s">
        <v>3</v>
      </c>
      <c r="C831" s="63">
        <v>2016</v>
      </c>
      <c r="D831" s="63">
        <v>31</v>
      </c>
      <c r="E831" s="63">
        <v>31</v>
      </c>
      <c r="F831" s="63" t="s">
        <v>7</v>
      </c>
      <c r="G831" s="63" t="s">
        <v>7</v>
      </c>
    </row>
    <row r="832" spans="1:7" hidden="1">
      <c r="A832" t="s">
        <v>80</v>
      </c>
      <c r="B832" s="1" t="s">
        <v>3</v>
      </c>
      <c r="C832" s="63">
        <v>2017</v>
      </c>
      <c r="D832" s="63">
        <v>50</v>
      </c>
      <c r="E832" s="63">
        <v>47</v>
      </c>
      <c r="F832" s="63">
        <v>3</v>
      </c>
      <c r="G832" s="63" t="s">
        <v>7</v>
      </c>
    </row>
    <row r="833" spans="1:7" hidden="1">
      <c r="A833" t="s">
        <v>80</v>
      </c>
      <c r="B833" s="1" t="s">
        <v>3</v>
      </c>
      <c r="C833" s="63">
        <v>2018</v>
      </c>
      <c r="D833" s="63">
        <v>50</v>
      </c>
      <c r="E833" s="63">
        <v>49</v>
      </c>
      <c r="F833" s="63">
        <v>1</v>
      </c>
      <c r="G833" s="63" t="s">
        <v>7</v>
      </c>
    </row>
    <row r="834" spans="1:7">
      <c r="A834" t="s">
        <v>80</v>
      </c>
      <c r="B834" s="1" t="s">
        <v>3</v>
      </c>
      <c r="C834" s="63">
        <v>2019</v>
      </c>
      <c r="D834" s="63">
        <v>53</v>
      </c>
      <c r="E834" s="63">
        <v>46</v>
      </c>
      <c r="F834" s="63">
        <v>7</v>
      </c>
      <c r="G834" s="63" t="s">
        <v>7</v>
      </c>
    </row>
    <row r="835" spans="1:7" hidden="1">
      <c r="A835" t="s">
        <v>80</v>
      </c>
      <c r="B835" s="1" t="s">
        <v>3</v>
      </c>
      <c r="C835" s="63">
        <v>2020</v>
      </c>
      <c r="D835" s="63">
        <v>49</v>
      </c>
      <c r="E835" s="63">
        <v>43</v>
      </c>
      <c r="F835" s="63">
        <v>6</v>
      </c>
      <c r="G835" s="63" t="s">
        <v>7</v>
      </c>
    </row>
    <row r="836" spans="1:7">
      <c r="A836" t="s">
        <v>80</v>
      </c>
      <c r="B836" s="1" t="s">
        <v>3</v>
      </c>
      <c r="C836" s="63">
        <v>2021</v>
      </c>
      <c r="D836" s="63">
        <v>35</v>
      </c>
      <c r="E836" s="63">
        <v>31</v>
      </c>
      <c r="F836" s="63">
        <v>4</v>
      </c>
      <c r="G836" s="63" t="s">
        <v>7</v>
      </c>
    </row>
    <row r="837" spans="1:7" hidden="1">
      <c r="A837" t="s">
        <v>80</v>
      </c>
      <c r="B837" s="1" t="s">
        <v>3</v>
      </c>
      <c r="C837" s="63">
        <v>2022</v>
      </c>
      <c r="D837" s="63">
        <v>75</v>
      </c>
      <c r="E837" s="63">
        <v>72</v>
      </c>
      <c r="F837" s="63">
        <v>3</v>
      </c>
      <c r="G837" s="63" t="s">
        <v>7</v>
      </c>
    </row>
    <row r="838" spans="1:7" hidden="1">
      <c r="A838" t="s">
        <v>80</v>
      </c>
      <c r="B838" s="1" t="s">
        <v>3</v>
      </c>
      <c r="C838" s="63">
        <v>2023</v>
      </c>
      <c r="D838" s="63">
        <v>75</v>
      </c>
      <c r="E838" s="63">
        <v>65</v>
      </c>
      <c r="F838" s="63">
        <v>9</v>
      </c>
      <c r="G838" s="63" t="s">
        <v>122</v>
      </c>
    </row>
    <row r="839" spans="1:7" hidden="1">
      <c r="A839" t="s">
        <v>80</v>
      </c>
      <c r="B839" s="1" t="s">
        <v>3</v>
      </c>
      <c r="C839" s="63">
        <v>2024</v>
      </c>
      <c r="D839" s="63">
        <v>84</v>
      </c>
      <c r="E839" s="63">
        <v>73</v>
      </c>
      <c r="F839" s="63">
        <v>11</v>
      </c>
      <c r="G839" s="63" t="s">
        <v>7</v>
      </c>
    </row>
    <row r="840" spans="1:7" hidden="1">
      <c r="A840" t="s">
        <v>80</v>
      </c>
      <c r="B840" s="1" t="s">
        <v>35</v>
      </c>
      <c r="C840" s="2">
        <v>1990</v>
      </c>
      <c r="D840" s="2">
        <v>6</v>
      </c>
      <c r="E840" s="2">
        <v>6</v>
      </c>
      <c r="F840" s="1" t="s">
        <v>7</v>
      </c>
      <c r="G840" s="1" t="s">
        <v>7</v>
      </c>
    </row>
    <row r="841" spans="1:7" hidden="1">
      <c r="A841" t="s">
        <v>80</v>
      </c>
      <c r="B841" s="1" t="s">
        <v>36</v>
      </c>
      <c r="C841" s="2">
        <v>1991</v>
      </c>
      <c r="D841" s="2">
        <v>8</v>
      </c>
      <c r="E841" s="2">
        <v>7</v>
      </c>
      <c r="F841" s="2">
        <v>1</v>
      </c>
      <c r="G841" s="1" t="s">
        <v>7</v>
      </c>
    </row>
    <row r="842" spans="1:7" hidden="1">
      <c r="A842" t="s">
        <v>80</v>
      </c>
      <c r="B842" s="1" t="s">
        <v>37</v>
      </c>
      <c r="C842" s="2">
        <v>1992</v>
      </c>
      <c r="D842" s="2">
        <v>2</v>
      </c>
      <c r="E842" s="2">
        <v>2</v>
      </c>
      <c r="F842" s="1" t="s">
        <v>7</v>
      </c>
      <c r="G842" s="1" t="s">
        <v>7</v>
      </c>
    </row>
    <row r="843" spans="1:7" hidden="1">
      <c r="A843" t="s">
        <v>80</v>
      </c>
      <c r="B843" s="1" t="s">
        <v>38</v>
      </c>
      <c r="C843" s="2">
        <v>1993</v>
      </c>
      <c r="D843" s="2">
        <v>7</v>
      </c>
      <c r="E843" s="2">
        <v>7</v>
      </c>
      <c r="F843" s="1" t="s">
        <v>7</v>
      </c>
      <c r="G843" s="1" t="s">
        <v>7</v>
      </c>
    </row>
    <row r="844" spans="1:7" hidden="1">
      <c r="A844" t="s">
        <v>80</v>
      </c>
      <c r="B844" s="1" t="s">
        <v>39</v>
      </c>
      <c r="C844" s="2">
        <v>1994</v>
      </c>
      <c r="D844" s="2">
        <v>1</v>
      </c>
      <c r="E844" s="2">
        <v>1</v>
      </c>
      <c r="F844" s="1" t="s">
        <v>7</v>
      </c>
      <c r="G844" s="1" t="s">
        <v>7</v>
      </c>
    </row>
    <row r="845" spans="1:7" hidden="1">
      <c r="A845" t="s">
        <v>80</v>
      </c>
      <c r="B845" s="1" t="s">
        <v>40</v>
      </c>
      <c r="C845" s="2">
        <v>1995</v>
      </c>
      <c r="D845" s="2">
        <v>2</v>
      </c>
      <c r="E845" s="2">
        <v>2</v>
      </c>
      <c r="F845" s="1" t="s">
        <v>7</v>
      </c>
      <c r="G845" s="1" t="s">
        <v>7</v>
      </c>
    </row>
    <row r="846" spans="1:7" hidden="1">
      <c r="A846" t="s">
        <v>80</v>
      </c>
      <c r="B846" s="1" t="s">
        <v>41</v>
      </c>
      <c r="C846" s="2">
        <v>1996</v>
      </c>
      <c r="D846" s="2">
        <v>1</v>
      </c>
      <c r="E846" s="2">
        <v>1</v>
      </c>
      <c r="F846" s="1" t="s">
        <v>7</v>
      </c>
      <c r="G846" s="1" t="s">
        <v>7</v>
      </c>
    </row>
    <row r="847" spans="1:7" hidden="1">
      <c r="A847" t="s">
        <v>80</v>
      </c>
      <c r="B847" s="1" t="s">
        <v>41</v>
      </c>
      <c r="C847" s="2">
        <v>1997</v>
      </c>
      <c r="D847" s="2">
        <v>1</v>
      </c>
      <c r="E847" s="2">
        <v>1</v>
      </c>
      <c r="F847" s="1" t="s">
        <v>7</v>
      </c>
      <c r="G847" s="1" t="s">
        <v>7</v>
      </c>
    </row>
    <row r="848" spans="1:7" hidden="1">
      <c r="A848" t="s">
        <v>80</v>
      </c>
      <c r="B848" s="1" t="s">
        <v>42</v>
      </c>
      <c r="C848" s="2">
        <v>1997</v>
      </c>
      <c r="D848" s="2">
        <v>2</v>
      </c>
      <c r="E848" s="2">
        <v>1</v>
      </c>
      <c r="F848" s="2">
        <v>1</v>
      </c>
      <c r="G848" s="1" t="s">
        <v>7</v>
      </c>
    </row>
    <row r="849" spans="1:7" hidden="1">
      <c r="A849" t="s">
        <v>80</v>
      </c>
      <c r="B849" s="1" t="s">
        <v>43</v>
      </c>
      <c r="C849" s="2">
        <v>1998</v>
      </c>
      <c r="D849" s="2">
        <v>5</v>
      </c>
      <c r="E849" s="2">
        <v>2</v>
      </c>
      <c r="F849" s="2">
        <v>3</v>
      </c>
      <c r="G849" s="1" t="s">
        <v>7</v>
      </c>
    </row>
    <row r="850" spans="1:7" hidden="1">
      <c r="A850" t="s">
        <v>80</v>
      </c>
      <c r="B850" s="1" t="s">
        <v>44</v>
      </c>
      <c r="C850" s="2">
        <v>1999</v>
      </c>
      <c r="D850" s="2">
        <v>5</v>
      </c>
      <c r="E850" s="2">
        <v>4</v>
      </c>
      <c r="F850" s="2">
        <v>1</v>
      </c>
      <c r="G850" s="1" t="s">
        <v>7</v>
      </c>
    </row>
    <row r="851" spans="1:7" hidden="1">
      <c r="A851" t="s">
        <v>80</v>
      </c>
      <c r="B851" s="1" t="s">
        <v>45</v>
      </c>
      <c r="C851" s="2">
        <v>2000</v>
      </c>
      <c r="D851" s="2">
        <v>6</v>
      </c>
      <c r="E851" s="2">
        <v>6</v>
      </c>
      <c r="F851" s="1" t="s">
        <v>7</v>
      </c>
      <c r="G851" s="1" t="s">
        <v>7</v>
      </c>
    </row>
    <row r="852" spans="1:7" hidden="1">
      <c r="A852" t="s">
        <v>80</v>
      </c>
      <c r="B852" s="1" t="s">
        <v>46</v>
      </c>
      <c r="C852" s="2">
        <v>2001</v>
      </c>
      <c r="D852" s="2">
        <v>5</v>
      </c>
      <c r="E852" s="2">
        <v>5</v>
      </c>
      <c r="F852" s="1" t="s">
        <v>7</v>
      </c>
      <c r="G852" s="1" t="s">
        <v>7</v>
      </c>
    </row>
    <row r="853" spans="1:7" hidden="1">
      <c r="A853" t="s">
        <v>80</v>
      </c>
      <c r="B853" s="1" t="s">
        <v>47</v>
      </c>
      <c r="C853" s="2">
        <v>2002</v>
      </c>
      <c r="D853" s="2">
        <v>3</v>
      </c>
      <c r="E853" s="2">
        <v>3</v>
      </c>
      <c r="F853" s="1" t="s">
        <v>7</v>
      </c>
      <c r="G853" s="1" t="s">
        <v>7</v>
      </c>
    </row>
    <row r="854" spans="1:7" hidden="1">
      <c r="A854" t="s">
        <v>80</v>
      </c>
      <c r="B854" s="1" t="s">
        <v>49</v>
      </c>
      <c r="C854" s="2">
        <v>2004</v>
      </c>
      <c r="D854" s="2">
        <v>6</v>
      </c>
      <c r="E854" s="2">
        <v>6</v>
      </c>
      <c r="F854" s="1" t="s">
        <v>7</v>
      </c>
      <c r="G854" s="1" t="s">
        <v>7</v>
      </c>
    </row>
    <row r="855" spans="1:7" hidden="1">
      <c r="A855" t="s">
        <v>80</v>
      </c>
      <c r="B855" s="1" t="s">
        <v>50</v>
      </c>
      <c r="C855" s="2">
        <v>2005</v>
      </c>
      <c r="D855" s="2">
        <v>7</v>
      </c>
      <c r="E855" s="2">
        <v>6</v>
      </c>
      <c r="F855" s="2">
        <v>1</v>
      </c>
      <c r="G855" s="1" t="s">
        <v>7</v>
      </c>
    </row>
    <row r="856" spans="1:7" hidden="1">
      <c r="A856" t="s">
        <v>80</v>
      </c>
      <c r="B856" s="1" t="s">
        <v>51</v>
      </c>
      <c r="C856" s="2">
        <v>2006</v>
      </c>
      <c r="D856" s="2">
        <v>2</v>
      </c>
      <c r="E856" s="2">
        <v>2</v>
      </c>
      <c r="F856" s="1" t="s">
        <v>7</v>
      </c>
      <c r="G856" s="1" t="s">
        <v>7</v>
      </c>
    </row>
    <row r="857" spans="1:7" hidden="1">
      <c r="A857" t="s">
        <v>80</v>
      </c>
      <c r="B857" s="1" t="s">
        <v>52</v>
      </c>
      <c r="C857" s="2">
        <v>2007</v>
      </c>
      <c r="D857" s="2">
        <v>5</v>
      </c>
      <c r="E857" s="2">
        <v>5</v>
      </c>
      <c r="F857" s="1" t="s">
        <v>7</v>
      </c>
      <c r="G857" s="1" t="s">
        <v>7</v>
      </c>
    </row>
    <row r="858" spans="1:7" hidden="1">
      <c r="A858" t="s">
        <v>80</v>
      </c>
      <c r="B858" s="1" t="s">
        <v>52</v>
      </c>
      <c r="C858" s="2">
        <v>2008</v>
      </c>
      <c r="D858" s="2">
        <v>1</v>
      </c>
      <c r="E858" s="2">
        <v>1</v>
      </c>
      <c r="F858" s="1" t="s">
        <v>7</v>
      </c>
      <c r="G858" s="1" t="s">
        <v>7</v>
      </c>
    </row>
    <row r="859" spans="1:7" hidden="1">
      <c r="A859" t="s">
        <v>80</v>
      </c>
      <c r="B859" s="1" t="s">
        <v>53</v>
      </c>
      <c r="C859" s="2">
        <v>2008</v>
      </c>
      <c r="D859" s="2">
        <v>5</v>
      </c>
      <c r="E859" s="2">
        <v>5</v>
      </c>
      <c r="F859" s="1" t="s">
        <v>7</v>
      </c>
      <c r="G859" s="1" t="s">
        <v>7</v>
      </c>
    </row>
    <row r="860" spans="1:7" hidden="1">
      <c r="A860" t="s">
        <v>80</v>
      </c>
      <c r="B860" s="1" t="s">
        <v>54</v>
      </c>
      <c r="C860" s="2">
        <v>2009</v>
      </c>
      <c r="D860" s="2">
        <v>4</v>
      </c>
      <c r="E860" s="2">
        <v>3</v>
      </c>
      <c r="F860" s="2">
        <v>1</v>
      </c>
      <c r="G860" s="1" t="s">
        <v>7</v>
      </c>
    </row>
    <row r="861" spans="1:7" hidden="1">
      <c r="A861" t="s">
        <v>80</v>
      </c>
      <c r="B861" s="1" t="s">
        <v>55</v>
      </c>
      <c r="C861" s="2">
        <v>2010</v>
      </c>
      <c r="D861" s="2">
        <v>13</v>
      </c>
      <c r="E861" s="2">
        <v>13</v>
      </c>
      <c r="F861" s="1" t="s">
        <v>7</v>
      </c>
      <c r="G861" s="1" t="s">
        <v>7</v>
      </c>
    </row>
    <row r="862" spans="1:7" hidden="1">
      <c r="A862" t="s">
        <v>80</v>
      </c>
      <c r="B862" s="1" t="s">
        <v>56</v>
      </c>
      <c r="C862" s="2">
        <v>2011</v>
      </c>
      <c r="D862" s="2">
        <v>13</v>
      </c>
      <c r="E862" s="2">
        <v>13</v>
      </c>
      <c r="F862" s="1" t="s">
        <v>7</v>
      </c>
      <c r="G862" s="1" t="s">
        <v>7</v>
      </c>
    </row>
    <row r="863" spans="1:7" hidden="1">
      <c r="A863" t="s">
        <v>80</v>
      </c>
      <c r="B863" s="1" t="s">
        <v>57</v>
      </c>
      <c r="C863" s="2">
        <v>2012</v>
      </c>
      <c r="D863" s="2">
        <v>17</v>
      </c>
      <c r="E863" s="2">
        <v>14</v>
      </c>
      <c r="F863" s="2">
        <v>3</v>
      </c>
      <c r="G863" s="1" t="s">
        <v>7</v>
      </c>
    </row>
    <row r="864" spans="1:7" hidden="1">
      <c r="A864" t="s">
        <v>80</v>
      </c>
      <c r="B864" s="1" t="s">
        <v>57</v>
      </c>
      <c r="C864" s="2">
        <v>2013</v>
      </c>
      <c r="D864" s="2">
        <v>2</v>
      </c>
      <c r="E864" s="2">
        <v>2</v>
      </c>
      <c r="F864" s="1" t="s">
        <v>7</v>
      </c>
      <c r="G864" s="1" t="s">
        <v>7</v>
      </c>
    </row>
    <row r="865" spans="1:7" hidden="1">
      <c r="A865" t="s">
        <v>80</v>
      </c>
      <c r="B865" s="1" t="s">
        <v>57</v>
      </c>
      <c r="C865" s="2">
        <v>2014</v>
      </c>
      <c r="D865" s="2">
        <v>1</v>
      </c>
      <c r="E865" s="2">
        <v>1</v>
      </c>
      <c r="F865" s="1" t="s">
        <v>7</v>
      </c>
      <c r="G865" s="1" t="s">
        <v>7</v>
      </c>
    </row>
    <row r="866" spans="1:7" hidden="1">
      <c r="A866" t="s">
        <v>80</v>
      </c>
      <c r="B866" s="1" t="s">
        <v>58</v>
      </c>
      <c r="C866" s="2">
        <v>2013</v>
      </c>
      <c r="D866" s="2">
        <v>19</v>
      </c>
      <c r="E866" s="2">
        <v>18</v>
      </c>
      <c r="F866" s="2">
        <v>1</v>
      </c>
      <c r="G866" s="1" t="s">
        <v>7</v>
      </c>
    </row>
    <row r="867" spans="1:7" hidden="1">
      <c r="A867" t="s">
        <v>80</v>
      </c>
      <c r="B867" s="1" t="s">
        <v>59</v>
      </c>
      <c r="C867" s="2">
        <v>2014</v>
      </c>
      <c r="D867" s="2">
        <v>12</v>
      </c>
      <c r="E867" s="2">
        <v>12</v>
      </c>
      <c r="F867" s="1" t="s">
        <v>7</v>
      </c>
      <c r="G867" s="1" t="s">
        <v>7</v>
      </c>
    </row>
    <row r="868" spans="1:7" hidden="1">
      <c r="A868" t="s">
        <v>80</v>
      </c>
      <c r="B868" s="1" t="s">
        <v>60</v>
      </c>
      <c r="C868" s="2">
        <v>2015</v>
      </c>
      <c r="D868" s="2">
        <v>18</v>
      </c>
      <c r="E868" s="2">
        <v>17</v>
      </c>
      <c r="F868" s="2">
        <v>1</v>
      </c>
      <c r="G868" s="1" t="s">
        <v>7</v>
      </c>
    </row>
    <row r="869" spans="1:7" hidden="1">
      <c r="A869" t="s">
        <v>80</v>
      </c>
      <c r="B869" s="1" t="s">
        <v>61</v>
      </c>
      <c r="C869" s="2">
        <v>2016</v>
      </c>
      <c r="D869" s="2">
        <v>31</v>
      </c>
      <c r="E869" s="2">
        <v>31</v>
      </c>
      <c r="F869" s="1" t="s">
        <v>7</v>
      </c>
      <c r="G869" s="1" t="s">
        <v>7</v>
      </c>
    </row>
    <row r="870" spans="1:7" hidden="1">
      <c r="A870" t="s">
        <v>80</v>
      </c>
      <c r="B870" s="1" t="s">
        <v>62</v>
      </c>
      <c r="C870" s="2">
        <v>2017</v>
      </c>
      <c r="D870" s="2">
        <v>50</v>
      </c>
      <c r="E870" s="2">
        <v>47</v>
      </c>
      <c r="F870" s="2">
        <v>3</v>
      </c>
      <c r="G870" s="1" t="s">
        <v>7</v>
      </c>
    </row>
    <row r="871" spans="1:7" hidden="1">
      <c r="A871" t="s">
        <v>80</v>
      </c>
      <c r="B871" s="1" t="s">
        <v>62</v>
      </c>
      <c r="C871" s="2">
        <v>2018</v>
      </c>
      <c r="D871" s="2">
        <v>1</v>
      </c>
      <c r="E871" s="2">
        <v>1</v>
      </c>
      <c r="F871" s="1" t="s">
        <v>7</v>
      </c>
      <c r="G871" s="1" t="s">
        <v>7</v>
      </c>
    </row>
    <row r="872" spans="1:7" hidden="1">
      <c r="A872" t="s">
        <v>80</v>
      </c>
      <c r="B872" s="1" t="s">
        <v>63</v>
      </c>
      <c r="C872" s="2">
        <v>2018</v>
      </c>
      <c r="D872" s="2">
        <v>49</v>
      </c>
      <c r="E872" s="2">
        <v>48</v>
      </c>
      <c r="F872" s="2">
        <v>1</v>
      </c>
      <c r="G872" s="1" t="s">
        <v>7</v>
      </c>
    </row>
    <row r="873" spans="1:7" hidden="1">
      <c r="A873" t="s">
        <v>80</v>
      </c>
      <c r="B873" s="1" t="s">
        <v>63</v>
      </c>
      <c r="C873" s="2">
        <v>2019</v>
      </c>
      <c r="D873" s="2">
        <v>1</v>
      </c>
      <c r="E873" s="2">
        <v>1</v>
      </c>
      <c r="F873" s="1" t="s">
        <v>7</v>
      </c>
      <c r="G873" s="1" t="s">
        <v>7</v>
      </c>
    </row>
    <row r="874" spans="1:7" hidden="1">
      <c r="A874" t="s">
        <v>80</v>
      </c>
      <c r="B874" s="1" t="s">
        <v>63</v>
      </c>
      <c r="C874" s="2">
        <v>2020</v>
      </c>
      <c r="D874" s="2">
        <v>1</v>
      </c>
      <c r="E874" s="1" t="s">
        <v>7</v>
      </c>
      <c r="F874" s="2">
        <v>1</v>
      </c>
      <c r="G874" s="1" t="s">
        <v>7</v>
      </c>
    </row>
    <row r="875" spans="1:7" hidden="1">
      <c r="A875" t="s">
        <v>80</v>
      </c>
      <c r="B875" s="1" t="s">
        <v>64</v>
      </c>
      <c r="C875" s="2">
        <v>2019</v>
      </c>
      <c r="D875" s="2">
        <v>52</v>
      </c>
      <c r="E875" s="2">
        <v>45</v>
      </c>
      <c r="F875" s="2">
        <v>7</v>
      </c>
      <c r="G875" s="1" t="s">
        <v>7</v>
      </c>
    </row>
    <row r="876" spans="1:7" hidden="1">
      <c r="A876" t="s">
        <v>80</v>
      </c>
      <c r="B876" s="1" t="s">
        <v>65</v>
      </c>
      <c r="C876" s="2">
        <v>2020</v>
      </c>
      <c r="D876" s="2">
        <v>48</v>
      </c>
      <c r="E876" s="2">
        <v>43</v>
      </c>
      <c r="F876" s="2">
        <v>5</v>
      </c>
      <c r="G876" s="1" t="s">
        <v>7</v>
      </c>
    </row>
    <row r="877" spans="1:7" hidden="1">
      <c r="A877" t="s">
        <v>80</v>
      </c>
      <c r="B877" s="1" t="s">
        <v>65</v>
      </c>
      <c r="C877" s="2">
        <v>2021</v>
      </c>
      <c r="D877" s="2">
        <v>3</v>
      </c>
      <c r="E877" s="2">
        <v>3</v>
      </c>
      <c r="F877" s="1" t="s">
        <v>7</v>
      </c>
      <c r="G877" s="1" t="s">
        <v>7</v>
      </c>
    </row>
    <row r="878" spans="1:7" hidden="1">
      <c r="A878" t="s">
        <v>80</v>
      </c>
      <c r="B878" s="1" t="s">
        <v>66</v>
      </c>
      <c r="C878" s="2">
        <v>2021</v>
      </c>
      <c r="D878" s="2">
        <v>32</v>
      </c>
      <c r="E878" s="2">
        <v>28</v>
      </c>
      <c r="F878" s="2">
        <v>4</v>
      </c>
      <c r="G878" s="1" t="s">
        <v>7</v>
      </c>
    </row>
    <row r="879" spans="1:7" hidden="1">
      <c r="A879" t="s">
        <v>80</v>
      </c>
      <c r="B879" s="1" t="s">
        <v>67</v>
      </c>
      <c r="C879" s="2">
        <v>2022</v>
      </c>
      <c r="D879" s="2">
        <v>75</v>
      </c>
      <c r="E879" s="2">
        <v>72</v>
      </c>
      <c r="F879" s="2">
        <v>3</v>
      </c>
      <c r="G879" s="1" t="s">
        <v>7</v>
      </c>
    </row>
    <row r="880" spans="1:7" hidden="1">
      <c r="A880" t="s">
        <v>80</v>
      </c>
      <c r="B880" s="1" t="s">
        <v>67</v>
      </c>
      <c r="C880" s="2">
        <v>2024</v>
      </c>
      <c r="D880" s="2">
        <v>1</v>
      </c>
      <c r="E880" s="2">
        <v>1</v>
      </c>
      <c r="F880" s="1" t="s">
        <v>7</v>
      </c>
      <c r="G880" s="1" t="s">
        <v>7</v>
      </c>
    </row>
    <row r="881" spans="1:7" hidden="1">
      <c r="A881" t="s">
        <v>80</v>
      </c>
      <c r="B881" s="1" t="s">
        <v>68</v>
      </c>
      <c r="C881" s="2">
        <v>2023</v>
      </c>
      <c r="D881" s="2">
        <v>75</v>
      </c>
      <c r="E881" s="2">
        <v>65</v>
      </c>
      <c r="F881" s="2">
        <v>9</v>
      </c>
      <c r="G881" s="1" t="s">
        <v>122</v>
      </c>
    </row>
    <row r="882" spans="1:7" hidden="1">
      <c r="A882" t="s">
        <v>80</v>
      </c>
      <c r="B882" s="1" t="s">
        <v>69</v>
      </c>
      <c r="C882" s="2">
        <v>2024</v>
      </c>
      <c r="D882" s="2">
        <v>82</v>
      </c>
      <c r="E882" s="2">
        <v>72</v>
      </c>
      <c r="F882" s="2">
        <v>10</v>
      </c>
      <c r="G882" s="1" t="s">
        <v>7</v>
      </c>
    </row>
    <row r="883" spans="1:7" hidden="1">
      <c r="A883" t="s">
        <v>80</v>
      </c>
      <c r="B883" s="1" t="s">
        <v>6</v>
      </c>
      <c r="C883" s="2">
        <v>1990</v>
      </c>
      <c r="D883" s="2">
        <v>3</v>
      </c>
      <c r="E883" s="2">
        <v>3</v>
      </c>
      <c r="F883" s="1" t="s">
        <v>7</v>
      </c>
      <c r="G883" s="1" t="s">
        <v>7</v>
      </c>
    </row>
    <row r="884" spans="1:7" hidden="1">
      <c r="A884" t="s">
        <v>80</v>
      </c>
      <c r="B884" s="1" t="s">
        <v>6</v>
      </c>
      <c r="C884" s="2">
        <v>1991</v>
      </c>
      <c r="D884" s="2">
        <v>1</v>
      </c>
      <c r="E884" s="2">
        <v>1</v>
      </c>
      <c r="F884" s="1" t="s">
        <v>7</v>
      </c>
      <c r="G884" s="1" t="s">
        <v>7</v>
      </c>
    </row>
    <row r="885" spans="1:7" hidden="1">
      <c r="A885" t="s">
        <v>80</v>
      </c>
      <c r="B885" s="1" t="s">
        <v>6</v>
      </c>
      <c r="C885" s="2">
        <v>1996</v>
      </c>
      <c r="D885" s="2">
        <v>1</v>
      </c>
      <c r="E885" s="2">
        <v>1</v>
      </c>
      <c r="F885" s="1" t="s">
        <v>7</v>
      </c>
      <c r="G885" s="1" t="s">
        <v>7</v>
      </c>
    </row>
    <row r="886" spans="1:7" hidden="1">
      <c r="A886" t="s">
        <v>80</v>
      </c>
      <c r="B886" s="1" t="s">
        <v>6</v>
      </c>
      <c r="C886" s="2">
        <v>2024</v>
      </c>
      <c r="D886" s="2">
        <v>1</v>
      </c>
      <c r="E886" s="1" t="s">
        <v>7</v>
      </c>
      <c r="F886" s="2">
        <v>1</v>
      </c>
      <c r="G886" s="1" t="s">
        <v>7</v>
      </c>
    </row>
    <row r="887" spans="1:7" hidden="1">
      <c r="A887" t="s">
        <v>81</v>
      </c>
      <c r="B887" s="1" t="s">
        <v>3</v>
      </c>
      <c r="C887" s="63">
        <v>1990</v>
      </c>
      <c r="D887" s="63">
        <v>5</v>
      </c>
      <c r="E887" s="63">
        <v>5</v>
      </c>
      <c r="F887" s="63" t="s">
        <v>7</v>
      </c>
      <c r="G887" s="63" t="s">
        <v>7</v>
      </c>
    </row>
    <row r="888" spans="1:7" hidden="1">
      <c r="A888" t="s">
        <v>81</v>
      </c>
      <c r="B888" s="1" t="s">
        <v>3</v>
      </c>
      <c r="C888" s="63">
        <v>1991</v>
      </c>
      <c r="D888" s="63">
        <v>2</v>
      </c>
      <c r="E888" s="63">
        <v>2</v>
      </c>
      <c r="F888" s="63" t="s">
        <v>7</v>
      </c>
      <c r="G888" s="63" t="s">
        <v>7</v>
      </c>
    </row>
    <row r="889" spans="1:7" hidden="1">
      <c r="A889" t="s">
        <v>81</v>
      </c>
      <c r="B889" s="1" t="s">
        <v>3</v>
      </c>
      <c r="C889" s="63">
        <v>1992</v>
      </c>
      <c r="D889" s="63">
        <v>5</v>
      </c>
      <c r="E889" s="63">
        <v>5</v>
      </c>
      <c r="F889" s="63" t="s">
        <v>7</v>
      </c>
      <c r="G889" s="63" t="s">
        <v>7</v>
      </c>
    </row>
    <row r="890" spans="1:7" hidden="1">
      <c r="A890" t="s">
        <v>81</v>
      </c>
      <c r="B890" s="1" t="s">
        <v>3</v>
      </c>
      <c r="C890" s="63">
        <v>1993</v>
      </c>
      <c r="D890" s="63">
        <v>5</v>
      </c>
      <c r="E890" s="63">
        <v>4</v>
      </c>
      <c r="F890" s="63">
        <v>1</v>
      </c>
      <c r="G890" s="63" t="s">
        <v>7</v>
      </c>
    </row>
    <row r="891" spans="1:7" hidden="1">
      <c r="A891" t="s">
        <v>81</v>
      </c>
      <c r="B891" s="1" t="s">
        <v>3</v>
      </c>
      <c r="C891" s="63">
        <v>1994</v>
      </c>
      <c r="D891" s="63">
        <v>3</v>
      </c>
      <c r="E891" s="63">
        <v>3</v>
      </c>
      <c r="F891" s="63" t="s">
        <v>7</v>
      </c>
      <c r="G891" s="63" t="s">
        <v>7</v>
      </c>
    </row>
    <row r="892" spans="1:7" hidden="1">
      <c r="A892" t="s">
        <v>81</v>
      </c>
      <c r="B892" s="1" t="s">
        <v>3</v>
      </c>
      <c r="C892" s="63">
        <v>1995</v>
      </c>
      <c r="D892" s="63">
        <v>9</v>
      </c>
      <c r="E892" s="63">
        <v>8</v>
      </c>
      <c r="F892" s="63">
        <v>1</v>
      </c>
      <c r="G892" s="63" t="s">
        <v>7</v>
      </c>
    </row>
    <row r="893" spans="1:7" hidden="1">
      <c r="A893" t="s">
        <v>81</v>
      </c>
      <c r="B893" s="1" t="s">
        <v>3</v>
      </c>
      <c r="C893" s="63">
        <v>1996</v>
      </c>
      <c r="D893" s="63">
        <v>4</v>
      </c>
      <c r="E893" s="63">
        <v>4</v>
      </c>
      <c r="F893" s="63" t="s">
        <v>7</v>
      </c>
      <c r="G893" s="63" t="s">
        <v>7</v>
      </c>
    </row>
    <row r="894" spans="1:7" hidden="1">
      <c r="A894" t="s">
        <v>81</v>
      </c>
      <c r="B894" s="1" t="s">
        <v>3</v>
      </c>
      <c r="C894" s="63">
        <v>1997</v>
      </c>
      <c r="D894" s="63">
        <v>3</v>
      </c>
      <c r="E894" s="63">
        <v>2</v>
      </c>
      <c r="F894" s="63">
        <v>1</v>
      </c>
      <c r="G894" s="63" t="s">
        <v>7</v>
      </c>
    </row>
    <row r="895" spans="1:7" hidden="1">
      <c r="A895" t="s">
        <v>81</v>
      </c>
      <c r="B895" s="1" t="s">
        <v>3</v>
      </c>
      <c r="C895" s="63">
        <v>1998</v>
      </c>
      <c r="D895" s="63">
        <v>3</v>
      </c>
      <c r="E895" s="63">
        <v>3</v>
      </c>
      <c r="F895" s="63" t="s">
        <v>7</v>
      </c>
      <c r="G895" s="63" t="s">
        <v>7</v>
      </c>
    </row>
    <row r="896" spans="1:7" hidden="1">
      <c r="A896" t="s">
        <v>81</v>
      </c>
      <c r="B896" s="1" t="s">
        <v>3</v>
      </c>
      <c r="C896" s="63">
        <v>1999</v>
      </c>
      <c r="D896" s="63">
        <v>4</v>
      </c>
      <c r="E896" s="63">
        <v>4</v>
      </c>
      <c r="F896" s="63" t="s">
        <v>7</v>
      </c>
      <c r="G896" s="63" t="s">
        <v>7</v>
      </c>
    </row>
    <row r="897" spans="1:7" hidden="1">
      <c r="A897" t="s">
        <v>81</v>
      </c>
      <c r="B897" s="1" t="s">
        <v>3</v>
      </c>
      <c r="C897" s="63">
        <v>2000</v>
      </c>
      <c r="D897" s="63">
        <v>4</v>
      </c>
      <c r="E897" s="63">
        <v>3</v>
      </c>
      <c r="F897" s="63">
        <v>1</v>
      </c>
      <c r="G897" s="63" t="s">
        <v>7</v>
      </c>
    </row>
    <row r="898" spans="1:7" hidden="1">
      <c r="A898" t="s">
        <v>81</v>
      </c>
      <c r="B898" s="1" t="s">
        <v>3</v>
      </c>
      <c r="C898" s="63">
        <v>2001</v>
      </c>
      <c r="D898" s="63">
        <v>4</v>
      </c>
      <c r="E898" s="63">
        <v>3</v>
      </c>
      <c r="F898" s="63">
        <v>1</v>
      </c>
      <c r="G898" s="63" t="s">
        <v>7</v>
      </c>
    </row>
    <row r="899" spans="1:7" hidden="1">
      <c r="A899" t="s">
        <v>81</v>
      </c>
      <c r="B899" s="1" t="s">
        <v>3</v>
      </c>
      <c r="C899" s="63">
        <v>2002</v>
      </c>
      <c r="D899" s="63">
        <v>2</v>
      </c>
      <c r="E899" s="63">
        <v>2</v>
      </c>
      <c r="F899" s="63" t="s">
        <v>7</v>
      </c>
      <c r="G899" s="63" t="s">
        <v>7</v>
      </c>
    </row>
    <row r="900" spans="1:7" hidden="1">
      <c r="A900" t="s">
        <v>81</v>
      </c>
      <c r="B900" s="1" t="s">
        <v>3</v>
      </c>
      <c r="C900" s="63">
        <v>2003</v>
      </c>
      <c r="D900" s="63">
        <v>3</v>
      </c>
      <c r="E900" s="63">
        <v>3</v>
      </c>
      <c r="F900" s="63" t="s">
        <v>7</v>
      </c>
      <c r="G900" s="63" t="s">
        <v>7</v>
      </c>
    </row>
    <row r="901" spans="1:7" hidden="1">
      <c r="A901" t="s">
        <v>81</v>
      </c>
      <c r="B901" s="1" t="s">
        <v>3</v>
      </c>
      <c r="C901" s="63">
        <v>2004</v>
      </c>
      <c r="D901" s="63">
        <v>1</v>
      </c>
      <c r="E901" s="63">
        <v>1</v>
      </c>
      <c r="F901" s="63" t="s">
        <v>7</v>
      </c>
      <c r="G901" s="63" t="s">
        <v>7</v>
      </c>
    </row>
    <row r="902" spans="1:7" hidden="1">
      <c r="A902" t="s">
        <v>81</v>
      </c>
      <c r="B902" s="1" t="s">
        <v>3</v>
      </c>
      <c r="C902" s="63">
        <v>2005</v>
      </c>
      <c r="D902" s="63">
        <v>1</v>
      </c>
      <c r="E902" s="63">
        <v>1</v>
      </c>
      <c r="F902" s="63" t="s">
        <v>7</v>
      </c>
      <c r="G902" s="63" t="s">
        <v>7</v>
      </c>
    </row>
    <row r="903" spans="1:7" hidden="1">
      <c r="A903" t="s">
        <v>81</v>
      </c>
      <c r="B903" s="1" t="s">
        <v>3</v>
      </c>
      <c r="C903" s="63">
        <v>2006</v>
      </c>
      <c r="D903" s="63">
        <v>5</v>
      </c>
      <c r="E903" s="63">
        <v>5</v>
      </c>
      <c r="F903" s="63" t="s">
        <v>7</v>
      </c>
      <c r="G903" s="63" t="s">
        <v>7</v>
      </c>
    </row>
    <row r="904" spans="1:7" hidden="1">
      <c r="A904" t="s">
        <v>81</v>
      </c>
      <c r="B904" s="1" t="s">
        <v>3</v>
      </c>
      <c r="C904" s="63">
        <v>2007</v>
      </c>
      <c r="D904" s="63">
        <v>1</v>
      </c>
      <c r="E904" s="63" t="s">
        <v>7</v>
      </c>
      <c r="F904" s="63">
        <v>1</v>
      </c>
      <c r="G904" s="63" t="s">
        <v>7</v>
      </c>
    </row>
    <row r="905" spans="1:7" hidden="1">
      <c r="A905" t="s">
        <v>81</v>
      </c>
      <c r="B905" s="1" t="s">
        <v>3</v>
      </c>
      <c r="C905" s="63">
        <v>2008</v>
      </c>
      <c r="D905" s="63">
        <v>2</v>
      </c>
      <c r="E905" s="63">
        <v>2</v>
      </c>
      <c r="F905" s="63" t="s">
        <v>7</v>
      </c>
      <c r="G905" s="63" t="s">
        <v>7</v>
      </c>
    </row>
    <row r="906" spans="1:7" hidden="1">
      <c r="A906" t="s">
        <v>81</v>
      </c>
      <c r="B906" s="1" t="s">
        <v>3</v>
      </c>
      <c r="C906" s="63">
        <v>2009</v>
      </c>
      <c r="D906" s="63">
        <v>1</v>
      </c>
      <c r="E906" s="63">
        <v>1</v>
      </c>
      <c r="F906" s="63" t="s">
        <v>7</v>
      </c>
      <c r="G906" s="63" t="s">
        <v>7</v>
      </c>
    </row>
    <row r="907" spans="1:7">
      <c r="A907" t="s">
        <v>81</v>
      </c>
      <c r="B907" s="1" t="s">
        <v>3</v>
      </c>
      <c r="C907" s="63">
        <v>2010</v>
      </c>
      <c r="D907" s="63">
        <v>3</v>
      </c>
      <c r="E907" s="63">
        <v>3</v>
      </c>
      <c r="F907" s="63" t="s">
        <v>7</v>
      </c>
      <c r="G907" s="63" t="s">
        <v>7</v>
      </c>
    </row>
    <row r="908" spans="1:7" hidden="1">
      <c r="A908" t="s">
        <v>81</v>
      </c>
      <c r="B908" s="1" t="s">
        <v>3</v>
      </c>
      <c r="C908" s="63">
        <v>2011</v>
      </c>
      <c r="D908" s="63">
        <v>7</v>
      </c>
      <c r="E908" s="63">
        <v>5</v>
      </c>
      <c r="F908" s="63">
        <v>2</v>
      </c>
      <c r="G908" s="63" t="s">
        <v>7</v>
      </c>
    </row>
    <row r="909" spans="1:7" hidden="1">
      <c r="A909" t="s">
        <v>81</v>
      </c>
      <c r="B909" s="1" t="s">
        <v>3</v>
      </c>
      <c r="C909" s="63">
        <v>2012</v>
      </c>
      <c r="D909" s="63">
        <v>16</v>
      </c>
      <c r="E909" s="63">
        <v>16</v>
      </c>
      <c r="F909" s="63" t="s">
        <v>7</v>
      </c>
      <c r="G909" s="63" t="s">
        <v>7</v>
      </c>
    </row>
    <row r="910" spans="1:7" hidden="1">
      <c r="A910" t="s">
        <v>81</v>
      </c>
      <c r="B910" s="1" t="s">
        <v>3</v>
      </c>
      <c r="C910" s="63">
        <v>2013</v>
      </c>
      <c r="D910" s="63">
        <v>10</v>
      </c>
      <c r="E910" s="63">
        <v>9</v>
      </c>
      <c r="F910" s="63">
        <v>1</v>
      </c>
      <c r="G910" s="63" t="s">
        <v>7</v>
      </c>
    </row>
    <row r="911" spans="1:7" hidden="1">
      <c r="A911" t="s">
        <v>81</v>
      </c>
      <c r="B911" s="1" t="s">
        <v>3</v>
      </c>
      <c r="C911" s="63">
        <v>2014</v>
      </c>
      <c r="D911" s="63">
        <v>7</v>
      </c>
      <c r="E911" s="63">
        <v>5</v>
      </c>
      <c r="F911" s="63">
        <v>2</v>
      </c>
      <c r="G911" s="63" t="s">
        <v>7</v>
      </c>
    </row>
    <row r="912" spans="1:7" hidden="1">
      <c r="A912" t="s">
        <v>81</v>
      </c>
      <c r="B912" s="1" t="s">
        <v>3</v>
      </c>
      <c r="C912" s="63">
        <v>2015</v>
      </c>
      <c r="D912" s="63">
        <v>8</v>
      </c>
      <c r="E912" s="63">
        <v>8</v>
      </c>
      <c r="F912" s="63" t="s">
        <v>7</v>
      </c>
      <c r="G912" s="63" t="s">
        <v>7</v>
      </c>
    </row>
    <row r="913" spans="1:7" hidden="1">
      <c r="A913" t="s">
        <v>81</v>
      </c>
      <c r="B913" s="1" t="s">
        <v>3</v>
      </c>
      <c r="C913" s="63">
        <v>2016</v>
      </c>
      <c r="D913" s="63">
        <v>21</v>
      </c>
      <c r="E913" s="63">
        <v>20</v>
      </c>
      <c r="F913" s="63">
        <v>1</v>
      </c>
      <c r="G913" s="63" t="s">
        <v>7</v>
      </c>
    </row>
    <row r="914" spans="1:7" hidden="1">
      <c r="A914" t="s">
        <v>81</v>
      </c>
      <c r="B914" s="1" t="s">
        <v>3</v>
      </c>
      <c r="C914" s="63">
        <v>2017</v>
      </c>
      <c r="D914" s="63">
        <v>34</v>
      </c>
      <c r="E914" s="63">
        <v>30</v>
      </c>
      <c r="F914" s="63">
        <v>4</v>
      </c>
      <c r="G914" s="63" t="s">
        <v>7</v>
      </c>
    </row>
    <row r="915" spans="1:7" hidden="1">
      <c r="A915" t="s">
        <v>81</v>
      </c>
      <c r="B915" s="1" t="s">
        <v>3</v>
      </c>
      <c r="C915" s="63">
        <v>2018</v>
      </c>
      <c r="D915" s="63">
        <v>38</v>
      </c>
      <c r="E915" s="63">
        <v>34</v>
      </c>
      <c r="F915" s="63">
        <v>4</v>
      </c>
      <c r="G915" s="63" t="s">
        <v>7</v>
      </c>
    </row>
    <row r="916" spans="1:7">
      <c r="A916" t="s">
        <v>81</v>
      </c>
      <c r="B916" s="1" t="s">
        <v>3</v>
      </c>
      <c r="C916" s="63">
        <v>2019</v>
      </c>
      <c r="D916" s="63">
        <v>23</v>
      </c>
      <c r="E916" s="63">
        <v>22</v>
      </c>
      <c r="F916" s="63">
        <v>1</v>
      </c>
      <c r="G916" s="63" t="s">
        <v>7</v>
      </c>
    </row>
    <row r="917" spans="1:7" hidden="1">
      <c r="A917" t="s">
        <v>81</v>
      </c>
      <c r="B917" s="1" t="s">
        <v>3</v>
      </c>
      <c r="C917" s="63">
        <v>2020</v>
      </c>
      <c r="D917" s="63">
        <v>32</v>
      </c>
      <c r="E917" s="63">
        <v>29</v>
      </c>
      <c r="F917" s="63">
        <v>3</v>
      </c>
      <c r="G917" s="63" t="s">
        <v>7</v>
      </c>
    </row>
    <row r="918" spans="1:7">
      <c r="A918" t="s">
        <v>81</v>
      </c>
      <c r="B918" s="1" t="s">
        <v>3</v>
      </c>
      <c r="C918" s="63">
        <v>2021</v>
      </c>
      <c r="D918" s="63">
        <v>26</v>
      </c>
      <c r="E918" s="63">
        <v>26</v>
      </c>
      <c r="F918" s="63" t="s">
        <v>7</v>
      </c>
      <c r="G918" s="63" t="s">
        <v>7</v>
      </c>
    </row>
    <row r="919" spans="1:7" hidden="1">
      <c r="A919" t="s">
        <v>81</v>
      </c>
      <c r="B919" s="1" t="s">
        <v>3</v>
      </c>
      <c r="C919" s="63">
        <v>2022</v>
      </c>
      <c r="D919" s="63">
        <v>46</v>
      </c>
      <c r="E919" s="63">
        <v>41</v>
      </c>
      <c r="F919" s="63">
        <v>5</v>
      </c>
      <c r="G919" s="63" t="s">
        <v>7</v>
      </c>
    </row>
    <row r="920" spans="1:7" hidden="1">
      <c r="A920" t="s">
        <v>81</v>
      </c>
      <c r="B920" s="1" t="s">
        <v>3</v>
      </c>
      <c r="C920" s="63">
        <v>2023</v>
      </c>
      <c r="D920" s="63">
        <v>45</v>
      </c>
      <c r="E920" s="63">
        <v>39</v>
      </c>
      <c r="F920" s="63">
        <v>6</v>
      </c>
      <c r="G920" s="63" t="s">
        <v>7</v>
      </c>
    </row>
    <row r="921" spans="1:7" hidden="1">
      <c r="A921" t="s">
        <v>81</v>
      </c>
      <c r="B921" s="1" t="s">
        <v>3</v>
      </c>
      <c r="C921" s="63">
        <v>2024</v>
      </c>
      <c r="D921" s="63">
        <v>53</v>
      </c>
      <c r="E921" s="63">
        <v>48</v>
      </c>
      <c r="F921" s="63">
        <v>5</v>
      </c>
      <c r="G921" s="63" t="s">
        <v>7</v>
      </c>
    </row>
    <row r="922" spans="1:7" hidden="1">
      <c r="A922" t="s">
        <v>81</v>
      </c>
      <c r="B922" s="1" t="s">
        <v>35</v>
      </c>
      <c r="C922" s="2">
        <v>1990</v>
      </c>
      <c r="D922" s="2">
        <v>4</v>
      </c>
      <c r="E922" s="2">
        <v>4</v>
      </c>
      <c r="F922" s="1" t="s">
        <v>7</v>
      </c>
      <c r="G922" s="1" t="s">
        <v>7</v>
      </c>
    </row>
    <row r="923" spans="1:7" hidden="1">
      <c r="A923" t="s">
        <v>81</v>
      </c>
      <c r="B923" s="1" t="s">
        <v>36</v>
      </c>
      <c r="C923" s="2">
        <v>1991</v>
      </c>
      <c r="D923" s="2">
        <v>2</v>
      </c>
      <c r="E923" s="2">
        <v>2</v>
      </c>
      <c r="F923" s="1" t="s">
        <v>7</v>
      </c>
      <c r="G923" s="1" t="s">
        <v>7</v>
      </c>
    </row>
    <row r="924" spans="1:7" hidden="1">
      <c r="A924" t="s">
        <v>81</v>
      </c>
      <c r="B924" s="1" t="s">
        <v>37</v>
      </c>
      <c r="C924" s="2">
        <v>1992</v>
      </c>
      <c r="D924" s="2">
        <v>3</v>
      </c>
      <c r="E924" s="2">
        <v>3</v>
      </c>
      <c r="F924" s="1" t="s">
        <v>7</v>
      </c>
      <c r="G924" s="1" t="s">
        <v>7</v>
      </c>
    </row>
    <row r="925" spans="1:7" hidden="1">
      <c r="A925" t="s">
        <v>81</v>
      </c>
      <c r="B925" s="1" t="s">
        <v>38</v>
      </c>
      <c r="C925" s="2">
        <v>1993</v>
      </c>
      <c r="D925" s="2">
        <v>3</v>
      </c>
      <c r="E925" s="2">
        <v>2</v>
      </c>
      <c r="F925" s="2">
        <v>1</v>
      </c>
      <c r="G925" s="1" t="s">
        <v>7</v>
      </c>
    </row>
    <row r="926" spans="1:7" hidden="1">
      <c r="A926" t="s">
        <v>81</v>
      </c>
      <c r="B926" s="1" t="s">
        <v>38</v>
      </c>
      <c r="C926" s="2">
        <v>1994</v>
      </c>
      <c r="D926" s="2">
        <v>1</v>
      </c>
      <c r="E926" s="2">
        <v>1</v>
      </c>
      <c r="F926" s="1" t="s">
        <v>7</v>
      </c>
      <c r="G926" s="1" t="s">
        <v>7</v>
      </c>
    </row>
    <row r="927" spans="1:7" hidden="1">
      <c r="A927" t="s">
        <v>81</v>
      </c>
      <c r="B927" s="1" t="s">
        <v>39</v>
      </c>
      <c r="C927" s="2">
        <v>1994</v>
      </c>
      <c r="D927" s="2">
        <v>2</v>
      </c>
      <c r="E927" s="2">
        <v>2</v>
      </c>
      <c r="F927" s="1" t="s">
        <v>7</v>
      </c>
      <c r="G927" s="1" t="s">
        <v>7</v>
      </c>
    </row>
    <row r="928" spans="1:7" hidden="1">
      <c r="A928" t="s">
        <v>81</v>
      </c>
      <c r="B928" s="1" t="s">
        <v>40</v>
      </c>
      <c r="C928" s="2">
        <v>1995</v>
      </c>
      <c r="D928" s="2">
        <v>9</v>
      </c>
      <c r="E928" s="2">
        <v>8</v>
      </c>
      <c r="F928" s="2">
        <v>1</v>
      </c>
      <c r="G928" s="1" t="s">
        <v>7</v>
      </c>
    </row>
    <row r="929" spans="1:7" hidden="1">
      <c r="A929" t="s">
        <v>81</v>
      </c>
      <c r="B929" s="1" t="s">
        <v>41</v>
      </c>
      <c r="C929" s="2">
        <v>1996</v>
      </c>
      <c r="D929" s="2">
        <v>4</v>
      </c>
      <c r="E929" s="2">
        <v>4</v>
      </c>
      <c r="F929" s="1" t="s">
        <v>7</v>
      </c>
      <c r="G929" s="1" t="s">
        <v>7</v>
      </c>
    </row>
    <row r="930" spans="1:7" hidden="1">
      <c r="A930" t="s">
        <v>81</v>
      </c>
      <c r="B930" s="1" t="s">
        <v>42</v>
      </c>
      <c r="C930" s="2">
        <v>1997</v>
      </c>
      <c r="D930" s="2">
        <v>3</v>
      </c>
      <c r="E930" s="2">
        <v>2</v>
      </c>
      <c r="F930" s="2">
        <v>1</v>
      </c>
      <c r="G930" s="1" t="s">
        <v>7</v>
      </c>
    </row>
    <row r="931" spans="1:7" hidden="1">
      <c r="A931" t="s">
        <v>81</v>
      </c>
      <c r="B931" s="1" t="s">
        <v>43</v>
      </c>
      <c r="C931" s="2">
        <v>1998</v>
      </c>
      <c r="D931" s="2">
        <v>3</v>
      </c>
      <c r="E931" s="2">
        <v>3</v>
      </c>
      <c r="F931" s="1" t="s">
        <v>7</v>
      </c>
      <c r="G931" s="1" t="s">
        <v>7</v>
      </c>
    </row>
    <row r="932" spans="1:7" hidden="1">
      <c r="A932" t="s">
        <v>81</v>
      </c>
      <c r="B932" s="1" t="s">
        <v>44</v>
      </c>
      <c r="C932" s="2">
        <v>1999</v>
      </c>
      <c r="D932" s="2">
        <v>4</v>
      </c>
      <c r="E932" s="2">
        <v>4</v>
      </c>
      <c r="F932" s="1" t="s">
        <v>7</v>
      </c>
      <c r="G932" s="1" t="s">
        <v>7</v>
      </c>
    </row>
    <row r="933" spans="1:7" hidden="1">
      <c r="A933" t="s">
        <v>81</v>
      </c>
      <c r="B933" s="1" t="s">
        <v>45</v>
      </c>
      <c r="C933" s="2">
        <v>2000</v>
      </c>
      <c r="D933" s="2">
        <v>4</v>
      </c>
      <c r="E933" s="2">
        <v>3</v>
      </c>
      <c r="F933" s="2">
        <v>1</v>
      </c>
      <c r="G933" s="1" t="s">
        <v>7</v>
      </c>
    </row>
    <row r="934" spans="1:7" hidden="1">
      <c r="A934" t="s">
        <v>81</v>
      </c>
      <c r="B934" s="1" t="s">
        <v>46</v>
      </c>
      <c r="C934" s="2">
        <v>2001</v>
      </c>
      <c r="D934" s="2">
        <v>4</v>
      </c>
      <c r="E934" s="2">
        <v>3</v>
      </c>
      <c r="F934" s="2">
        <v>1</v>
      </c>
      <c r="G934" s="1" t="s">
        <v>7</v>
      </c>
    </row>
    <row r="935" spans="1:7" hidden="1">
      <c r="A935" t="s">
        <v>81</v>
      </c>
      <c r="B935" s="1" t="s">
        <v>47</v>
      </c>
      <c r="C935" s="2">
        <v>2002</v>
      </c>
      <c r="D935" s="2">
        <v>2</v>
      </c>
      <c r="E935" s="2">
        <v>2</v>
      </c>
      <c r="F935" s="1" t="s">
        <v>7</v>
      </c>
      <c r="G935" s="1" t="s">
        <v>7</v>
      </c>
    </row>
    <row r="936" spans="1:7" hidden="1">
      <c r="A936" t="s">
        <v>81</v>
      </c>
      <c r="B936" s="1" t="s">
        <v>48</v>
      </c>
      <c r="C936" s="2">
        <v>2003</v>
      </c>
      <c r="D936" s="2">
        <v>3</v>
      </c>
      <c r="E936" s="2">
        <v>3</v>
      </c>
      <c r="F936" s="1" t="s">
        <v>7</v>
      </c>
      <c r="G936" s="1" t="s">
        <v>7</v>
      </c>
    </row>
    <row r="937" spans="1:7" hidden="1">
      <c r="A937" t="s">
        <v>81</v>
      </c>
      <c r="B937" s="1" t="s">
        <v>49</v>
      </c>
      <c r="C937" s="2">
        <v>2004</v>
      </c>
      <c r="D937" s="2">
        <v>1</v>
      </c>
      <c r="E937" s="2">
        <v>1</v>
      </c>
      <c r="F937" s="1" t="s">
        <v>7</v>
      </c>
      <c r="G937" s="1" t="s">
        <v>7</v>
      </c>
    </row>
    <row r="938" spans="1:7" hidden="1">
      <c r="A938" t="s">
        <v>81</v>
      </c>
      <c r="B938" s="1" t="s">
        <v>50</v>
      </c>
      <c r="C938" s="2">
        <v>2005</v>
      </c>
      <c r="D938" s="2">
        <v>1</v>
      </c>
      <c r="E938" s="2">
        <v>1</v>
      </c>
      <c r="F938" s="1" t="s">
        <v>7</v>
      </c>
      <c r="G938" s="1" t="s">
        <v>7</v>
      </c>
    </row>
    <row r="939" spans="1:7" hidden="1">
      <c r="A939" t="s">
        <v>81</v>
      </c>
      <c r="B939" s="1" t="s">
        <v>51</v>
      </c>
      <c r="C939" s="2">
        <v>2006</v>
      </c>
      <c r="D939" s="2">
        <v>5</v>
      </c>
      <c r="E939" s="2">
        <v>5</v>
      </c>
      <c r="F939" s="1" t="s">
        <v>7</v>
      </c>
      <c r="G939" s="1" t="s">
        <v>7</v>
      </c>
    </row>
    <row r="940" spans="1:7" hidden="1">
      <c r="A940" t="s">
        <v>81</v>
      </c>
      <c r="B940" s="1" t="s">
        <v>52</v>
      </c>
      <c r="C940" s="2">
        <v>2007</v>
      </c>
      <c r="D940" s="2">
        <v>1</v>
      </c>
      <c r="E940" s="1" t="s">
        <v>7</v>
      </c>
      <c r="F940" s="2">
        <v>1</v>
      </c>
      <c r="G940" s="1" t="s">
        <v>7</v>
      </c>
    </row>
    <row r="941" spans="1:7" hidden="1">
      <c r="A941" t="s">
        <v>81</v>
      </c>
      <c r="B941" s="1" t="s">
        <v>53</v>
      </c>
      <c r="C941" s="2">
        <v>2008</v>
      </c>
      <c r="D941" s="2">
        <v>2</v>
      </c>
      <c r="E941" s="2">
        <v>2</v>
      </c>
      <c r="F941" s="1" t="s">
        <v>7</v>
      </c>
      <c r="G941" s="1" t="s">
        <v>7</v>
      </c>
    </row>
    <row r="942" spans="1:7" hidden="1">
      <c r="A942" t="s">
        <v>81</v>
      </c>
      <c r="B942" s="1" t="s">
        <v>54</v>
      </c>
      <c r="C942" s="2">
        <v>2009</v>
      </c>
      <c r="D942" s="2">
        <v>1</v>
      </c>
      <c r="E942" s="2">
        <v>1</v>
      </c>
      <c r="F942" s="1" t="s">
        <v>7</v>
      </c>
      <c r="G942" s="1" t="s">
        <v>7</v>
      </c>
    </row>
    <row r="943" spans="1:7" hidden="1">
      <c r="A943" t="s">
        <v>81</v>
      </c>
      <c r="B943" s="1" t="s">
        <v>55</v>
      </c>
      <c r="C943" s="2">
        <v>2010</v>
      </c>
      <c r="D943" s="2">
        <v>3</v>
      </c>
      <c r="E943" s="2">
        <v>3</v>
      </c>
      <c r="F943" s="1" t="s">
        <v>7</v>
      </c>
      <c r="G943" s="1" t="s">
        <v>7</v>
      </c>
    </row>
    <row r="944" spans="1:7" hidden="1">
      <c r="A944" t="s">
        <v>81</v>
      </c>
      <c r="B944" s="1" t="s">
        <v>56</v>
      </c>
      <c r="C944" s="2">
        <v>2011</v>
      </c>
      <c r="D944" s="2">
        <v>7</v>
      </c>
      <c r="E944" s="2">
        <v>5</v>
      </c>
      <c r="F944" s="2">
        <v>2</v>
      </c>
      <c r="G944" s="1" t="s">
        <v>7</v>
      </c>
    </row>
    <row r="945" spans="1:7" hidden="1">
      <c r="A945" t="s">
        <v>81</v>
      </c>
      <c r="B945" s="1" t="s">
        <v>57</v>
      </c>
      <c r="C945" s="2">
        <v>2012</v>
      </c>
      <c r="D945" s="2">
        <v>16</v>
      </c>
      <c r="E945" s="2">
        <v>16</v>
      </c>
      <c r="F945" s="1" t="s">
        <v>7</v>
      </c>
      <c r="G945" s="1" t="s">
        <v>7</v>
      </c>
    </row>
    <row r="946" spans="1:7" hidden="1">
      <c r="A946" t="s">
        <v>81</v>
      </c>
      <c r="B946" s="1" t="s">
        <v>58</v>
      </c>
      <c r="C946" s="2">
        <v>2013</v>
      </c>
      <c r="D946" s="2">
        <v>10</v>
      </c>
      <c r="E946" s="2">
        <v>9</v>
      </c>
      <c r="F946" s="2">
        <v>1</v>
      </c>
      <c r="G946" s="1" t="s">
        <v>7</v>
      </c>
    </row>
    <row r="947" spans="1:7" hidden="1">
      <c r="A947" t="s">
        <v>81</v>
      </c>
      <c r="B947" s="1" t="s">
        <v>59</v>
      </c>
      <c r="C947" s="2">
        <v>2014</v>
      </c>
      <c r="D947" s="2">
        <v>7</v>
      </c>
      <c r="E947" s="2">
        <v>5</v>
      </c>
      <c r="F947" s="2">
        <v>2</v>
      </c>
      <c r="G947" s="1" t="s">
        <v>7</v>
      </c>
    </row>
    <row r="948" spans="1:7" hidden="1">
      <c r="A948" t="s">
        <v>81</v>
      </c>
      <c r="B948" s="1" t="s">
        <v>60</v>
      </c>
      <c r="C948" s="2">
        <v>2015</v>
      </c>
      <c r="D948" s="2">
        <v>8</v>
      </c>
      <c r="E948" s="2">
        <v>8</v>
      </c>
      <c r="F948" s="1" t="s">
        <v>7</v>
      </c>
      <c r="G948" s="1" t="s">
        <v>7</v>
      </c>
    </row>
    <row r="949" spans="1:7" hidden="1">
      <c r="A949" t="s">
        <v>81</v>
      </c>
      <c r="B949" s="1" t="s">
        <v>61</v>
      </c>
      <c r="C949" s="2">
        <v>2016</v>
      </c>
      <c r="D949" s="2">
        <v>21</v>
      </c>
      <c r="E949" s="2">
        <v>20</v>
      </c>
      <c r="F949" s="2">
        <v>1</v>
      </c>
      <c r="G949" s="1" t="s">
        <v>7</v>
      </c>
    </row>
    <row r="950" spans="1:7" hidden="1">
      <c r="A950" t="s">
        <v>81</v>
      </c>
      <c r="B950" s="1" t="s">
        <v>62</v>
      </c>
      <c r="C950" s="2">
        <v>2017</v>
      </c>
      <c r="D950" s="2">
        <v>34</v>
      </c>
      <c r="E950" s="2">
        <v>30</v>
      </c>
      <c r="F950" s="2">
        <v>4</v>
      </c>
      <c r="G950" s="1" t="s">
        <v>7</v>
      </c>
    </row>
    <row r="951" spans="1:7" hidden="1">
      <c r="A951" t="s">
        <v>81</v>
      </c>
      <c r="B951" s="1" t="s">
        <v>63</v>
      </c>
      <c r="C951" s="2">
        <v>2018</v>
      </c>
      <c r="D951" s="2">
        <v>38</v>
      </c>
      <c r="E951" s="2">
        <v>34</v>
      </c>
      <c r="F951" s="2">
        <v>4</v>
      </c>
      <c r="G951" s="1" t="s">
        <v>7</v>
      </c>
    </row>
    <row r="952" spans="1:7" hidden="1">
      <c r="A952" t="s">
        <v>81</v>
      </c>
      <c r="B952" s="1" t="s">
        <v>64</v>
      </c>
      <c r="C952" s="2">
        <v>2019</v>
      </c>
      <c r="D952" s="2">
        <v>23</v>
      </c>
      <c r="E952" s="2">
        <v>22</v>
      </c>
      <c r="F952" s="2">
        <v>1</v>
      </c>
      <c r="G952" s="1" t="s">
        <v>7</v>
      </c>
    </row>
    <row r="953" spans="1:7" hidden="1">
      <c r="A953" t="s">
        <v>81</v>
      </c>
      <c r="B953" s="1" t="s">
        <v>65</v>
      </c>
      <c r="C953" s="2">
        <v>2020</v>
      </c>
      <c r="D953" s="2">
        <v>32</v>
      </c>
      <c r="E953" s="2">
        <v>29</v>
      </c>
      <c r="F953" s="2">
        <v>3</v>
      </c>
      <c r="G953" s="1" t="s">
        <v>7</v>
      </c>
    </row>
    <row r="954" spans="1:7" hidden="1">
      <c r="A954" t="s">
        <v>81</v>
      </c>
      <c r="B954" s="1" t="s">
        <v>66</v>
      </c>
      <c r="C954" s="2">
        <v>2021</v>
      </c>
      <c r="D954" s="2">
        <v>25</v>
      </c>
      <c r="E954" s="2">
        <v>25</v>
      </c>
      <c r="F954" s="1" t="s">
        <v>7</v>
      </c>
      <c r="G954" s="1" t="s">
        <v>7</v>
      </c>
    </row>
    <row r="955" spans="1:7" hidden="1">
      <c r="A955" t="s">
        <v>81</v>
      </c>
      <c r="B955" s="1" t="s">
        <v>67</v>
      </c>
      <c r="C955" s="2">
        <v>2022</v>
      </c>
      <c r="D955" s="2">
        <v>46</v>
      </c>
      <c r="E955" s="2">
        <v>41</v>
      </c>
      <c r="F955" s="2">
        <v>5</v>
      </c>
      <c r="G955" s="1" t="s">
        <v>7</v>
      </c>
    </row>
    <row r="956" spans="1:7" hidden="1">
      <c r="A956" t="s">
        <v>81</v>
      </c>
      <c r="B956" s="1" t="s">
        <v>67</v>
      </c>
      <c r="C956" s="2">
        <v>2023</v>
      </c>
      <c r="D956" s="2">
        <v>1</v>
      </c>
      <c r="E956" s="2">
        <v>1</v>
      </c>
      <c r="F956" s="1" t="s">
        <v>7</v>
      </c>
      <c r="G956" s="1" t="s">
        <v>7</v>
      </c>
    </row>
    <row r="957" spans="1:7" hidden="1">
      <c r="A957" t="s">
        <v>81</v>
      </c>
      <c r="B957" s="1" t="s">
        <v>68</v>
      </c>
      <c r="C957" s="2">
        <v>2023</v>
      </c>
      <c r="D957" s="2">
        <v>44</v>
      </c>
      <c r="E957" s="2">
        <v>38</v>
      </c>
      <c r="F957" s="2">
        <v>6</v>
      </c>
      <c r="G957" s="1" t="s">
        <v>7</v>
      </c>
    </row>
    <row r="958" spans="1:7" hidden="1">
      <c r="A958" t="s">
        <v>81</v>
      </c>
      <c r="B958" s="1" t="s">
        <v>69</v>
      </c>
      <c r="C958" s="2">
        <v>2024</v>
      </c>
      <c r="D958" s="2">
        <v>53</v>
      </c>
      <c r="E958" s="2">
        <v>48</v>
      </c>
      <c r="F958" s="2">
        <v>5</v>
      </c>
      <c r="G958" s="1" t="s">
        <v>7</v>
      </c>
    </row>
    <row r="959" spans="1:7" hidden="1">
      <c r="A959" t="s">
        <v>81</v>
      </c>
      <c r="B959" s="1" t="s">
        <v>6</v>
      </c>
      <c r="C959" s="2">
        <v>1990</v>
      </c>
      <c r="D959" s="2">
        <v>1</v>
      </c>
      <c r="E959" s="2">
        <v>1</v>
      </c>
      <c r="F959" s="1" t="s">
        <v>7</v>
      </c>
      <c r="G959" s="1" t="s">
        <v>7</v>
      </c>
    </row>
    <row r="960" spans="1:7" hidden="1">
      <c r="A960" t="s">
        <v>81</v>
      </c>
      <c r="B960" s="1" t="s">
        <v>6</v>
      </c>
      <c r="C960" s="2">
        <v>1992</v>
      </c>
      <c r="D960" s="2">
        <v>2</v>
      </c>
      <c r="E960" s="2">
        <v>2</v>
      </c>
      <c r="F960" s="1" t="s">
        <v>7</v>
      </c>
      <c r="G960" s="1" t="s">
        <v>7</v>
      </c>
    </row>
    <row r="961" spans="1:7" hidden="1">
      <c r="A961" t="s">
        <v>81</v>
      </c>
      <c r="B961" s="1" t="s">
        <v>6</v>
      </c>
      <c r="C961" s="2">
        <v>1993</v>
      </c>
      <c r="D961" s="2">
        <v>2</v>
      </c>
      <c r="E961" s="2">
        <v>2</v>
      </c>
      <c r="F961" s="1" t="s">
        <v>7</v>
      </c>
      <c r="G961" s="1" t="s">
        <v>7</v>
      </c>
    </row>
    <row r="962" spans="1:7" hidden="1">
      <c r="A962" t="s">
        <v>81</v>
      </c>
      <c r="B962" s="1" t="s">
        <v>6</v>
      </c>
      <c r="C962" s="2">
        <v>2021</v>
      </c>
      <c r="D962" s="2">
        <v>1</v>
      </c>
      <c r="E962" s="2">
        <v>1</v>
      </c>
      <c r="F962" s="1" t="s">
        <v>7</v>
      </c>
      <c r="G962" s="1" t="s">
        <v>7</v>
      </c>
    </row>
    <row r="963" spans="1:7" hidden="1">
      <c r="A963" t="s">
        <v>82</v>
      </c>
      <c r="B963" s="1" t="s">
        <v>3</v>
      </c>
      <c r="C963" s="63">
        <v>1991</v>
      </c>
      <c r="D963" s="63">
        <v>3</v>
      </c>
      <c r="E963" s="63">
        <v>3</v>
      </c>
      <c r="F963" s="63" t="s">
        <v>7</v>
      </c>
      <c r="G963" s="63" t="s">
        <v>7</v>
      </c>
    </row>
    <row r="964" spans="1:7" hidden="1">
      <c r="A964" t="s">
        <v>82</v>
      </c>
      <c r="B964" s="1" t="s">
        <v>3</v>
      </c>
      <c r="C964" s="63">
        <v>1992</v>
      </c>
      <c r="D964" s="63">
        <v>10</v>
      </c>
      <c r="E964" s="63">
        <v>9</v>
      </c>
      <c r="F964" s="63">
        <v>1</v>
      </c>
      <c r="G964" s="63" t="s">
        <v>7</v>
      </c>
    </row>
    <row r="965" spans="1:7" hidden="1">
      <c r="A965" t="s">
        <v>82</v>
      </c>
      <c r="B965" s="1" t="s">
        <v>3</v>
      </c>
      <c r="C965" s="63">
        <v>1993</v>
      </c>
      <c r="D965" s="63">
        <v>7</v>
      </c>
      <c r="E965" s="63">
        <v>5</v>
      </c>
      <c r="F965" s="63">
        <v>2</v>
      </c>
      <c r="G965" s="63" t="s">
        <v>7</v>
      </c>
    </row>
    <row r="966" spans="1:7" hidden="1">
      <c r="A966" t="s">
        <v>82</v>
      </c>
      <c r="B966" s="1" t="s">
        <v>3</v>
      </c>
      <c r="C966" s="63">
        <v>1994</v>
      </c>
      <c r="D966" s="63">
        <v>2</v>
      </c>
      <c r="E966" s="63">
        <v>2</v>
      </c>
      <c r="F966" s="63" t="s">
        <v>7</v>
      </c>
      <c r="G966" s="63" t="s">
        <v>7</v>
      </c>
    </row>
    <row r="967" spans="1:7" hidden="1">
      <c r="A967" t="s">
        <v>82</v>
      </c>
      <c r="B967" s="1" t="s">
        <v>3</v>
      </c>
      <c r="C967" s="63">
        <v>1995</v>
      </c>
      <c r="D967" s="63">
        <v>2</v>
      </c>
      <c r="E967" s="63">
        <v>2</v>
      </c>
      <c r="F967" s="63" t="s">
        <v>7</v>
      </c>
      <c r="G967" s="63" t="s">
        <v>7</v>
      </c>
    </row>
    <row r="968" spans="1:7" hidden="1">
      <c r="A968" t="s">
        <v>82</v>
      </c>
      <c r="B968" s="1" t="s">
        <v>3</v>
      </c>
      <c r="C968" s="63">
        <v>1996</v>
      </c>
      <c r="D968" s="63">
        <v>1</v>
      </c>
      <c r="E968" s="63">
        <v>1</v>
      </c>
      <c r="F968" s="63" t="s">
        <v>7</v>
      </c>
      <c r="G968" s="63" t="s">
        <v>7</v>
      </c>
    </row>
    <row r="969" spans="1:7" hidden="1">
      <c r="A969" t="s">
        <v>82</v>
      </c>
      <c r="B969" s="1" t="s">
        <v>3</v>
      </c>
      <c r="C969" s="63">
        <v>1997</v>
      </c>
      <c r="D969" s="63">
        <v>3</v>
      </c>
      <c r="E969" s="63">
        <v>3</v>
      </c>
      <c r="F969" s="63" t="s">
        <v>7</v>
      </c>
      <c r="G969" s="63" t="s">
        <v>7</v>
      </c>
    </row>
    <row r="970" spans="1:7" hidden="1">
      <c r="A970" t="s">
        <v>82</v>
      </c>
      <c r="B970" s="1" t="s">
        <v>3</v>
      </c>
      <c r="C970" s="63">
        <v>1998</v>
      </c>
      <c r="D970" s="63">
        <v>1</v>
      </c>
      <c r="E970" s="63" t="s">
        <v>7</v>
      </c>
      <c r="F970" s="63">
        <v>1</v>
      </c>
      <c r="G970" s="63" t="s">
        <v>7</v>
      </c>
    </row>
    <row r="971" spans="1:7" hidden="1">
      <c r="A971" t="s">
        <v>82</v>
      </c>
      <c r="B971" s="1" t="s">
        <v>3</v>
      </c>
      <c r="C971" s="63">
        <v>1999</v>
      </c>
      <c r="D971" s="63">
        <v>1</v>
      </c>
      <c r="E971" s="63">
        <v>1</v>
      </c>
      <c r="F971" s="63" t="s">
        <v>7</v>
      </c>
      <c r="G971" s="63" t="s">
        <v>7</v>
      </c>
    </row>
    <row r="972" spans="1:7" hidden="1">
      <c r="A972" t="s">
        <v>82</v>
      </c>
      <c r="B972" s="1" t="s">
        <v>3</v>
      </c>
      <c r="C972" s="63">
        <v>2000</v>
      </c>
      <c r="D972" s="63">
        <v>3</v>
      </c>
      <c r="E972" s="63">
        <v>3</v>
      </c>
      <c r="F972" s="63" t="s">
        <v>7</v>
      </c>
      <c r="G972" s="63" t="s">
        <v>7</v>
      </c>
    </row>
    <row r="973" spans="1:7" hidden="1">
      <c r="A973" t="s">
        <v>82</v>
      </c>
      <c r="B973" s="1" t="s">
        <v>3</v>
      </c>
      <c r="C973" s="63">
        <v>2001</v>
      </c>
      <c r="D973" s="63">
        <v>2</v>
      </c>
      <c r="E973" s="63">
        <v>2</v>
      </c>
      <c r="F973" s="63" t="s">
        <v>7</v>
      </c>
      <c r="G973" s="63" t="s">
        <v>7</v>
      </c>
    </row>
    <row r="974" spans="1:7" hidden="1">
      <c r="A974" t="s">
        <v>82</v>
      </c>
      <c r="B974" s="1" t="s">
        <v>3</v>
      </c>
      <c r="C974" s="63">
        <v>2003</v>
      </c>
      <c r="D974" s="63">
        <v>2</v>
      </c>
      <c r="E974" s="63">
        <v>2</v>
      </c>
      <c r="F974" s="63" t="s">
        <v>7</v>
      </c>
      <c r="G974" s="63" t="s">
        <v>7</v>
      </c>
    </row>
    <row r="975" spans="1:7" hidden="1">
      <c r="A975" t="s">
        <v>82</v>
      </c>
      <c r="B975" s="1" t="s">
        <v>3</v>
      </c>
      <c r="C975" s="63">
        <v>2004</v>
      </c>
      <c r="D975" s="63">
        <v>3</v>
      </c>
      <c r="E975" s="63">
        <v>3</v>
      </c>
      <c r="F975" s="63" t="s">
        <v>7</v>
      </c>
      <c r="G975" s="63" t="s">
        <v>7</v>
      </c>
    </row>
    <row r="976" spans="1:7" hidden="1">
      <c r="A976" t="s">
        <v>82</v>
      </c>
      <c r="B976" s="1" t="s">
        <v>3</v>
      </c>
      <c r="C976" s="63">
        <v>2005</v>
      </c>
      <c r="D976" s="63">
        <v>3</v>
      </c>
      <c r="E976" s="63">
        <v>2</v>
      </c>
      <c r="F976" s="63">
        <v>1</v>
      </c>
      <c r="G976" s="63" t="s">
        <v>7</v>
      </c>
    </row>
    <row r="977" spans="1:7" hidden="1">
      <c r="A977" t="s">
        <v>82</v>
      </c>
      <c r="B977" s="1" t="s">
        <v>3</v>
      </c>
      <c r="C977" s="63">
        <v>2006</v>
      </c>
      <c r="D977" s="63">
        <v>3</v>
      </c>
      <c r="E977" s="63">
        <v>3</v>
      </c>
      <c r="F977" s="63" t="s">
        <v>7</v>
      </c>
      <c r="G977" s="63" t="s">
        <v>7</v>
      </c>
    </row>
    <row r="978" spans="1:7" hidden="1">
      <c r="A978" t="s">
        <v>82</v>
      </c>
      <c r="B978" s="1" t="s">
        <v>3</v>
      </c>
      <c r="C978" s="63">
        <v>2007</v>
      </c>
      <c r="D978" s="63">
        <v>1</v>
      </c>
      <c r="E978" s="63" t="s">
        <v>7</v>
      </c>
      <c r="F978" s="63">
        <v>1</v>
      </c>
      <c r="G978" s="63" t="s">
        <v>7</v>
      </c>
    </row>
    <row r="979" spans="1:7" hidden="1">
      <c r="A979" t="s">
        <v>82</v>
      </c>
      <c r="B979" s="1" t="s">
        <v>3</v>
      </c>
      <c r="C979" s="63">
        <v>2008</v>
      </c>
      <c r="D979" s="63">
        <v>1</v>
      </c>
      <c r="E979" s="63">
        <v>1</v>
      </c>
      <c r="F979" s="63" t="s">
        <v>7</v>
      </c>
      <c r="G979" s="63" t="s">
        <v>7</v>
      </c>
    </row>
    <row r="980" spans="1:7" hidden="1">
      <c r="A980" t="s">
        <v>82</v>
      </c>
      <c r="B980" s="1" t="s">
        <v>3</v>
      </c>
      <c r="C980" s="63">
        <v>2009</v>
      </c>
      <c r="D980" s="63">
        <v>5</v>
      </c>
      <c r="E980" s="63">
        <v>5</v>
      </c>
      <c r="F980" s="63" t="s">
        <v>7</v>
      </c>
      <c r="G980" s="63" t="s">
        <v>7</v>
      </c>
    </row>
    <row r="981" spans="1:7">
      <c r="A981" t="s">
        <v>82</v>
      </c>
      <c r="B981" s="1" t="s">
        <v>3</v>
      </c>
      <c r="C981" s="63">
        <v>2010</v>
      </c>
      <c r="D981" s="63">
        <v>3</v>
      </c>
      <c r="E981" s="63">
        <v>3</v>
      </c>
      <c r="F981" s="63" t="s">
        <v>7</v>
      </c>
      <c r="G981" s="63" t="s">
        <v>7</v>
      </c>
    </row>
    <row r="982" spans="1:7" hidden="1">
      <c r="A982" t="s">
        <v>82</v>
      </c>
      <c r="B982" s="1" t="s">
        <v>3</v>
      </c>
      <c r="C982" s="63">
        <v>2011</v>
      </c>
      <c r="D982" s="63">
        <v>4</v>
      </c>
      <c r="E982" s="63">
        <v>4</v>
      </c>
      <c r="F982" s="63" t="s">
        <v>7</v>
      </c>
      <c r="G982" s="63" t="s">
        <v>7</v>
      </c>
    </row>
    <row r="983" spans="1:7" hidden="1">
      <c r="A983" t="s">
        <v>82</v>
      </c>
      <c r="B983" s="1" t="s">
        <v>3</v>
      </c>
      <c r="C983" s="63">
        <v>2012</v>
      </c>
      <c r="D983" s="63">
        <v>8</v>
      </c>
      <c r="E983" s="63">
        <v>7</v>
      </c>
      <c r="F983" s="63">
        <v>1</v>
      </c>
      <c r="G983" s="63" t="s">
        <v>7</v>
      </c>
    </row>
    <row r="984" spans="1:7" hidden="1">
      <c r="A984" t="s">
        <v>82</v>
      </c>
      <c r="B984" s="1" t="s">
        <v>3</v>
      </c>
      <c r="C984" s="63">
        <v>2013</v>
      </c>
      <c r="D984" s="63">
        <v>11</v>
      </c>
      <c r="E984" s="63">
        <v>10</v>
      </c>
      <c r="F984" s="63">
        <v>1</v>
      </c>
      <c r="G984" s="63" t="s">
        <v>7</v>
      </c>
    </row>
    <row r="985" spans="1:7" hidden="1">
      <c r="A985" t="s">
        <v>82</v>
      </c>
      <c r="B985" s="1" t="s">
        <v>3</v>
      </c>
      <c r="C985" s="63">
        <v>2014</v>
      </c>
      <c r="D985" s="63">
        <v>6</v>
      </c>
      <c r="E985" s="63">
        <v>6</v>
      </c>
      <c r="F985" s="63" t="s">
        <v>7</v>
      </c>
      <c r="G985" s="63" t="s">
        <v>7</v>
      </c>
    </row>
    <row r="986" spans="1:7" hidden="1">
      <c r="A986" t="s">
        <v>82</v>
      </c>
      <c r="B986" s="1" t="s">
        <v>3</v>
      </c>
      <c r="C986" s="63">
        <v>2015</v>
      </c>
      <c r="D986" s="63">
        <v>6</v>
      </c>
      <c r="E986" s="63">
        <v>6</v>
      </c>
      <c r="F986" s="63" t="s">
        <v>7</v>
      </c>
      <c r="G986" s="63" t="s">
        <v>7</v>
      </c>
    </row>
    <row r="987" spans="1:7" hidden="1">
      <c r="A987" t="s">
        <v>82</v>
      </c>
      <c r="B987" s="1" t="s">
        <v>3</v>
      </c>
      <c r="C987" s="63">
        <v>2016</v>
      </c>
      <c r="D987" s="63">
        <v>18</v>
      </c>
      <c r="E987" s="63">
        <v>17</v>
      </c>
      <c r="F987" s="63">
        <v>1</v>
      </c>
      <c r="G987" s="63" t="s">
        <v>7</v>
      </c>
    </row>
    <row r="988" spans="1:7" hidden="1">
      <c r="A988" t="s">
        <v>82</v>
      </c>
      <c r="B988" s="1" t="s">
        <v>3</v>
      </c>
      <c r="C988" s="63">
        <v>2017</v>
      </c>
      <c r="D988" s="63">
        <v>17</v>
      </c>
      <c r="E988" s="63">
        <v>15</v>
      </c>
      <c r="F988" s="63">
        <v>2</v>
      </c>
      <c r="G988" s="63" t="s">
        <v>7</v>
      </c>
    </row>
    <row r="989" spans="1:7" hidden="1">
      <c r="A989" t="s">
        <v>82</v>
      </c>
      <c r="B989" s="1" t="s">
        <v>3</v>
      </c>
      <c r="C989" s="63">
        <v>2018</v>
      </c>
      <c r="D989" s="63">
        <v>16</v>
      </c>
      <c r="E989" s="63">
        <v>16</v>
      </c>
      <c r="F989" s="63" t="s">
        <v>7</v>
      </c>
      <c r="G989" s="63" t="s">
        <v>7</v>
      </c>
    </row>
    <row r="990" spans="1:7">
      <c r="A990" t="s">
        <v>82</v>
      </c>
      <c r="B990" s="1" t="s">
        <v>3</v>
      </c>
      <c r="C990" s="63">
        <v>2019</v>
      </c>
      <c r="D990" s="63">
        <v>25</v>
      </c>
      <c r="E990" s="63">
        <v>23</v>
      </c>
      <c r="F990" s="63">
        <v>2</v>
      </c>
      <c r="G990" s="63" t="s">
        <v>7</v>
      </c>
    </row>
    <row r="991" spans="1:7" hidden="1">
      <c r="A991" t="s">
        <v>82</v>
      </c>
      <c r="B991" s="1" t="s">
        <v>3</v>
      </c>
      <c r="C991" s="63">
        <v>2020</v>
      </c>
      <c r="D991" s="63">
        <v>18</v>
      </c>
      <c r="E991" s="63">
        <v>15</v>
      </c>
      <c r="F991" s="63">
        <v>3</v>
      </c>
      <c r="G991" s="63" t="s">
        <v>7</v>
      </c>
    </row>
    <row r="992" spans="1:7">
      <c r="A992" t="s">
        <v>82</v>
      </c>
      <c r="B992" s="1" t="s">
        <v>3</v>
      </c>
      <c r="C992" s="63">
        <v>2021</v>
      </c>
      <c r="D992" s="63">
        <v>21</v>
      </c>
      <c r="E992" s="63">
        <v>19</v>
      </c>
      <c r="F992" s="63">
        <v>2</v>
      </c>
      <c r="G992" s="63" t="s">
        <v>7</v>
      </c>
    </row>
    <row r="993" spans="1:7" hidden="1">
      <c r="A993" t="s">
        <v>82</v>
      </c>
      <c r="B993" s="1" t="s">
        <v>3</v>
      </c>
      <c r="C993" s="63">
        <v>2022</v>
      </c>
      <c r="D993" s="63">
        <v>27</v>
      </c>
      <c r="E993" s="63">
        <v>25</v>
      </c>
      <c r="F993" s="63">
        <v>2</v>
      </c>
      <c r="G993" s="63" t="s">
        <v>7</v>
      </c>
    </row>
    <row r="994" spans="1:7" hidden="1">
      <c r="A994" t="s">
        <v>82</v>
      </c>
      <c r="B994" s="1" t="s">
        <v>3</v>
      </c>
      <c r="C994" s="63">
        <v>2023</v>
      </c>
      <c r="D994" s="63">
        <v>26</v>
      </c>
      <c r="E994" s="63">
        <v>24</v>
      </c>
      <c r="F994" s="63">
        <v>2</v>
      </c>
      <c r="G994" s="63" t="s">
        <v>7</v>
      </c>
    </row>
    <row r="995" spans="1:7" hidden="1">
      <c r="A995" t="s">
        <v>82</v>
      </c>
      <c r="B995" s="1" t="s">
        <v>3</v>
      </c>
      <c r="C995" s="63">
        <v>2024</v>
      </c>
      <c r="D995" s="63">
        <v>36</v>
      </c>
      <c r="E995" s="63">
        <v>30</v>
      </c>
      <c r="F995" s="63">
        <v>6</v>
      </c>
      <c r="G995" s="63" t="s">
        <v>7</v>
      </c>
    </row>
    <row r="996" spans="1:7" hidden="1">
      <c r="A996" t="s">
        <v>82</v>
      </c>
      <c r="B996" s="1" t="s">
        <v>36</v>
      </c>
      <c r="C996" s="2">
        <v>1991</v>
      </c>
      <c r="D996" s="2">
        <v>2</v>
      </c>
      <c r="E996" s="2">
        <v>2</v>
      </c>
      <c r="F996" s="1" t="s">
        <v>7</v>
      </c>
      <c r="G996" s="1" t="s">
        <v>7</v>
      </c>
    </row>
    <row r="997" spans="1:7" hidden="1">
      <c r="A997" t="s">
        <v>82</v>
      </c>
      <c r="B997" s="1" t="s">
        <v>37</v>
      </c>
      <c r="C997" s="2">
        <v>1992</v>
      </c>
      <c r="D997" s="2">
        <v>9</v>
      </c>
      <c r="E997" s="2">
        <v>8</v>
      </c>
      <c r="F997" s="2">
        <v>1</v>
      </c>
      <c r="G997" s="1" t="s">
        <v>7</v>
      </c>
    </row>
    <row r="998" spans="1:7" hidden="1">
      <c r="A998" t="s">
        <v>82</v>
      </c>
      <c r="B998" s="1" t="s">
        <v>38</v>
      </c>
      <c r="C998" s="2">
        <v>1993</v>
      </c>
      <c r="D998" s="2">
        <v>7</v>
      </c>
      <c r="E998" s="2">
        <v>5</v>
      </c>
      <c r="F998" s="2">
        <v>2</v>
      </c>
      <c r="G998" s="1" t="s">
        <v>7</v>
      </c>
    </row>
    <row r="999" spans="1:7" hidden="1">
      <c r="A999" t="s">
        <v>82</v>
      </c>
      <c r="B999" s="1" t="s">
        <v>39</v>
      </c>
      <c r="C999" s="2">
        <v>1994</v>
      </c>
      <c r="D999" s="2">
        <v>1</v>
      </c>
      <c r="E999" s="2">
        <v>1</v>
      </c>
      <c r="F999" s="1" t="s">
        <v>7</v>
      </c>
      <c r="G999" s="1" t="s">
        <v>7</v>
      </c>
    </row>
    <row r="1000" spans="1:7" hidden="1">
      <c r="A1000" t="s">
        <v>82</v>
      </c>
      <c r="B1000" s="1" t="s">
        <v>40</v>
      </c>
      <c r="C1000" s="2">
        <v>1995</v>
      </c>
      <c r="D1000" s="2">
        <v>1</v>
      </c>
      <c r="E1000" s="2">
        <v>1</v>
      </c>
      <c r="F1000" s="1" t="s">
        <v>7</v>
      </c>
      <c r="G1000" s="1" t="s">
        <v>7</v>
      </c>
    </row>
    <row r="1001" spans="1:7" hidden="1">
      <c r="A1001" t="s">
        <v>82</v>
      </c>
      <c r="B1001" s="1" t="s">
        <v>41</v>
      </c>
      <c r="C1001" s="2">
        <v>1996</v>
      </c>
      <c r="D1001" s="2">
        <v>1</v>
      </c>
      <c r="E1001" s="2">
        <v>1</v>
      </c>
      <c r="F1001" s="1" t="s">
        <v>7</v>
      </c>
      <c r="G1001" s="1" t="s">
        <v>7</v>
      </c>
    </row>
    <row r="1002" spans="1:7" hidden="1">
      <c r="A1002" t="s">
        <v>82</v>
      </c>
      <c r="B1002" s="1" t="s">
        <v>42</v>
      </c>
      <c r="C1002" s="2">
        <v>1997</v>
      </c>
      <c r="D1002" s="2">
        <v>3</v>
      </c>
      <c r="E1002" s="2">
        <v>3</v>
      </c>
      <c r="F1002" s="1" t="s">
        <v>7</v>
      </c>
      <c r="G1002" s="1" t="s">
        <v>7</v>
      </c>
    </row>
    <row r="1003" spans="1:7" hidden="1">
      <c r="A1003" t="s">
        <v>82</v>
      </c>
      <c r="B1003" s="1" t="s">
        <v>43</v>
      </c>
      <c r="C1003" s="2">
        <v>1998</v>
      </c>
      <c r="D1003" s="2">
        <v>1</v>
      </c>
      <c r="E1003" s="1" t="s">
        <v>7</v>
      </c>
      <c r="F1003" s="2">
        <v>1</v>
      </c>
      <c r="G1003" s="1" t="s">
        <v>7</v>
      </c>
    </row>
    <row r="1004" spans="1:7" hidden="1">
      <c r="A1004" t="s">
        <v>82</v>
      </c>
      <c r="B1004" s="1" t="s">
        <v>44</v>
      </c>
      <c r="C1004" s="2">
        <v>1999</v>
      </c>
      <c r="D1004" s="2">
        <v>1</v>
      </c>
      <c r="E1004" s="2">
        <v>1</v>
      </c>
      <c r="F1004" s="1" t="s">
        <v>7</v>
      </c>
      <c r="G1004" s="1" t="s">
        <v>7</v>
      </c>
    </row>
    <row r="1005" spans="1:7" hidden="1">
      <c r="A1005" t="s">
        <v>82</v>
      </c>
      <c r="B1005" s="1" t="s">
        <v>45</v>
      </c>
      <c r="C1005" s="2">
        <v>2000</v>
      </c>
      <c r="D1005" s="2">
        <v>3</v>
      </c>
      <c r="E1005" s="2">
        <v>3</v>
      </c>
      <c r="F1005" s="1" t="s">
        <v>7</v>
      </c>
      <c r="G1005" s="1" t="s">
        <v>7</v>
      </c>
    </row>
    <row r="1006" spans="1:7" hidden="1">
      <c r="A1006" t="s">
        <v>82</v>
      </c>
      <c r="B1006" s="1" t="s">
        <v>46</v>
      </c>
      <c r="C1006" s="2">
        <v>2001</v>
      </c>
      <c r="D1006" s="2">
        <v>2</v>
      </c>
      <c r="E1006" s="2">
        <v>2</v>
      </c>
      <c r="F1006" s="1" t="s">
        <v>7</v>
      </c>
      <c r="G1006" s="1" t="s">
        <v>7</v>
      </c>
    </row>
    <row r="1007" spans="1:7" hidden="1">
      <c r="A1007" t="s">
        <v>82</v>
      </c>
      <c r="B1007" s="1" t="s">
        <v>48</v>
      </c>
      <c r="C1007" s="2">
        <v>2003</v>
      </c>
      <c r="D1007" s="2">
        <v>2</v>
      </c>
      <c r="E1007" s="2">
        <v>2</v>
      </c>
      <c r="F1007" s="1" t="s">
        <v>7</v>
      </c>
      <c r="G1007" s="1" t="s">
        <v>7</v>
      </c>
    </row>
    <row r="1008" spans="1:7" hidden="1">
      <c r="A1008" t="s">
        <v>82</v>
      </c>
      <c r="B1008" s="1" t="s">
        <v>49</v>
      </c>
      <c r="C1008" s="2">
        <v>2004</v>
      </c>
      <c r="D1008" s="2">
        <v>3</v>
      </c>
      <c r="E1008" s="2">
        <v>3</v>
      </c>
      <c r="F1008" s="1" t="s">
        <v>7</v>
      </c>
      <c r="G1008" s="1" t="s">
        <v>7</v>
      </c>
    </row>
    <row r="1009" spans="1:7" hidden="1">
      <c r="A1009" t="s">
        <v>82</v>
      </c>
      <c r="B1009" s="1" t="s">
        <v>50</v>
      </c>
      <c r="C1009" s="2">
        <v>2005</v>
      </c>
      <c r="D1009" s="2">
        <v>3</v>
      </c>
      <c r="E1009" s="2">
        <v>2</v>
      </c>
      <c r="F1009" s="2">
        <v>1</v>
      </c>
      <c r="G1009" s="1" t="s">
        <v>7</v>
      </c>
    </row>
    <row r="1010" spans="1:7" hidden="1">
      <c r="A1010" t="s">
        <v>82</v>
      </c>
      <c r="B1010" s="1" t="s">
        <v>51</v>
      </c>
      <c r="C1010" s="2">
        <v>2006</v>
      </c>
      <c r="D1010" s="2">
        <v>3</v>
      </c>
      <c r="E1010" s="2">
        <v>3</v>
      </c>
      <c r="F1010" s="1" t="s">
        <v>7</v>
      </c>
      <c r="G1010" s="1" t="s">
        <v>7</v>
      </c>
    </row>
    <row r="1011" spans="1:7" hidden="1">
      <c r="A1011" t="s">
        <v>82</v>
      </c>
      <c r="B1011" s="1" t="s">
        <v>52</v>
      </c>
      <c r="C1011" s="2">
        <v>2007</v>
      </c>
      <c r="D1011" s="2">
        <v>1</v>
      </c>
      <c r="E1011" s="1" t="s">
        <v>7</v>
      </c>
      <c r="F1011" s="2">
        <v>1</v>
      </c>
      <c r="G1011" s="1" t="s">
        <v>7</v>
      </c>
    </row>
    <row r="1012" spans="1:7" hidden="1">
      <c r="A1012" t="s">
        <v>82</v>
      </c>
      <c r="B1012" s="1" t="s">
        <v>53</v>
      </c>
      <c r="C1012" s="2">
        <v>2008</v>
      </c>
      <c r="D1012" s="2">
        <v>1</v>
      </c>
      <c r="E1012" s="2">
        <v>1</v>
      </c>
      <c r="F1012" s="1" t="s">
        <v>7</v>
      </c>
      <c r="G1012" s="1" t="s">
        <v>7</v>
      </c>
    </row>
    <row r="1013" spans="1:7" hidden="1">
      <c r="A1013" t="s">
        <v>82</v>
      </c>
      <c r="B1013" s="1" t="s">
        <v>54</v>
      </c>
      <c r="C1013" s="2">
        <v>2009</v>
      </c>
      <c r="D1013" s="2">
        <v>5</v>
      </c>
      <c r="E1013" s="2">
        <v>5</v>
      </c>
      <c r="F1013" s="1" t="s">
        <v>7</v>
      </c>
      <c r="G1013" s="1" t="s">
        <v>7</v>
      </c>
    </row>
    <row r="1014" spans="1:7" hidden="1">
      <c r="A1014" t="s">
        <v>82</v>
      </c>
      <c r="B1014" s="1" t="s">
        <v>55</v>
      </c>
      <c r="C1014" s="2">
        <v>2010</v>
      </c>
      <c r="D1014" s="2">
        <v>3</v>
      </c>
      <c r="E1014" s="2">
        <v>3</v>
      </c>
      <c r="F1014" s="1" t="s">
        <v>7</v>
      </c>
      <c r="G1014" s="1" t="s">
        <v>7</v>
      </c>
    </row>
    <row r="1015" spans="1:7" hidden="1">
      <c r="A1015" t="s">
        <v>82</v>
      </c>
      <c r="B1015" s="1" t="s">
        <v>56</v>
      </c>
      <c r="C1015" s="2">
        <v>2011</v>
      </c>
      <c r="D1015" s="2">
        <v>4</v>
      </c>
      <c r="E1015" s="2">
        <v>4</v>
      </c>
      <c r="F1015" s="1" t="s">
        <v>7</v>
      </c>
      <c r="G1015" s="1" t="s">
        <v>7</v>
      </c>
    </row>
    <row r="1016" spans="1:7" hidden="1">
      <c r="A1016" t="s">
        <v>82</v>
      </c>
      <c r="B1016" s="1" t="s">
        <v>57</v>
      </c>
      <c r="C1016" s="2">
        <v>2012</v>
      </c>
      <c r="D1016" s="2">
        <v>8</v>
      </c>
      <c r="E1016" s="2">
        <v>7</v>
      </c>
      <c r="F1016" s="2">
        <v>1</v>
      </c>
      <c r="G1016" s="1" t="s">
        <v>7</v>
      </c>
    </row>
    <row r="1017" spans="1:7" hidden="1">
      <c r="A1017" t="s">
        <v>82</v>
      </c>
      <c r="B1017" s="1" t="s">
        <v>58</v>
      </c>
      <c r="C1017" s="2">
        <v>2013</v>
      </c>
      <c r="D1017" s="2">
        <v>11</v>
      </c>
      <c r="E1017" s="2">
        <v>10</v>
      </c>
      <c r="F1017" s="2">
        <v>1</v>
      </c>
      <c r="G1017" s="1" t="s">
        <v>7</v>
      </c>
    </row>
    <row r="1018" spans="1:7" hidden="1">
      <c r="A1018" t="s">
        <v>82</v>
      </c>
      <c r="B1018" s="1" t="s">
        <v>59</v>
      </c>
      <c r="C1018" s="2">
        <v>2014</v>
      </c>
      <c r="D1018" s="2">
        <v>6</v>
      </c>
      <c r="E1018" s="2">
        <v>6</v>
      </c>
      <c r="F1018" s="1" t="s">
        <v>7</v>
      </c>
      <c r="G1018" s="1" t="s">
        <v>7</v>
      </c>
    </row>
    <row r="1019" spans="1:7" hidden="1">
      <c r="A1019" t="s">
        <v>82</v>
      </c>
      <c r="B1019" s="1" t="s">
        <v>60</v>
      </c>
      <c r="C1019" s="2">
        <v>2015</v>
      </c>
      <c r="D1019" s="2">
        <v>6</v>
      </c>
      <c r="E1019" s="2">
        <v>6</v>
      </c>
      <c r="F1019" s="1" t="s">
        <v>7</v>
      </c>
      <c r="G1019" s="1" t="s">
        <v>7</v>
      </c>
    </row>
    <row r="1020" spans="1:7" hidden="1">
      <c r="A1020" t="s">
        <v>82</v>
      </c>
      <c r="B1020" s="1" t="s">
        <v>61</v>
      </c>
      <c r="C1020" s="2">
        <v>2016</v>
      </c>
      <c r="D1020" s="2">
        <v>18</v>
      </c>
      <c r="E1020" s="2">
        <v>17</v>
      </c>
      <c r="F1020" s="2">
        <v>1</v>
      </c>
      <c r="G1020" s="1" t="s">
        <v>7</v>
      </c>
    </row>
    <row r="1021" spans="1:7" hidden="1">
      <c r="A1021" t="s">
        <v>82</v>
      </c>
      <c r="B1021" s="1" t="s">
        <v>62</v>
      </c>
      <c r="C1021" s="2">
        <v>2017</v>
      </c>
      <c r="D1021" s="2">
        <v>17</v>
      </c>
      <c r="E1021" s="2">
        <v>15</v>
      </c>
      <c r="F1021" s="2">
        <v>2</v>
      </c>
      <c r="G1021" s="1" t="s">
        <v>7</v>
      </c>
    </row>
    <row r="1022" spans="1:7" hidden="1">
      <c r="A1022" t="s">
        <v>82</v>
      </c>
      <c r="B1022" s="1" t="s">
        <v>63</v>
      </c>
      <c r="C1022" s="2">
        <v>2018</v>
      </c>
      <c r="D1022" s="2">
        <v>16</v>
      </c>
      <c r="E1022" s="2">
        <v>16</v>
      </c>
      <c r="F1022" s="1" t="s">
        <v>7</v>
      </c>
      <c r="G1022" s="1" t="s">
        <v>7</v>
      </c>
    </row>
    <row r="1023" spans="1:7" hidden="1">
      <c r="A1023" t="s">
        <v>82</v>
      </c>
      <c r="B1023" s="1" t="s">
        <v>64</v>
      </c>
      <c r="C1023" s="2">
        <v>2019</v>
      </c>
      <c r="D1023" s="2">
        <v>25</v>
      </c>
      <c r="E1023" s="2">
        <v>23</v>
      </c>
      <c r="F1023" s="2">
        <v>2</v>
      </c>
      <c r="G1023" s="1" t="s">
        <v>7</v>
      </c>
    </row>
    <row r="1024" spans="1:7" hidden="1">
      <c r="A1024" t="s">
        <v>82</v>
      </c>
      <c r="B1024" s="1" t="s">
        <v>65</v>
      </c>
      <c r="C1024" s="2">
        <v>2020</v>
      </c>
      <c r="D1024" s="2">
        <v>18</v>
      </c>
      <c r="E1024" s="2">
        <v>15</v>
      </c>
      <c r="F1024" s="2">
        <v>3</v>
      </c>
      <c r="G1024" s="1" t="s">
        <v>7</v>
      </c>
    </row>
    <row r="1025" spans="1:7" hidden="1">
      <c r="A1025" t="s">
        <v>82</v>
      </c>
      <c r="B1025" s="1" t="s">
        <v>66</v>
      </c>
      <c r="C1025" s="2">
        <v>2021</v>
      </c>
      <c r="D1025" s="2">
        <v>21</v>
      </c>
      <c r="E1025" s="2">
        <v>19</v>
      </c>
      <c r="F1025" s="2">
        <v>2</v>
      </c>
      <c r="G1025" s="1" t="s">
        <v>7</v>
      </c>
    </row>
    <row r="1026" spans="1:7" hidden="1">
      <c r="A1026" t="s">
        <v>82</v>
      </c>
      <c r="B1026" s="1" t="s">
        <v>66</v>
      </c>
      <c r="C1026" s="2">
        <v>2023</v>
      </c>
      <c r="D1026" s="2">
        <v>1</v>
      </c>
      <c r="E1026" s="2">
        <v>1</v>
      </c>
      <c r="F1026" s="1" t="s">
        <v>7</v>
      </c>
      <c r="G1026" s="1" t="s">
        <v>7</v>
      </c>
    </row>
    <row r="1027" spans="1:7" hidden="1">
      <c r="A1027" t="s">
        <v>82</v>
      </c>
      <c r="B1027" s="1" t="s">
        <v>67</v>
      </c>
      <c r="C1027" s="2">
        <v>2022</v>
      </c>
      <c r="D1027" s="2">
        <v>27</v>
      </c>
      <c r="E1027" s="2">
        <v>25</v>
      </c>
      <c r="F1027" s="2">
        <v>2</v>
      </c>
      <c r="G1027" s="1" t="s">
        <v>7</v>
      </c>
    </row>
    <row r="1028" spans="1:7" hidden="1">
      <c r="A1028" t="s">
        <v>82</v>
      </c>
      <c r="B1028" s="1" t="s">
        <v>68</v>
      </c>
      <c r="C1028" s="2">
        <v>2023</v>
      </c>
      <c r="D1028" s="2">
        <v>25</v>
      </c>
      <c r="E1028" s="2">
        <v>23</v>
      </c>
      <c r="F1028" s="2">
        <v>2</v>
      </c>
      <c r="G1028" s="1" t="s">
        <v>7</v>
      </c>
    </row>
    <row r="1029" spans="1:7" hidden="1">
      <c r="A1029" t="s">
        <v>82</v>
      </c>
      <c r="B1029" s="1" t="s">
        <v>68</v>
      </c>
      <c r="C1029" s="2">
        <v>2024</v>
      </c>
      <c r="D1029" s="2">
        <v>1</v>
      </c>
      <c r="E1029" s="2">
        <v>1</v>
      </c>
      <c r="F1029" s="1" t="s">
        <v>7</v>
      </c>
      <c r="G1029" s="1" t="s">
        <v>7</v>
      </c>
    </row>
    <row r="1030" spans="1:7" hidden="1">
      <c r="A1030" t="s">
        <v>82</v>
      </c>
      <c r="B1030" s="1" t="s">
        <v>69</v>
      </c>
      <c r="C1030" s="2">
        <v>2024</v>
      </c>
      <c r="D1030" s="2">
        <v>35</v>
      </c>
      <c r="E1030" s="2">
        <v>29</v>
      </c>
      <c r="F1030" s="2">
        <v>6</v>
      </c>
      <c r="G1030" s="1" t="s">
        <v>7</v>
      </c>
    </row>
    <row r="1031" spans="1:7" hidden="1">
      <c r="A1031" t="s">
        <v>82</v>
      </c>
      <c r="B1031" s="1" t="s">
        <v>6</v>
      </c>
      <c r="C1031" s="2">
        <v>1991</v>
      </c>
      <c r="D1031" s="2">
        <v>1</v>
      </c>
      <c r="E1031" s="2">
        <v>1</v>
      </c>
      <c r="F1031" s="1" t="s">
        <v>7</v>
      </c>
      <c r="G1031" s="1" t="s">
        <v>7</v>
      </c>
    </row>
    <row r="1032" spans="1:7" hidden="1">
      <c r="A1032" t="s">
        <v>82</v>
      </c>
      <c r="B1032" s="1" t="s">
        <v>6</v>
      </c>
      <c r="C1032" s="2">
        <v>1992</v>
      </c>
      <c r="D1032" s="2">
        <v>1</v>
      </c>
      <c r="E1032" s="2">
        <v>1</v>
      </c>
      <c r="F1032" s="1" t="s">
        <v>7</v>
      </c>
      <c r="G1032" s="1" t="s">
        <v>7</v>
      </c>
    </row>
    <row r="1033" spans="1:7" hidden="1">
      <c r="A1033" t="s">
        <v>82</v>
      </c>
      <c r="B1033" s="1" t="s">
        <v>6</v>
      </c>
      <c r="C1033" s="2">
        <v>1994</v>
      </c>
      <c r="D1033" s="2">
        <v>1</v>
      </c>
      <c r="E1033" s="2">
        <v>1</v>
      </c>
      <c r="F1033" s="1" t="s">
        <v>7</v>
      </c>
      <c r="G1033" s="1" t="s">
        <v>7</v>
      </c>
    </row>
    <row r="1034" spans="1:7" hidden="1">
      <c r="A1034" t="s">
        <v>82</v>
      </c>
      <c r="B1034" s="1" t="s">
        <v>6</v>
      </c>
      <c r="C1034" s="2">
        <v>1995</v>
      </c>
      <c r="D1034" s="2">
        <v>1</v>
      </c>
      <c r="E1034" s="2">
        <v>1</v>
      </c>
      <c r="F1034" s="1" t="s">
        <v>7</v>
      </c>
      <c r="G1034" s="1" t="s">
        <v>7</v>
      </c>
    </row>
    <row r="1035" spans="1:7" hidden="1">
      <c r="A1035" t="s">
        <v>83</v>
      </c>
      <c r="B1035" s="1" t="s">
        <v>3</v>
      </c>
      <c r="C1035" s="63">
        <v>1990</v>
      </c>
      <c r="D1035" s="63">
        <v>3</v>
      </c>
      <c r="E1035" s="63">
        <v>3</v>
      </c>
      <c r="F1035" s="63" t="s">
        <v>7</v>
      </c>
      <c r="G1035" s="63" t="s">
        <v>7</v>
      </c>
    </row>
    <row r="1036" spans="1:7" hidden="1">
      <c r="A1036" t="s">
        <v>83</v>
      </c>
      <c r="B1036" s="1" t="s">
        <v>3</v>
      </c>
      <c r="C1036" s="63">
        <v>1991</v>
      </c>
      <c r="D1036" s="63">
        <v>1</v>
      </c>
      <c r="E1036" s="63">
        <v>1</v>
      </c>
      <c r="F1036" s="63" t="s">
        <v>7</v>
      </c>
      <c r="G1036" s="63" t="s">
        <v>7</v>
      </c>
    </row>
    <row r="1037" spans="1:7" hidden="1">
      <c r="A1037" t="s">
        <v>83</v>
      </c>
      <c r="B1037" s="1" t="s">
        <v>3</v>
      </c>
      <c r="C1037" s="63">
        <v>1992</v>
      </c>
      <c r="D1037" s="63">
        <v>6</v>
      </c>
      <c r="E1037" s="63">
        <v>6</v>
      </c>
      <c r="F1037" s="63" t="s">
        <v>7</v>
      </c>
      <c r="G1037" s="63" t="s">
        <v>7</v>
      </c>
    </row>
    <row r="1038" spans="1:7" hidden="1">
      <c r="A1038" t="s">
        <v>83</v>
      </c>
      <c r="B1038" s="1" t="s">
        <v>3</v>
      </c>
      <c r="C1038" s="63">
        <v>1994</v>
      </c>
      <c r="D1038" s="63">
        <v>2</v>
      </c>
      <c r="E1038" s="63">
        <v>2</v>
      </c>
      <c r="F1038" s="63" t="s">
        <v>7</v>
      </c>
      <c r="G1038" s="63" t="s">
        <v>7</v>
      </c>
    </row>
    <row r="1039" spans="1:7" hidden="1">
      <c r="A1039" t="s">
        <v>83</v>
      </c>
      <c r="B1039" s="1" t="s">
        <v>3</v>
      </c>
      <c r="C1039" s="63">
        <v>1996</v>
      </c>
      <c r="D1039" s="63">
        <v>1</v>
      </c>
      <c r="E1039" s="63">
        <v>1</v>
      </c>
      <c r="F1039" s="63" t="s">
        <v>7</v>
      </c>
      <c r="G1039" s="63" t="s">
        <v>7</v>
      </c>
    </row>
    <row r="1040" spans="1:7" hidden="1">
      <c r="A1040" t="s">
        <v>83</v>
      </c>
      <c r="B1040" s="1" t="s">
        <v>3</v>
      </c>
      <c r="C1040" s="63">
        <v>1997</v>
      </c>
      <c r="D1040" s="63">
        <v>3</v>
      </c>
      <c r="E1040" s="63">
        <v>2</v>
      </c>
      <c r="F1040" s="63">
        <v>1</v>
      </c>
      <c r="G1040" s="63" t="s">
        <v>7</v>
      </c>
    </row>
    <row r="1041" spans="1:7" hidden="1">
      <c r="A1041" t="s">
        <v>83</v>
      </c>
      <c r="B1041" s="1" t="s">
        <v>3</v>
      </c>
      <c r="C1041" s="63">
        <v>1998</v>
      </c>
      <c r="D1041" s="63">
        <v>1</v>
      </c>
      <c r="E1041" s="63">
        <v>1</v>
      </c>
      <c r="F1041" s="63" t="s">
        <v>7</v>
      </c>
      <c r="G1041" s="63" t="s">
        <v>7</v>
      </c>
    </row>
    <row r="1042" spans="1:7" hidden="1">
      <c r="A1042" t="s">
        <v>83</v>
      </c>
      <c r="B1042" s="1" t="s">
        <v>3</v>
      </c>
      <c r="C1042" s="63">
        <v>1999</v>
      </c>
      <c r="D1042" s="63">
        <v>1</v>
      </c>
      <c r="E1042" s="63">
        <v>1</v>
      </c>
      <c r="F1042" s="63" t="s">
        <v>7</v>
      </c>
      <c r="G1042" s="63" t="s">
        <v>7</v>
      </c>
    </row>
    <row r="1043" spans="1:7" hidden="1">
      <c r="A1043" t="s">
        <v>83</v>
      </c>
      <c r="B1043" s="1" t="s">
        <v>3</v>
      </c>
      <c r="C1043" s="63">
        <v>2000</v>
      </c>
      <c r="D1043" s="63">
        <v>3</v>
      </c>
      <c r="E1043" s="63">
        <v>3</v>
      </c>
      <c r="F1043" s="63" t="s">
        <v>7</v>
      </c>
      <c r="G1043" s="63" t="s">
        <v>7</v>
      </c>
    </row>
    <row r="1044" spans="1:7" hidden="1">
      <c r="A1044" t="s">
        <v>83</v>
      </c>
      <c r="B1044" s="1" t="s">
        <v>3</v>
      </c>
      <c r="C1044" s="63">
        <v>2002</v>
      </c>
      <c r="D1044" s="63">
        <v>2</v>
      </c>
      <c r="E1044" s="63">
        <v>2</v>
      </c>
      <c r="F1044" s="63" t="s">
        <v>7</v>
      </c>
      <c r="G1044" s="63" t="s">
        <v>7</v>
      </c>
    </row>
    <row r="1045" spans="1:7" hidden="1">
      <c r="A1045" t="s">
        <v>83</v>
      </c>
      <c r="B1045" s="1" t="s">
        <v>3</v>
      </c>
      <c r="C1045" s="63">
        <v>2003</v>
      </c>
      <c r="D1045" s="63">
        <v>1</v>
      </c>
      <c r="E1045" s="63">
        <v>1</v>
      </c>
      <c r="F1045" s="63" t="s">
        <v>7</v>
      </c>
      <c r="G1045" s="63" t="s">
        <v>7</v>
      </c>
    </row>
    <row r="1046" spans="1:7" hidden="1">
      <c r="A1046" t="s">
        <v>83</v>
      </c>
      <c r="B1046" s="1" t="s">
        <v>3</v>
      </c>
      <c r="C1046" s="63">
        <v>2004</v>
      </c>
      <c r="D1046" s="63">
        <v>1</v>
      </c>
      <c r="E1046" s="63">
        <v>1</v>
      </c>
      <c r="F1046" s="63" t="s">
        <v>7</v>
      </c>
      <c r="G1046" s="63" t="s">
        <v>7</v>
      </c>
    </row>
    <row r="1047" spans="1:7" hidden="1">
      <c r="A1047" t="s">
        <v>83</v>
      </c>
      <c r="B1047" s="1" t="s">
        <v>3</v>
      </c>
      <c r="C1047" s="63">
        <v>2005</v>
      </c>
      <c r="D1047" s="63">
        <v>3</v>
      </c>
      <c r="E1047" s="63">
        <v>3</v>
      </c>
      <c r="F1047" s="63" t="s">
        <v>7</v>
      </c>
      <c r="G1047" s="63" t="s">
        <v>7</v>
      </c>
    </row>
    <row r="1048" spans="1:7" hidden="1">
      <c r="A1048" t="s">
        <v>83</v>
      </c>
      <c r="B1048" s="1" t="s">
        <v>3</v>
      </c>
      <c r="C1048" s="63">
        <v>2006</v>
      </c>
      <c r="D1048" s="63">
        <v>1</v>
      </c>
      <c r="E1048" s="63">
        <v>1</v>
      </c>
      <c r="F1048" s="63" t="s">
        <v>7</v>
      </c>
      <c r="G1048" s="63" t="s">
        <v>7</v>
      </c>
    </row>
    <row r="1049" spans="1:7" hidden="1">
      <c r="A1049" t="s">
        <v>83</v>
      </c>
      <c r="B1049" s="1" t="s">
        <v>3</v>
      </c>
      <c r="C1049" s="63">
        <v>2007</v>
      </c>
      <c r="D1049" s="63">
        <v>5</v>
      </c>
      <c r="E1049" s="63">
        <v>4</v>
      </c>
      <c r="F1049" s="63">
        <v>1</v>
      </c>
      <c r="G1049" s="63" t="s">
        <v>7</v>
      </c>
    </row>
    <row r="1050" spans="1:7" hidden="1">
      <c r="A1050" t="s">
        <v>83</v>
      </c>
      <c r="B1050" s="1" t="s">
        <v>3</v>
      </c>
      <c r="C1050" s="63">
        <v>2008</v>
      </c>
      <c r="D1050" s="63">
        <v>5</v>
      </c>
      <c r="E1050" s="63">
        <v>5</v>
      </c>
      <c r="F1050" s="63" t="s">
        <v>7</v>
      </c>
      <c r="G1050" s="63" t="s">
        <v>7</v>
      </c>
    </row>
    <row r="1051" spans="1:7" hidden="1">
      <c r="A1051" t="s">
        <v>83</v>
      </c>
      <c r="B1051" s="1" t="s">
        <v>3</v>
      </c>
      <c r="C1051" s="63">
        <v>2009</v>
      </c>
      <c r="D1051" s="63">
        <v>2</v>
      </c>
      <c r="E1051" s="63">
        <v>2</v>
      </c>
      <c r="F1051" s="63" t="s">
        <v>7</v>
      </c>
      <c r="G1051" s="63" t="s">
        <v>7</v>
      </c>
    </row>
    <row r="1052" spans="1:7">
      <c r="A1052" t="s">
        <v>83</v>
      </c>
      <c r="B1052" s="1" t="s">
        <v>3</v>
      </c>
      <c r="C1052" s="63">
        <v>2010</v>
      </c>
      <c r="D1052" s="63">
        <v>6</v>
      </c>
      <c r="E1052" s="63">
        <v>6</v>
      </c>
      <c r="F1052" s="63" t="s">
        <v>7</v>
      </c>
      <c r="G1052" s="63" t="s">
        <v>7</v>
      </c>
    </row>
    <row r="1053" spans="1:7" hidden="1">
      <c r="A1053" t="s">
        <v>83</v>
      </c>
      <c r="B1053" s="1" t="s">
        <v>3</v>
      </c>
      <c r="C1053" s="63">
        <v>2011</v>
      </c>
      <c r="D1053" s="63">
        <v>4</v>
      </c>
      <c r="E1053" s="63">
        <v>4</v>
      </c>
      <c r="F1053" s="63" t="s">
        <v>7</v>
      </c>
      <c r="G1053" s="63" t="s">
        <v>7</v>
      </c>
    </row>
    <row r="1054" spans="1:7" hidden="1">
      <c r="A1054" t="s">
        <v>83</v>
      </c>
      <c r="B1054" s="1" t="s">
        <v>3</v>
      </c>
      <c r="C1054" s="63">
        <v>2012</v>
      </c>
      <c r="D1054" s="63">
        <v>4</v>
      </c>
      <c r="E1054" s="63">
        <v>4</v>
      </c>
      <c r="F1054" s="63" t="s">
        <v>7</v>
      </c>
      <c r="G1054" s="63" t="s">
        <v>7</v>
      </c>
    </row>
    <row r="1055" spans="1:7" hidden="1">
      <c r="A1055" t="s">
        <v>83</v>
      </c>
      <c r="B1055" s="1" t="s">
        <v>3</v>
      </c>
      <c r="C1055" s="63">
        <v>2013</v>
      </c>
      <c r="D1055" s="63">
        <v>1</v>
      </c>
      <c r="E1055" s="63">
        <v>1</v>
      </c>
      <c r="F1055" s="63" t="s">
        <v>7</v>
      </c>
      <c r="G1055" s="63" t="s">
        <v>7</v>
      </c>
    </row>
    <row r="1056" spans="1:7" hidden="1">
      <c r="A1056" t="s">
        <v>83</v>
      </c>
      <c r="B1056" s="1" t="s">
        <v>3</v>
      </c>
      <c r="C1056" s="63">
        <v>2014</v>
      </c>
      <c r="D1056" s="63">
        <v>3</v>
      </c>
      <c r="E1056" s="63">
        <v>2</v>
      </c>
      <c r="F1056" s="63">
        <v>1</v>
      </c>
      <c r="G1056" s="63" t="s">
        <v>7</v>
      </c>
    </row>
    <row r="1057" spans="1:7" hidden="1">
      <c r="A1057" t="s">
        <v>83</v>
      </c>
      <c r="B1057" s="1" t="s">
        <v>3</v>
      </c>
      <c r="C1057" s="63">
        <v>2015</v>
      </c>
      <c r="D1057" s="63">
        <v>3</v>
      </c>
      <c r="E1057" s="63">
        <v>3</v>
      </c>
      <c r="F1057" s="63" t="s">
        <v>7</v>
      </c>
      <c r="G1057" s="63" t="s">
        <v>7</v>
      </c>
    </row>
    <row r="1058" spans="1:7" hidden="1">
      <c r="A1058" t="s">
        <v>83</v>
      </c>
      <c r="B1058" s="1" t="s">
        <v>3</v>
      </c>
      <c r="C1058" s="63">
        <v>2016</v>
      </c>
      <c r="D1058" s="63">
        <v>12</v>
      </c>
      <c r="E1058" s="63">
        <v>11</v>
      </c>
      <c r="F1058" s="63">
        <v>1</v>
      </c>
      <c r="G1058" s="63" t="s">
        <v>7</v>
      </c>
    </row>
    <row r="1059" spans="1:7" hidden="1">
      <c r="A1059" t="s">
        <v>83</v>
      </c>
      <c r="B1059" s="1" t="s">
        <v>3</v>
      </c>
      <c r="C1059" s="63">
        <v>2017</v>
      </c>
      <c r="D1059" s="63">
        <v>13</v>
      </c>
      <c r="E1059" s="63">
        <v>10</v>
      </c>
      <c r="F1059" s="63">
        <v>3</v>
      </c>
      <c r="G1059" s="63" t="s">
        <v>7</v>
      </c>
    </row>
    <row r="1060" spans="1:7" hidden="1">
      <c r="A1060" t="s">
        <v>83</v>
      </c>
      <c r="B1060" s="1" t="s">
        <v>3</v>
      </c>
      <c r="C1060" s="63">
        <v>2018</v>
      </c>
      <c r="D1060" s="63">
        <v>14</v>
      </c>
      <c r="E1060" s="63">
        <v>13</v>
      </c>
      <c r="F1060" s="63">
        <v>1</v>
      </c>
      <c r="G1060" s="63" t="s">
        <v>7</v>
      </c>
    </row>
    <row r="1061" spans="1:7">
      <c r="A1061" t="s">
        <v>83</v>
      </c>
      <c r="B1061" s="1" t="s">
        <v>3</v>
      </c>
      <c r="C1061" s="63">
        <v>2019</v>
      </c>
      <c r="D1061" s="63">
        <v>16</v>
      </c>
      <c r="E1061" s="63">
        <v>15</v>
      </c>
      <c r="F1061" s="63">
        <v>1</v>
      </c>
      <c r="G1061" s="63" t="s">
        <v>7</v>
      </c>
    </row>
    <row r="1062" spans="1:7" hidden="1">
      <c r="A1062" t="s">
        <v>83</v>
      </c>
      <c r="B1062" s="1" t="s">
        <v>3</v>
      </c>
      <c r="C1062" s="63">
        <v>2020</v>
      </c>
      <c r="D1062" s="63">
        <v>15</v>
      </c>
      <c r="E1062" s="63">
        <v>15</v>
      </c>
      <c r="F1062" s="63" t="s">
        <v>7</v>
      </c>
      <c r="G1062" s="63" t="s">
        <v>7</v>
      </c>
    </row>
    <row r="1063" spans="1:7">
      <c r="A1063" t="s">
        <v>83</v>
      </c>
      <c r="B1063" s="1" t="s">
        <v>3</v>
      </c>
      <c r="C1063" s="63">
        <v>2021</v>
      </c>
      <c r="D1063" s="63">
        <v>10</v>
      </c>
      <c r="E1063" s="63">
        <v>10</v>
      </c>
      <c r="F1063" s="63" t="s">
        <v>7</v>
      </c>
      <c r="G1063" s="63" t="s">
        <v>7</v>
      </c>
    </row>
    <row r="1064" spans="1:7" hidden="1">
      <c r="A1064" t="s">
        <v>83</v>
      </c>
      <c r="B1064" s="1" t="s">
        <v>3</v>
      </c>
      <c r="C1064" s="63">
        <v>2022</v>
      </c>
      <c r="D1064" s="63">
        <v>19</v>
      </c>
      <c r="E1064" s="63">
        <v>15</v>
      </c>
      <c r="F1064" s="63">
        <v>4</v>
      </c>
      <c r="G1064" s="63" t="s">
        <v>7</v>
      </c>
    </row>
    <row r="1065" spans="1:7" hidden="1">
      <c r="A1065" t="s">
        <v>83</v>
      </c>
      <c r="B1065" s="1" t="s">
        <v>3</v>
      </c>
      <c r="C1065" s="63">
        <v>2023</v>
      </c>
      <c r="D1065" s="63">
        <v>20</v>
      </c>
      <c r="E1065" s="63">
        <v>17</v>
      </c>
      <c r="F1065" s="63">
        <v>3</v>
      </c>
      <c r="G1065" s="63" t="s">
        <v>7</v>
      </c>
    </row>
    <row r="1066" spans="1:7" hidden="1">
      <c r="A1066" t="s">
        <v>83</v>
      </c>
      <c r="B1066" s="1" t="s">
        <v>3</v>
      </c>
      <c r="C1066" s="63">
        <v>2024</v>
      </c>
      <c r="D1066" s="63">
        <v>20</v>
      </c>
      <c r="E1066" s="63">
        <v>19</v>
      </c>
      <c r="F1066" s="63">
        <v>1</v>
      </c>
      <c r="G1066" s="63" t="s">
        <v>7</v>
      </c>
    </row>
    <row r="1067" spans="1:7" hidden="1">
      <c r="A1067" t="s">
        <v>83</v>
      </c>
      <c r="B1067" s="1" t="s">
        <v>35</v>
      </c>
      <c r="C1067" s="2">
        <v>1990</v>
      </c>
      <c r="D1067" s="2">
        <v>2</v>
      </c>
      <c r="E1067" s="2">
        <v>2</v>
      </c>
      <c r="F1067" s="1" t="s">
        <v>7</v>
      </c>
      <c r="G1067" s="1" t="s">
        <v>7</v>
      </c>
    </row>
    <row r="1068" spans="1:7" hidden="1">
      <c r="A1068" t="s">
        <v>83</v>
      </c>
      <c r="B1068" s="1" t="s">
        <v>36</v>
      </c>
      <c r="C1068" s="2">
        <v>1991</v>
      </c>
      <c r="D1068" s="2">
        <v>1</v>
      </c>
      <c r="E1068" s="2">
        <v>1</v>
      </c>
      <c r="F1068" s="1" t="s">
        <v>7</v>
      </c>
      <c r="G1068" s="1" t="s">
        <v>7</v>
      </c>
    </row>
    <row r="1069" spans="1:7" hidden="1">
      <c r="A1069" t="s">
        <v>83</v>
      </c>
      <c r="B1069" s="1" t="s">
        <v>37</v>
      </c>
      <c r="C1069" s="2">
        <v>1992</v>
      </c>
      <c r="D1069" s="2">
        <v>3</v>
      </c>
      <c r="E1069" s="2">
        <v>3</v>
      </c>
      <c r="F1069" s="1" t="s">
        <v>7</v>
      </c>
      <c r="G1069" s="1" t="s">
        <v>7</v>
      </c>
    </row>
    <row r="1070" spans="1:7" hidden="1">
      <c r="A1070" t="s">
        <v>83</v>
      </c>
      <c r="B1070" s="1" t="s">
        <v>39</v>
      </c>
      <c r="C1070" s="2">
        <v>1994</v>
      </c>
      <c r="D1070" s="2">
        <v>2</v>
      </c>
      <c r="E1070" s="2">
        <v>2</v>
      </c>
      <c r="F1070" s="1" t="s">
        <v>7</v>
      </c>
      <c r="G1070" s="1" t="s">
        <v>7</v>
      </c>
    </row>
    <row r="1071" spans="1:7" hidden="1">
      <c r="A1071" t="s">
        <v>83</v>
      </c>
      <c r="B1071" s="1" t="s">
        <v>41</v>
      </c>
      <c r="C1071" s="2">
        <v>1996</v>
      </c>
      <c r="D1071" s="2">
        <v>1</v>
      </c>
      <c r="E1071" s="2">
        <v>1</v>
      </c>
      <c r="F1071" s="1" t="s">
        <v>7</v>
      </c>
      <c r="G1071" s="1" t="s">
        <v>7</v>
      </c>
    </row>
    <row r="1072" spans="1:7" hidden="1">
      <c r="A1072" t="s">
        <v>83</v>
      </c>
      <c r="B1072" s="1" t="s">
        <v>42</v>
      </c>
      <c r="C1072" s="2">
        <v>1997</v>
      </c>
      <c r="D1072" s="2">
        <v>3</v>
      </c>
      <c r="E1072" s="2">
        <v>2</v>
      </c>
      <c r="F1072" s="2">
        <v>1</v>
      </c>
      <c r="G1072" s="1" t="s">
        <v>7</v>
      </c>
    </row>
    <row r="1073" spans="1:7" hidden="1">
      <c r="A1073" t="s">
        <v>83</v>
      </c>
      <c r="B1073" s="1" t="s">
        <v>43</v>
      </c>
      <c r="C1073" s="2">
        <v>1998</v>
      </c>
      <c r="D1073" s="2">
        <v>1</v>
      </c>
      <c r="E1073" s="2">
        <v>1</v>
      </c>
      <c r="F1073" s="1" t="s">
        <v>7</v>
      </c>
      <c r="G1073" s="1" t="s">
        <v>7</v>
      </c>
    </row>
    <row r="1074" spans="1:7" hidden="1">
      <c r="A1074" t="s">
        <v>83</v>
      </c>
      <c r="B1074" s="1" t="s">
        <v>44</v>
      </c>
      <c r="C1074" s="2">
        <v>1999</v>
      </c>
      <c r="D1074" s="2">
        <v>1</v>
      </c>
      <c r="E1074" s="2">
        <v>1</v>
      </c>
      <c r="F1074" s="1" t="s">
        <v>7</v>
      </c>
      <c r="G1074" s="1" t="s">
        <v>7</v>
      </c>
    </row>
    <row r="1075" spans="1:7" hidden="1">
      <c r="A1075" t="s">
        <v>83</v>
      </c>
      <c r="B1075" s="1" t="s">
        <v>45</v>
      </c>
      <c r="C1075" s="2">
        <v>2000</v>
      </c>
      <c r="D1075" s="2">
        <v>3</v>
      </c>
      <c r="E1075" s="2">
        <v>3</v>
      </c>
      <c r="F1075" s="1" t="s">
        <v>7</v>
      </c>
      <c r="G1075" s="1" t="s">
        <v>7</v>
      </c>
    </row>
    <row r="1076" spans="1:7" hidden="1">
      <c r="A1076" t="s">
        <v>83</v>
      </c>
      <c r="B1076" s="1" t="s">
        <v>47</v>
      </c>
      <c r="C1076" s="2">
        <v>2002</v>
      </c>
      <c r="D1076" s="2">
        <v>2</v>
      </c>
      <c r="E1076" s="2">
        <v>2</v>
      </c>
      <c r="F1076" s="1" t="s">
        <v>7</v>
      </c>
      <c r="G1076" s="1" t="s">
        <v>7</v>
      </c>
    </row>
    <row r="1077" spans="1:7" hidden="1">
      <c r="A1077" t="s">
        <v>83</v>
      </c>
      <c r="B1077" s="1" t="s">
        <v>48</v>
      </c>
      <c r="C1077" s="2">
        <v>2003</v>
      </c>
      <c r="D1077" s="2">
        <v>1</v>
      </c>
      <c r="E1077" s="2">
        <v>1</v>
      </c>
      <c r="F1077" s="1" t="s">
        <v>7</v>
      </c>
      <c r="G1077" s="1" t="s">
        <v>7</v>
      </c>
    </row>
    <row r="1078" spans="1:7" hidden="1">
      <c r="A1078" t="s">
        <v>83</v>
      </c>
      <c r="B1078" s="1" t="s">
        <v>49</v>
      </c>
      <c r="C1078" s="2">
        <v>2004</v>
      </c>
      <c r="D1078" s="2">
        <v>1</v>
      </c>
      <c r="E1078" s="2">
        <v>1</v>
      </c>
      <c r="F1078" s="1" t="s">
        <v>7</v>
      </c>
      <c r="G1078" s="1" t="s">
        <v>7</v>
      </c>
    </row>
    <row r="1079" spans="1:7" hidden="1">
      <c r="A1079" t="s">
        <v>83</v>
      </c>
      <c r="B1079" s="1" t="s">
        <v>50</v>
      </c>
      <c r="C1079" s="2">
        <v>2005</v>
      </c>
      <c r="D1079" s="2">
        <v>3</v>
      </c>
      <c r="E1079" s="2">
        <v>3</v>
      </c>
      <c r="F1079" s="1" t="s">
        <v>7</v>
      </c>
      <c r="G1079" s="1" t="s">
        <v>7</v>
      </c>
    </row>
    <row r="1080" spans="1:7" hidden="1">
      <c r="A1080" t="s">
        <v>83</v>
      </c>
      <c r="B1080" s="1" t="s">
        <v>51</v>
      </c>
      <c r="C1080" s="2">
        <v>2006</v>
      </c>
      <c r="D1080" s="2">
        <v>1</v>
      </c>
      <c r="E1080" s="2">
        <v>1</v>
      </c>
      <c r="F1080" s="1" t="s">
        <v>7</v>
      </c>
      <c r="G1080" s="1" t="s">
        <v>7</v>
      </c>
    </row>
    <row r="1081" spans="1:7" hidden="1">
      <c r="A1081" t="s">
        <v>83</v>
      </c>
      <c r="B1081" s="1" t="s">
        <v>52</v>
      </c>
      <c r="C1081" s="2">
        <v>2007</v>
      </c>
      <c r="D1081" s="2">
        <v>5</v>
      </c>
      <c r="E1081" s="2">
        <v>4</v>
      </c>
      <c r="F1081" s="2">
        <v>1</v>
      </c>
      <c r="G1081" s="1" t="s">
        <v>7</v>
      </c>
    </row>
    <row r="1082" spans="1:7" hidden="1">
      <c r="A1082" t="s">
        <v>83</v>
      </c>
      <c r="B1082" s="1" t="s">
        <v>53</v>
      </c>
      <c r="C1082" s="2">
        <v>2008</v>
      </c>
      <c r="D1082" s="2">
        <v>5</v>
      </c>
      <c r="E1082" s="2">
        <v>5</v>
      </c>
      <c r="F1082" s="1" t="s">
        <v>7</v>
      </c>
      <c r="G1082" s="1" t="s">
        <v>7</v>
      </c>
    </row>
    <row r="1083" spans="1:7" hidden="1">
      <c r="A1083" t="s">
        <v>83</v>
      </c>
      <c r="B1083" s="1" t="s">
        <v>54</v>
      </c>
      <c r="C1083" s="2">
        <v>2009</v>
      </c>
      <c r="D1083" s="2">
        <v>2</v>
      </c>
      <c r="E1083" s="2">
        <v>2</v>
      </c>
      <c r="F1083" s="1" t="s">
        <v>7</v>
      </c>
      <c r="G1083" s="1" t="s">
        <v>7</v>
      </c>
    </row>
    <row r="1084" spans="1:7" hidden="1">
      <c r="A1084" t="s">
        <v>83</v>
      </c>
      <c r="B1084" s="1" t="s">
        <v>55</v>
      </c>
      <c r="C1084" s="2">
        <v>2010</v>
      </c>
      <c r="D1084" s="2">
        <v>6</v>
      </c>
      <c r="E1084" s="2">
        <v>6</v>
      </c>
      <c r="F1084" s="1" t="s">
        <v>7</v>
      </c>
      <c r="G1084" s="1" t="s">
        <v>7</v>
      </c>
    </row>
    <row r="1085" spans="1:7" hidden="1">
      <c r="A1085" t="s">
        <v>83</v>
      </c>
      <c r="B1085" s="1" t="s">
        <v>56</v>
      </c>
      <c r="C1085" s="2">
        <v>2011</v>
      </c>
      <c r="D1085" s="2">
        <v>4</v>
      </c>
      <c r="E1085" s="2">
        <v>4</v>
      </c>
      <c r="F1085" s="1" t="s">
        <v>7</v>
      </c>
      <c r="G1085" s="1" t="s">
        <v>7</v>
      </c>
    </row>
    <row r="1086" spans="1:7" hidden="1">
      <c r="A1086" t="s">
        <v>83</v>
      </c>
      <c r="B1086" s="1" t="s">
        <v>57</v>
      </c>
      <c r="C1086" s="2">
        <v>2012</v>
      </c>
      <c r="D1086" s="2">
        <v>4</v>
      </c>
      <c r="E1086" s="2">
        <v>4</v>
      </c>
      <c r="F1086" s="1" t="s">
        <v>7</v>
      </c>
      <c r="G1086" s="1" t="s">
        <v>7</v>
      </c>
    </row>
    <row r="1087" spans="1:7" hidden="1">
      <c r="A1087" t="s">
        <v>83</v>
      </c>
      <c r="B1087" s="1" t="s">
        <v>58</v>
      </c>
      <c r="C1087" s="2">
        <v>2013</v>
      </c>
      <c r="D1087" s="2">
        <v>1</v>
      </c>
      <c r="E1087" s="2">
        <v>1</v>
      </c>
      <c r="F1087" s="1" t="s">
        <v>7</v>
      </c>
      <c r="G1087" s="1" t="s">
        <v>7</v>
      </c>
    </row>
    <row r="1088" spans="1:7" hidden="1">
      <c r="A1088" t="s">
        <v>83</v>
      </c>
      <c r="B1088" s="1" t="s">
        <v>59</v>
      </c>
      <c r="C1088" s="2">
        <v>2014</v>
      </c>
      <c r="D1088" s="2">
        <v>3</v>
      </c>
      <c r="E1088" s="2">
        <v>2</v>
      </c>
      <c r="F1088" s="2">
        <v>1</v>
      </c>
      <c r="G1088" s="1" t="s">
        <v>7</v>
      </c>
    </row>
    <row r="1089" spans="1:7" hidden="1">
      <c r="A1089" t="s">
        <v>83</v>
      </c>
      <c r="B1089" s="1" t="s">
        <v>60</v>
      </c>
      <c r="C1089" s="2">
        <v>2015</v>
      </c>
      <c r="D1089" s="2">
        <v>3</v>
      </c>
      <c r="E1089" s="2">
        <v>3</v>
      </c>
      <c r="F1089" s="1" t="s">
        <v>7</v>
      </c>
      <c r="G1089" s="1" t="s">
        <v>7</v>
      </c>
    </row>
    <row r="1090" spans="1:7" hidden="1">
      <c r="A1090" t="s">
        <v>83</v>
      </c>
      <c r="B1090" s="1" t="s">
        <v>61</v>
      </c>
      <c r="C1090" s="2">
        <v>2016</v>
      </c>
      <c r="D1090" s="2">
        <v>12</v>
      </c>
      <c r="E1090" s="2">
        <v>11</v>
      </c>
      <c r="F1090" s="2">
        <v>1</v>
      </c>
      <c r="G1090" s="1" t="s">
        <v>7</v>
      </c>
    </row>
    <row r="1091" spans="1:7" hidden="1">
      <c r="A1091" t="s">
        <v>83</v>
      </c>
      <c r="B1091" s="1" t="s">
        <v>62</v>
      </c>
      <c r="C1091" s="2">
        <v>2017</v>
      </c>
      <c r="D1091" s="2">
        <v>13</v>
      </c>
      <c r="E1091" s="2">
        <v>10</v>
      </c>
      <c r="F1091" s="2">
        <v>3</v>
      </c>
      <c r="G1091" s="1" t="s">
        <v>7</v>
      </c>
    </row>
    <row r="1092" spans="1:7" hidden="1">
      <c r="A1092" t="s">
        <v>83</v>
      </c>
      <c r="B1092" s="1" t="s">
        <v>63</v>
      </c>
      <c r="C1092" s="2">
        <v>2018</v>
      </c>
      <c r="D1092" s="2">
        <v>14</v>
      </c>
      <c r="E1092" s="2">
        <v>13</v>
      </c>
      <c r="F1092" s="2">
        <v>1</v>
      </c>
      <c r="G1092" s="1" t="s">
        <v>7</v>
      </c>
    </row>
    <row r="1093" spans="1:7" hidden="1">
      <c r="A1093" t="s">
        <v>83</v>
      </c>
      <c r="B1093" s="1" t="s">
        <v>63</v>
      </c>
      <c r="C1093" s="2">
        <v>2019</v>
      </c>
      <c r="D1093" s="2">
        <v>1</v>
      </c>
      <c r="E1093" s="2">
        <v>1</v>
      </c>
      <c r="F1093" s="1" t="s">
        <v>7</v>
      </c>
      <c r="G1093" s="1" t="s">
        <v>7</v>
      </c>
    </row>
    <row r="1094" spans="1:7" hidden="1">
      <c r="A1094" t="s">
        <v>83</v>
      </c>
      <c r="B1094" s="1" t="s">
        <v>64</v>
      </c>
      <c r="C1094" s="2">
        <v>2019</v>
      </c>
      <c r="D1094" s="2">
        <v>15</v>
      </c>
      <c r="E1094" s="2">
        <v>14</v>
      </c>
      <c r="F1094" s="2">
        <v>1</v>
      </c>
      <c r="G1094" s="1" t="s">
        <v>7</v>
      </c>
    </row>
    <row r="1095" spans="1:7" hidden="1">
      <c r="A1095" t="s">
        <v>83</v>
      </c>
      <c r="B1095" s="1" t="s">
        <v>65</v>
      </c>
      <c r="C1095" s="2">
        <v>2020</v>
      </c>
      <c r="D1095" s="2">
        <v>15</v>
      </c>
      <c r="E1095" s="2">
        <v>15</v>
      </c>
      <c r="F1095" s="1" t="s">
        <v>7</v>
      </c>
      <c r="G1095" s="1" t="s">
        <v>7</v>
      </c>
    </row>
    <row r="1096" spans="1:7" hidden="1">
      <c r="A1096" t="s">
        <v>83</v>
      </c>
      <c r="B1096" s="1" t="s">
        <v>65</v>
      </c>
      <c r="C1096" s="2">
        <v>2021</v>
      </c>
      <c r="D1096" s="2">
        <v>1</v>
      </c>
      <c r="E1096" s="2">
        <v>1</v>
      </c>
      <c r="F1096" s="1" t="s">
        <v>7</v>
      </c>
      <c r="G1096" s="1" t="s">
        <v>7</v>
      </c>
    </row>
    <row r="1097" spans="1:7" hidden="1">
      <c r="A1097" t="s">
        <v>83</v>
      </c>
      <c r="B1097" s="1" t="s">
        <v>66</v>
      </c>
      <c r="C1097" s="2">
        <v>2021</v>
      </c>
      <c r="D1097" s="2">
        <v>9</v>
      </c>
      <c r="E1097" s="2">
        <v>9</v>
      </c>
      <c r="F1097" s="1" t="s">
        <v>7</v>
      </c>
      <c r="G1097" s="1" t="s">
        <v>7</v>
      </c>
    </row>
    <row r="1098" spans="1:7" hidden="1">
      <c r="A1098" t="s">
        <v>83</v>
      </c>
      <c r="B1098" s="1" t="s">
        <v>66</v>
      </c>
      <c r="C1098" s="2">
        <v>2022</v>
      </c>
      <c r="D1098" s="2">
        <v>1</v>
      </c>
      <c r="E1098" s="2">
        <v>1</v>
      </c>
      <c r="F1098" s="1" t="s">
        <v>7</v>
      </c>
      <c r="G1098" s="1" t="s">
        <v>7</v>
      </c>
    </row>
    <row r="1099" spans="1:7" hidden="1">
      <c r="A1099" t="s">
        <v>83</v>
      </c>
      <c r="B1099" s="1" t="s">
        <v>67</v>
      </c>
      <c r="C1099" s="2">
        <v>2022</v>
      </c>
      <c r="D1099" s="2">
        <v>18</v>
      </c>
      <c r="E1099" s="2">
        <v>14</v>
      </c>
      <c r="F1099" s="2">
        <v>4</v>
      </c>
      <c r="G1099" s="1" t="s">
        <v>7</v>
      </c>
    </row>
    <row r="1100" spans="1:7" hidden="1">
      <c r="A1100" t="s">
        <v>83</v>
      </c>
      <c r="B1100" s="1" t="s">
        <v>68</v>
      </c>
      <c r="C1100" s="2">
        <v>2023</v>
      </c>
      <c r="D1100" s="2">
        <v>19</v>
      </c>
      <c r="E1100" s="2">
        <v>16</v>
      </c>
      <c r="F1100" s="2">
        <v>3</v>
      </c>
      <c r="G1100" s="1" t="s">
        <v>7</v>
      </c>
    </row>
    <row r="1101" spans="1:7" hidden="1">
      <c r="A1101" t="s">
        <v>83</v>
      </c>
      <c r="B1101" s="1" t="s">
        <v>69</v>
      </c>
      <c r="C1101" s="2">
        <v>2024</v>
      </c>
      <c r="D1101" s="2">
        <v>19</v>
      </c>
      <c r="E1101" s="2">
        <v>18</v>
      </c>
      <c r="F1101" s="2">
        <v>1</v>
      </c>
      <c r="G1101" s="1" t="s">
        <v>7</v>
      </c>
    </row>
    <row r="1102" spans="1:7" hidden="1">
      <c r="A1102" t="s">
        <v>83</v>
      </c>
      <c r="B1102" s="1" t="s">
        <v>6</v>
      </c>
      <c r="C1102" s="2">
        <v>1990</v>
      </c>
      <c r="D1102" s="2">
        <v>1</v>
      </c>
      <c r="E1102" s="2">
        <v>1</v>
      </c>
      <c r="F1102" s="1" t="s">
        <v>7</v>
      </c>
      <c r="G1102" s="1" t="s">
        <v>7</v>
      </c>
    </row>
    <row r="1103" spans="1:7" hidden="1">
      <c r="A1103" t="s">
        <v>83</v>
      </c>
      <c r="B1103" s="1" t="s">
        <v>6</v>
      </c>
      <c r="C1103" s="2">
        <v>1992</v>
      </c>
      <c r="D1103" s="2">
        <v>3</v>
      </c>
      <c r="E1103" s="2">
        <v>3</v>
      </c>
      <c r="F1103" s="1" t="s">
        <v>7</v>
      </c>
      <c r="G1103" s="1" t="s">
        <v>7</v>
      </c>
    </row>
    <row r="1104" spans="1:7" hidden="1">
      <c r="A1104" t="s">
        <v>83</v>
      </c>
      <c r="B1104" s="1" t="s">
        <v>6</v>
      </c>
      <c r="C1104" s="2">
        <v>2023</v>
      </c>
      <c r="D1104" s="2">
        <v>1</v>
      </c>
      <c r="E1104" s="2">
        <v>1</v>
      </c>
      <c r="F1104" s="1" t="s">
        <v>7</v>
      </c>
      <c r="G1104" s="1" t="s">
        <v>7</v>
      </c>
    </row>
    <row r="1105" spans="1:7" hidden="1">
      <c r="A1105" t="s">
        <v>83</v>
      </c>
      <c r="B1105" s="1" t="s">
        <v>6</v>
      </c>
      <c r="C1105" s="2">
        <v>2024</v>
      </c>
      <c r="D1105" s="2">
        <v>1</v>
      </c>
      <c r="E1105" s="2">
        <v>1</v>
      </c>
      <c r="F1105" s="1" t="s">
        <v>7</v>
      </c>
      <c r="G1105" s="1" t="s">
        <v>7</v>
      </c>
    </row>
    <row r="1106" spans="1:7" hidden="1">
      <c r="A1106" t="s">
        <v>84</v>
      </c>
      <c r="B1106" s="1" t="s">
        <v>3</v>
      </c>
      <c r="C1106" s="63">
        <v>1990</v>
      </c>
      <c r="D1106" s="63">
        <v>5</v>
      </c>
      <c r="E1106" s="63">
        <v>5</v>
      </c>
      <c r="F1106" s="63" t="s">
        <v>7</v>
      </c>
      <c r="G1106" s="63" t="s">
        <v>7</v>
      </c>
    </row>
    <row r="1107" spans="1:7" hidden="1">
      <c r="A1107" t="s">
        <v>84</v>
      </c>
      <c r="B1107" s="1" t="s">
        <v>3</v>
      </c>
      <c r="C1107" s="63">
        <v>1991</v>
      </c>
      <c r="D1107" s="63">
        <v>2</v>
      </c>
      <c r="E1107" s="63">
        <v>2</v>
      </c>
      <c r="F1107" s="63" t="s">
        <v>7</v>
      </c>
      <c r="G1107" s="63" t="s">
        <v>7</v>
      </c>
    </row>
    <row r="1108" spans="1:7" hidden="1">
      <c r="A1108" t="s">
        <v>84</v>
      </c>
      <c r="B1108" s="1" t="s">
        <v>3</v>
      </c>
      <c r="C1108" s="63">
        <v>1993</v>
      </c>
      <c r="D1108" s="63">
        <v>1</v>
      </c>
      <c r="E1108" s="63">
        <v>1</v>
      </c>
      <c r="F1108" s="63" t="s">
        <v>7</v>
      </c>
      <c r="G1108" s="63" t="s">
        <v>7</v>
      </c>
    </row>
    <row r="1109" spans="1:7" hidden="1">
      <c r="A1109" t="s">
        <v>84</v>
      </c>
      <c r="B1109" s="1" t="s">
        <v>3</v>
      </c>
      <c r="C1109" s="63">
        <v>1994</v>
      </c>
      <c r="D1109" s="63">
        <v>3</v>
      </c>
      <c r="E1109" s="63">
        <v>3</v>
      </c>
      <c r="F1109" s="63" t="s">
        <v>7</v>
      </c>
      <c r="G1109" s="63" t="s">
        <v>7</v>
      </c>
    </row>
    <row r="1110" spans="1:7" hidden="1">
      <c r="A1110" t="s">
        <v>84</v>
      </c>
      <c r="B1110" s="1" t="s">
        <v>3</v>
      </c>
      <c r="C1110" s="63">
        <v>1995</v>
      </c>
      <c r="D1110" s="63">
        <v>3</v>
      </c>
      <c r="E1110" s="63">
        <v>2</v>
      </c>
      <c r="F1110" s="63">
        <v>1</v>
      </c>
      <c r="G1110" s="63" t="s">
        <v>7</v>
      </c>
    </row>
    <row r="1111" spans="1:7" hidden="1">
      <c r="A1111" t="s">
        <v>84</v>
      </c>
      <c r="B1111" s="1" t="s">
        <v>3</v>
      </c>
      <c r="C1111" s="63">
        <v>1997</v>
      </c>
      <c r="D1111" s="63">
        <v>4</v>
      </c>
      <c r="E1111" s="63">
        <v>4</v>
      </c>
      <c r="F1111" s="63" t="s">
        <v>7</v>
      </c>
      <c r="G1111" s="63" t="s">
        <v>7</v>
      </c>
    </row>
    <row r="1112" spans="1:7" hidden="1">
      <c r="A1112" t="s">
        <v>84</v>
      </c>
      <c r="B1112" s="1" t="s">
        <v>3</v>
      </c>
      <c r="C1112" s="63">
        <v>1998</v>
      </c>
      <c r="D1112" s="63">
        <v>4</v>
      </c>
      <c r="E1112" s="63">
        <v>4</v>
      </c>
      <c r="F1112" s="63" t="s">
        <v>7</v>
      </c>
      <c r="G1112" s="63" t="s">
        <v>7</v>
      </c>
    </row>
    <row r="1113" spans="1:7" hidden="1">
      <c r="A1113" t="s">
        <v>84</v>
      </c>
      <c r="B1113" s="1" t="s">
        <v>3</v>
      </c>
      <c r="C1113" s="63">
        <v>1999</v>
      </c>
      <c r="D1113" s="63">
        <v>1</v>
      </c>
      <c r="E1113" s="63">
        <v>1</v>
      </c>
      <c r="F1113" s="63" t="s">
        <v>7</v>
      </c>
      <c r="G1113" s="63" t="s">
        <v>7</v>
      </c>
    </row>
    <row r="1114" spans="1:7" hidden="1">
      <c r="A1114" t="s">
        <v>84</v>
      </c>
      <c r="B1114" s="1" t="s">
        <v>3</v>
      </c>
      <c r="C1114" s="63">
        <v>2000</v>
      </c>
      <c r="D1114" s="63">
        <v>3</v>
      </c>
      <c r="E1114" s="63">
        <v>3</v>
      </c>
      <c r="F1114" s="63" t="s">
        <v>7</v>
      </c>
      <c r="G1114" s="63" t="s">
        <v>7</v>
      </c>
    </row>
    <row r="1115" spans="1:7" hidden="1">
      <c r="A1115" t="s">
        <v>84</v>
      </c>
      <c r="B1115" s="1" t="s">
        <v>3</v>
      </c>
      <c r="C1115" s="63">
        <v>2002</v>
      </c>
      <c r="D1115" s="63">
        <v>1</v>
      </c>
      <c r="E1115" s="63">
        <v>1</v>
      </c>
      <c r="F1115" s="63" t="s">
        <v>7</v>
      </c>
      <c r="G1115" s="63" t="s">
        <v>7</v>
      </c>
    </row>
    <row r="1116" spans="1:7" hidden="1">
      <c r="A1116" t="s">
        <v>84</v>
      </c>
      <c r="B1116" s="1" t="s">
        <v>3</v>
      </c>
      <c r="C1116" s="63">
        <v>2003</v>
      </c>
      <c r="D1116" s="63">
        <v>1</v>
      </c>
      <c r="E1116" s="63">
        <v>1</v>
      </c>
      <c r="F1116" s="63" t="s">
        <v>7</v>
      </c>
      <c r="G1116" s="63" t="s">
        <v>7</v>
      </c>
    </row>
    <row r="1117" spans="1:7" hidden="1">
      <c r="A1117" t="s">
        <v>84</v>
      </c>
      <c r="B1117" s="1" t="s">
        <v>3</v>
      </c>
      <c r="C1117" s="63">
        <v>2004</v>
      </c>
      <c r="D1117" s="63">
        <v>1</v>
      </c>
      <c r="E1117" s="63">
        <v>1</v>
      </c>
      <c r="F1117" s="63" t="s">
        <v>7</v>
      </c>
      <c r="G1117" s="63" t="s">
        <v>7</v>
      </c>
    </row>
    <row r="1118" spans="1:7" hidden="1">
      <c r="A1118" t="s">
        <v>84</v>
      </c>
      <c r="B1118" s="1" t="s">
        <v>3</v>
      </c>
      <c r="C1118" s="63">
        <v>2005</v>
      </c>
      <c r="D1118" s="63">
        <v>2</v>
      </c>
      <c r="E1118" s="63">
        <v>2</v>
      </c>
      <c r="F1118" s="63" t="s">
        <v>7</v>
      </c>
      <c r="G1118" s="63" t="s">
        <v>7</v>
      </c>
    </row>
    <row r="1119" spans="1:7" hidden="1">
      <c r="A1119" t="s">
        <v>84</v>
      </c>
      <c r="B1119" s="1" t="s">
        <v>3</v>
      </c>
      <c r="C1119" s="63">
        <v>2007</v>
      </c>
      <c r="D1119" s="63">
        <v>1</v>
      </c>
      <c r="E1119" s="63">
        <v>1</v>
      </c>
      <c r="F1119" s="63" t="s">
        <v>7</v>
      </c>
      <c r="G1119" s="63" t="s">
        <v>7</v>
      </c>
    </row>
    <row r="1120" spans="1:7" hidden="1">
      <c r="A1120" t="s">
        <v>84</v>
      </c>
      <c r="B1120" s="1" t="s">
        <v>3</v>
      </c>
      <c r="C1120" s="63">
        <v>2008</v>
      </c>
      <c r="D1120" s="63">
        <v>1</v>
      </c>
      <c r="E1120" s="63">
        <v>1</v>
      </c>
      <c r="F1120" s="63" t="s">
        <v>7</v>
      </c>
      <c r="G1120" s="63" t="s">
        <v>7</v>
      </c>
    </row>
    <row r="1121" spans="1:7">
      <c r="A1121" t="s">
        <v>84</v>
      </c>
      <c r="B1121" s="1" t="s">
        <v>3</v>
      </c>
      <c r="C1121" s="63">
        <v>2010</v>
      </c>
      <c r="D1121" s="63">
        <v>2</v>
      </c>
      <c r="E1121" s="63">
        <v>1</v>
      </c>
      <c r="F1121" s="63">
        <v>1</v>
      </c>
      <c r="G1121" s="63" t="s">
        <v>7</v>
      </c>
    </row>
    <row r="1122" spans="1:7" hidden="1">
      <c r="A1122" t="s">
        <v>84</v>
      </c>
      <c r="B1122" s="1" t="s">
        <v>3</v>
      </c>
      <c r="C1122" s="63">
        <v>2011</v>
      </c>
      <c r="D1122" s="63">
        <v>6</v>
      </c>
      <c r="E1122" s="63">
        <v>6</v>
      </c>
      <c r="F1122" s="63" t="s">
        <v>7</v>
      </c>
      <c r="G1122" s="63" t="s">
        <v>7</v>
      </c>
    </row>
    <row r="1123" spans="1:7" hidden="1">
      <c r="A1123" t="s">
        <v>84</v>
      </c>
      <c r="B1123" s="1" t="s">
        <v>3</v>
      </c>
      <c r="C1123" s="63">
        <v>2012</v>
      </c>
      <c r="D1123" s="63">
        <v>3</v>
      </c>
      <c r="E1123" s="63">
        <v>2</v>
      </c>
      <c r="F1123" s="63">
        <v>1</v>
      </c>
      <c r="G1123" s="63" t="s">
        <v>7</v>
      </c>
    </row>
    <row r="1124" spans="1:7" hidden="1">
      <c r="A1124" t="s">
        <v>84</v>
      </c>
      <c r="B1124" s="1" t="s">
        <v>3</v>
      </c>
      <c r="C1124" s="63">
        <v>2013</v>
      </c>
      <c r="D1124" s="63">
        <v>2</v>
      </c>
      <c r="E1124" s="63">
        <v>2</v>
      </c>
      <c r="F1124" s="63" t="s">
        <v>7</v>
      </c>
      <c r="G1124" s="63" t="s">
        <v>7</v>
      </c>
    </row>
    <row r="1125" spans="1:7" hidden="1">
      <c r="A1125" t="s">
        <v>84</v>
      </c>
      <c r="B1125" s="1" t="s">
        <v>3</v>
      </c>
      <c r="C1125" s="63">
        <v>2014</v>
      </c>
      <c r="D1125" s="63">
        <v>6</v>
      </c>
      <c r="E1125" s="63">
        <v>6</v>
      </c>
      <c r="F1125" s="63" t="s">
        <v>7</v>
      </c>
      <c r="G1125" s="63" t="s">
        <v>7</v>
      </c>
    </row>
    <row r="1126" spans="1:7" hidden="1">
      <c r="A1126" t="s">
        <v>84</v>
      </c>
      <c r="B1126" s="1" t="s">
        <v>3</v>
      </c>
      <c r="C1126" s="63">
        <v>2015</v>
      </c>
      <c r="D1126" s="63">
        <v>4</v>
      </c>
      <c r="E1126" s="63">
        <v>4</v>
      </c>
      <c r="F1126" s="63" t="s">
        <v>7</v>
      </c>
      <c r="G1126" s="63" t="s">
        <v>7</v>
      </c>
    </row>
    <row r="1127" spans="1:7" hidden="1">
      <c r="A1127" t="s">
        <v>84</v>
      </c>
      <c r="B1127" s="1" t="s">
        <v>3</v>
      </c>
      <c r="C1127" s="63">
        <v>2016</v>
      </c>
      <c r="D1127" s="63">
        <v>5</v>
      </c>
      <c r="E1127" s="63">
        <v>4</v>
      </c>
      <c r="F1127" s="63">
        <v>1</v>
      </c>
      <c r="G1127" s="63" t="s">
        <v>7</v>
      </c>
    </row>
    <row r="1128" spans="1:7" hidden="1">
      <c r="A1128" t="s">
        <v>84</v>
      </c>
      <c r="B1128" s="1" t="s">
        <v>3</v>
      </c>
      <c r="C1128" s="63">
        <v>2017</v>
      </c>
      <c r="D1128" s="63">
        <v>5</v>
      </c>
      <c r="E1128" s="63">
        <v>4</v>
      </c>
      <c r="F1128" s="63">
        <v>1</v>
      </c>
      <c r="G1128" s="63" t="s">
        <v>7</v>
      </c>
    </row>
    <row r="1129" spans="1:7" hidden="1">
      <c r="A1129" t="s">
        <v>84</v>
      </c>
      <c r="B1129" s="1" t="s">
        <v>3</v>
      </c>
      <c r="C1129" s="63">
        <v>2018</v>
      </c>
      <c r="D1129" s="63">
        <v>4</v>
      </c>
      <c r="E1129" s="63">
        <v>2</v>
      </c>
      <c r="F1129" s="63">
        <v>2</v>
      </c>
      <c r="G1129" s="63" t="s">
        <v>7</v>
      </c>
    </row>
    <row r="1130" spans="1:7">
      <c r="A1130" t="s">
        <v>84</v>
      </c>
      <c r="B1130" s="1" t="s">
        <v>3</v>
      </c>
      <c r="C1130" s="63">
        <v>2019</v>
      </c>
      <c r="D1130" s="63">
        <v>4</v>
      </c>
      <c r="E1130" s="63">
        <v>2</v>
      </c>
      <c r="F1130" s="63">
        <v>2</v>
      </c>
      <c r="G1130" s="63" t="s">
        <v>7</v>
      </c>
    </row>
    <row r="1131" spans="1:7" hidden="1">
      <c r="A1131" t="s">
        <v>84</v>
      </c>
      <c r="B1131" s="1" t="s">
        <v>3</v>
      </c>
      <c r="C1131" s="63">
        <v>2020</v>
      </c>
      <c r="D1131" s="63">
        <v>3</v>
      </c>
      <c r="E1131" s="63">
        <v>3</v>
      </c>
      <c r="F1131" s="63" t="s">
        <v>7</v>
      </c>
      <c r="G1131" s="63" t="s">
        <v>7</v>
      </c>
    </row>
    <row r="1132" spans="1:7">
      <c r="A1132" t="s">
        <v>84</v>
      </c>
      <c r="B1132" s="1" t="s">
        <v>3</v>
      </c>
      <c r="C1132" s="63">
        <v>2021</v>
      </c>
      <c r="D1132" s="63">
        <v>11</v>
      </c>
      <c r="E1132" s="63">
        <v>9</v>
      </c>
      <c r="F1132" s="63">
        <v>2</v>
      </c>
      <c r="G1132" s="63" t="s">
        <v>7</v>
      </c>
    </row>
    <row r="1133" spans="1:7" hidden="1">
      <c r="A1133" t="s">
        <v>84</v>
      </c>
      <c r="B1133" s="1" t="s">
        <v>3</v>
      </c>
      <c r="C1133" s="63">
        <v>2022</v>
      </c>
      <c r="D1133" s="63">
        <v>11</v>
      </c>
      <c r="E1133" s="63">
        <v>10</v>
      </c>
      <c r="F1133" s="63">
        <v>1</v>
      </c>
      <c r="G1133" s="63" t="s">
        <v>7</v>
      </c>
    </row>
    <row r="1134" spans="1:7" hidden="1">
      <c r="A1134" t="s">
        <v>84</v>
      </c>
      <c r="B1134" s="1" t="s">
        <v>3</v>
      </c>
      <c r="C1134" s="63">
        <v>2023</v>
      </c>
      <c r="D1134" s="63">
        <v>21</v>
      </c>
      <c r="E1134" s="63">
        <v>19</v>
      </c>
      <c r="F1134" s="63">
        <v>2</v>
      </c>
      <c r="G1134" s="63" t="s">
        <v>7</v>
      </c>
    </row>
    <row r="1135" spans="1:7" hidden="1">
      <c r="A1135" t="s">
        <v>84</v>
      </c>
      <c r="B1135" s="1" t="s">
        <v>3</v>
      </c>
      <c r="C1135" s="63">
        <v>2024</v>
      </c>
      <c r="D1135" s="63">
        <v>18</v>
      </c>
      <c r="E1135" s="63">
        <v>17</v>
      </c>
      <c r="F1135" s="63">
        <v>1</v>
      </c>
      <c r="G1135" s="63" t="s">
        <v>7</v>
      </c>
    </row>
    <row r="1136" spans="1:7" hidden="1">
      <c r="A1136" t="s">
        <v>84</v>
      </c>
      <c r="B1136" s="1" t="s">
        <v>35</v>
      </c>
      <c r="C1136" s="2">
        <v>1990</v>
      </c>
      <c r="D1136" s="2">
        <v>5</v>
      </c>
      <c r="E1136" s="2">
        <v>5</v>
      </c>
      <c r="F1136" s="1" t="s">
        <v>7</v>
      </c>
      <c r="G1136" s="1" t="s">
        <v>7</v>
      </c>
    </row>
    <row r="1137" spans="1:7" hidden="1">
      <c r="A1137" t="s">
        <v>84</v>
      </c>
      <c r="B1137" s="1" t="s">
        <v>36</v>
      </c>
      <c r="C1137" s="2">
        <v>1991</v>
      </c>
      <c r="D1137" s="2">
        <v>1</v>
      </c>
      <c r="E1137" s="2">
        <v>1</v>
      </c>
      <c r="F1137" s="1" t="s">
        <v>7</v>
      </c>
      <c r="G1137" s="1" t="s">
        <v>7</v>
      </c>
    </row>
    <row r="1138" spans="1:7" hidden="1">
      <c r="A1138" t="s">
        <v>84</v>
      </c>
      <c r="B1138" s="1" t="s">
        <v>38</v>
      </c>
      <c r="C1138" s="2">
        <v>1993</v>
      </c>
      <c r="D1138" s="2">
        <v>1</v>
      </c>
      <c r="E1138" s="2">
        <v>1</v>
      </c>
      <c r="F1138" s="1" t="s">
        <v>7</v>
      </c>
      <c r="G1138" s="1" t="s">
        <v>7</v>
      </c>
    </row>
    <row r="1139" spans="1:7" hidden="1">
      <c r="A1139" t="s">
        <v>84</v>
      </c>
      <c r="B1139" s="1" t="s">
        <v>39</v>
      </c>
      <c r="C1139" s="2">
        <v>1994</v>
      </c>
      <c r="D1139" s="2">
        <v>3</v>
      </c>
      <c r="E1139" s="2">
        <v>3</v>
      </c>
      <c r="F1139" s="1" t="s">
        <v>7</v>
      </c>
      <c r="G1139" s="1" t="s">
        <v>7</v>
      </c>
    </row>
    <row r="1140" spans="1:7" hidden="1">
      <c r="A1140" t="s">
        <v>84</v>
      </c>
      <c r="B1140" s="1" t="s">
        <v>40</v>
      </c>
      <c r="C1140" s="2">
        <v>1995</v>
      </c>
      <c r="D1140" s="2">
        <v>3</v>
      </c>
      <c r="E1140" s="2">
        <v>2</v>
      </c>
      <c r="F1140" s="2">
        <v>1</v>
      </c>
      <c r="G1140" s="1" t="s">
        <v>7</v>
      </c>
    </row>
    <row r="1141" spans="1:7" hidden="1">
      <c r="A1141" t="s">
        <v>84</v>
      </c>
      <c r="B1141" s="1" t="s">
        <v>42</v>
      </c>
      <c r="C1141" s="2">
        <v>1997</v>
      </c>
      <c r="D1141" s="2">
        <v>4</v>
      </c>
      <c r="E1141" s="2">
        <v>4</v>
      </c>
      <c r="F1141" s="1" t="s">
        <v>7</v>
      </c>
      <c r="G1141" s="1" t="s">
        <v>7</v>
      </c>
    </row>
    <row r="1142" spans="1:7" hidden="1">
      <c r="A1142" t="s">
        <v>84</v>
      </c>
      <c r="B1142" s="1" t="s">
        <v>43</v>
      </c>
      <c r="C1142" s="2">
        <v>1998</v>
      </c>
      <c r="D1142" s="2">
        <v>4</v>
      </c>
      <c r="E1142" s="2">
        <v>4</v>
      </c>
      <c r="F1142" s="1" t="s">
        <v>7</v>
      </c>
      <c r="G1142" s="1" t="s">
        <v>7</v>
      </c>
    </row>
    <row r="1143" spans="1:7" hidden="1">
      <c r="A1143" t="s">
        <v>84</v>
      </c>
      <c r="B1143" s="1" t="s">
        <v>44</v>
      </c>
      <c r="C1143" s="2">
        <v>1999</v>
      </c>
      <c r="D1143" s="2">
        <v>1</v>
      </c>
      <c r="E1143" s="2">
        <v>1</v>
      </c>
      <c r="F1143" s="1" t="s">
        <v>7</v>
      </c>
      <c r="G1143" s="1" t="s">
        <v>7</v>
      </c>
    </row>
    <row r="1144" spans="1:7" hidden="1">
      <c r="A1144" t="s">
        <v>84</v>
      </c>
      <c r="B1144" s="1" t="s">
        <v>45</v>
      </c>
      <c r="C1144" s="2">
        <v>2000</v>
      </c>
      <c r="D1144" s="2">
        <v>3</v>
      </c>
      <c r="E1144" s="2">
        <v>3</v>
      </c>
      <c r="F1144" s="1" t="s">
        <v>7</v>
      </c>
      <c r="G1144" s="1" t="s">
        <v>7</v>
      </c>
    </row>
    <row r="1145" spans="1:7" hidden="1">
      <c r="A1145" t="s">
        <v>84</v>
      </c>
      <c r="B1145" s="1" t="s">
        <v>47</v>
      </c>
      <c r="C1145" s="2">
        <v>2002</v>
      </c>
      <c r="D1145" s="2">
        <v>1</v>
      </c>
      <c r="E1145" s="2">
        <v>1</v>
      </c>
      <c r="F1145" s="1" t="s">
        <v>7</v>
      </c>
      <c r="G1145" s="1" t="s">
        <v>7</v>
      </c>
    </row>
    <row r="1146" spans="1:7" hidden="1">
      <c r="A1146" t="s">
        <v>84</v>
      </c>
      <c r="B1146" s="1" t="s">
        <v>48</v>
      </c>
      <c r="C1146" s="2">
        <v>2003</v>
      </c>
      <c r="D1146" s="2">
        <v>1</v>
      </c>
      <c r="E1146" s="2">
        <v>1</v>
      </c>
      <c r="F1146" s="1" t="s">
        <v>7</v>
      </c>
      <c r="G1146" s="1" t="s">
        <v>7</v>
      </c>
    </row>
    <row r="1147" spans="1:7" hidden="1">
      <c r="A1147" t="s">
        <v>84</v>
      </c>
      <c r="B1147" s="1" t="s">
        <v>49</v>
      </c>
      <c r="C1147" s="2">
        <v>2004</v>
      </c>
      <c r="D1147" s="2">
        <v>1</v>
      </c>
      <c r="E1147" s="2">
        <v>1</v>
      </c>
      <c r="F1147" s="1" t="s">
        <v>7</v>
      </c>
      <c r="G1147" s="1" t="s">
        <v>7</v>
      </c>
    </row>
    <row r="1148" spans="1:7" hidden="1">
      <c r="A1148" t="s">
        <v>84</v>
      </c>
      <c r="B1148" s="1" t="s">
        <v>50</v>
      </c>
      <c r="C1148" s="2">
        <v>2005</v>
      </c>
      <c r="D1148" s="2">
        <v>2</v>
      </c>
      <c r="E1148" s="2">
        <v>2</v>
      </c>
      <c r="F1148" s="1" t="s">
        <v>7</v>
      </c>
      <c r="G1148" s="1" t="s">
        <v>7</v>
      </c>
    </row>
    <row r="1149" spans="1:7" hidden="1">
      <c r="A1149" t="s">
        <v>84</v>
      </c>
      <c r="B1149" s="1" t="s">
        <v>52</v>
      </c>
      <c r="C1149" s="2">
        <v>2007</v>
      </c>
      <c r="D1149" s="2">
        <v>1</v>
      </c>
      <c r="E1149" s="2">
        <v>1</v>
      </c>
      <c r="F1149" s="1" t="s">
        <v>7</v>
      </c>
      <c r="G1149" s="1" t="s">
        <v>7</v>
      </c>
    </row>
    <row r="1150" spans="1:7" hidden="1">
      <c r="A1150" t="s">
        <v>84</v>
      </c>
      <c r="B1150" s="1" t="s">
        <v>53</v>
      </c>
      <c r="C1150" s="2">
        <v>2008</v>
      </c>
      <c r="D1150" s="2">
        <v>1</v>
      </c>
      <c r="E1150" s="2">
        <v>1</v>
      </c>
      <c r="F1150" s="1" t="s">
        <v>7</v>
      </c>
      <c r="G1150" s="1" t="s">
        <v>7</v>
      </c>
    </row>
    <row r="1151" spans="1:7" hidden="1">
      <c r="A1151" t="s">
        <v>84</v>
      </c>
      <c r="B1151" s="1" t="s">
        <v>55</v>
      </c>
      <c r="C1151" s="2">
        <v>2010</v>
      </c>
      <c r="D1151" s="2">
        <v>2</v>
      </c>
      <c r="E1151" s="2">
        <v>1</v>
      </c>
      <c r="F1151" s="2">
        <v>1</v>
      </c>
      <c r="G1151" s="1" t="s">
        <v>7</v>
      </c>
    </row>
    <row r="1152" spans="1:7" hidden="1">
      <c r="A1152" t="s">
        <v>84</v>
      </c>
      <c r="B1152" s="1" t="s">
        <v>56</v>
      </c>
      <c r="C1152" s="2">
        <v>2011</v>
      </c>
      <c r="D1152" s="2">
        <v>6</v>
      </c>
      <c r="E1152" s="2">
        <v>6</v>
      </c>
      <c r="F1152" s="1" t="s">
        <v>7</v>
      </c>
      <c r="G1152" s="1" t="s">
        <v>7</v>
      </c>
    </row>
    <row r="1153" spans="1:7" hidden="1">
      <c r="A1153" t="s">
        <v>84</v>
      </c>
      <c r="B1153" s="1" t="s">
        <v>57</v>
      </c>
      <c r="C1153" s="2">
        <v>2012</v>
      </c>
      <c r="D1153" s="2">
        <v>3</v>
      </c>
      <c r="E1153" s="2">
        <v>2</v>
      </c>
      <c r="F1153" s="2">
        <v>1</v>
      </c>
      <c r="G1153" s="1" t="s">
        <v>7</v>
      </c>
    </row>
    <row r="1154" spans="1:7" hidden="1">
      <c r="A1154" t="s">
        <v>84</v>
      </c>
      <c r="B1154" s="1" t="s">
        <v>58</v>
      </c>
      <c r="C1154" s="2">
        <v>2013</v>
      </c>
      <c r="D1154" s="2">
        <v>2</v>
      </c>
      <c r="E1154" s="2">
        <v>2</v>
      </c>
      <c r="F1154" s="1" t="s">
        <v>7</v>
      </c>
      <c r="G1154" s="1" t="s">
        <v>7</v>
      </c>
    </row>
    <row r="1155" spans="1:7" hidden="1">
      <c r="A1155" t="s">
        <v>84</v>
      </c>
      <c r="B1155" s="1" t="s">
        <v>58</v>
      </c>
      <c r="C1155" s="2">
        <v>2014</v>
      </c>
      <c r="D1155" s="2">
        <v>1</v>
      </c>
      <c r="E1155" s="2">
        <v>1</v>
      </c>
      <c r="F1155" s="1" t="s">
        <v>7</v>
      </c>
      <c r="G1155" s="1" t="s">
        <v>7</v>
      </c>
    </row>
    <row r="1156" spans="1:7" hidden="1">
      <c r="A1156" t="s">
        <v>84</v>
      </c>
      <c r="B1156" s="1" t="s">
        <v>59</v>
      </c>
      <c r="C1156" s="2">
        <v>2014</v>
      </c>
      <c r="D1156" s="2">
        <v>5</v>
      </c>
      <c r="E1156" s="2">
        <v>5</v>
      </c>
      <c r="F1156" s="1" t="s">
        <v>7</v>
      </c>
      <c r="G1156" s="1" t="s">
        <v>7</v>
      </c>
    </row>
    <row r="1157" spans="1:7" hidden="1">
      <c r="A1157" t="s">
        <v>84</v>
      </c>
      <c r="B1157" s="1" t="s">
        <v>60</v>
      </c>
      <c r="C1157" s="2">
        <v>2015</v>
      </c>
      <c r="D1157" s="2">
        <v>4</v>
      </c>
      <c r="E1157" s="2">
        <v>4</v>
      </c>
      <c r="F1157" s="1" t="s">
        <v>7</v>
      </c>
      <c r="G1157" s="1" t="s">
        <v>7</v>
      </c>
    </row>
    <row r="1158" spans="1:7" hidden="1">
      <c r="A1158" t="s">
        <v>84</v>
      </c>
      <c r="B1158" s="1" t="s">
        <v>61</v>
      </c>
      <c r="C1158" s="2">
        <v>2016</v>
      </c>
      <c r="D1158" s="2">
        <v>5</v>
      </c>
      <c r="E1158" s="2">
        <v>4</v>
      </c>
      <c r="F1158" s="2">
        <v>1</v>
      </c>
      <c r="G1158" s="1" t="s">
        <v>7</v>
      </c>
    </row>
    <row r="1159" spans="1:7" hidden="1">
      <c r="A1159" t="s">
        <v>84</v>
      </c>
      <c r="B1159" s="1" t="s">
        <v>62</v>
      </c>
      <c r="C1159" s="2">
        <v>2017</v>
      </c>
      <c r="D1159" s="2">
        <v>5</v>
      </c>
      <c r="E1159" s="2">
        <v>4</v>
      </c>
      <c r="F1159" s="2">
        <v>1</v>
      </c>
      <c r="G1159" s="1" t="s">
        <v>7</v>
      </c>
    </row>
    <row r="1160" spans="1:7" hidden="1">
      <c r="A1160" t="s">
        <v>84</v>
      </c>
      <c r="B1160" s="1" t="s">
        <v>63</v>
      </c>
      <c r="C1160" s="2">
        <v>2018</v>
      </c>
      <c r="D1160" s="2">
        <v>4</v>
      </c>
      <c r="E1160" s="2">
        <v>2</v>
      </c>
      <c r="F1160" s="2">
        <v>2</v>
      </c>
      <c r="G1160" s="1" t="s">
        <v>7</v>
      </c>
    </row>
    <row r="1161" spans="1:7" hidden="1">
      <c r="A1161" t="s">
        <v>84</v>
      </c>
      <c r="B1161" s="1" t="s">
        <v>64</v>
      </c>
      <c r="C1161" s="2">
        <v>2019</v>
      </c>
      <c r="D1161" s="2">
        <v>4</v>
      </c>
      <c r="E1161" s="2">
        <v>2</v>
      </c>
      <c r="F1161" s="2">
        <v>2</v>
      </c>
      <c r="G1161" s="1" t="s">
        <v>7</v>
      </c>
    </row>
    <row r="1162" spans="1:7" hidden="1">
      <c r="A1162" t="s">
        <v>84</v>
      </c>
      <c r="B1162" s="1" t="s">
        <v>65</v>
      </c>
      <c r="C1162" s="2">
        <v>2020</v>
      </c>
      <c r="D1162" s="2">
        <v>3</v>
      </c>
      <c r="E1162" s="2">
        <v>3</v>
      </c>
      <c r="F1162" s="1" t="s">
        <v>7</v>
      </c>
      <c r="G1162" s="1" t="s">
        <v>7</v>
      </c>
    </row>
    <row r="1163" spans="1:7" hidden="1">
      <c r="A1163" t="s">
        <v>84</v>
      </c>
      <c r="B1163" s="1" t="s">
        <v>66</v>
      </c>
      <c r="C1163" s="2">
        <v>2021</v>
      </c>
      <c r="D1163" s="2">
        <v>11</v>
      </c>
      <c r="E1163" s="2">
        <v>9</v>
      </c>
      <c r="F1163" s="2">
        <v>2</v>
      </c>
      <c r="G1163" s="1" t="s">
        <v>7</v>
      </c>
    </row>
    <row r="1164" spans="1:7" hidden="1">
      <c r="A1164" t="s">
        <v>84</v>
      </c>
      <c r="B1164" s="1" t="s">
        <v>67</v>
      </c>
      <c r="C1164" s="2">
        <v>2022</v>
      </c>
      <c r="D1164" s="2">
        <v>11</v>
      </c>
      <c r="E1164" s="2">
        <v>10</v>
      </c>
      <c r="F1164" s="2">
        <v>1</v>
      </c>
      <c r="G1164" s="1" t="s">
        <v>7</v>
      </c>
    </row>
    <row r="1165" spans="1:7" hidden="1">
      <c r="A1165" t="s">
        <v>84</v>
      </c>
      <c r="B1165" s="1" t="s">
        <v>67</v>
      </c>
      <c r="C1165" s="2">
        <v>2024</v>
      </c>
      <c r="D1165" s="2">
        <v>1</v>
      </c>
      <c r="E1165" s="2">
        <v>1</v>
      </c>
      <c r="F1165" s="1" t="s">
        <v>7</v>
      </c>
      <c r="G1165" s="1" t="s">
        <v>7</v>
      </c>
    </row>
    <row r="1166" spans="1:7" hidden="1">
      <c r="A1166" t="s">
        <v>84</v>
      </c>
      <c r="B1166" s="1" t="s">
        <v>68</v>
      </c>
      <c r="C1166" s="2">
        <v>2023</v>
      </c>
      <c r="D1166" s="2">
        <v>20</v>
      </c>
      <c r="E1166" s="2">
        <v>18</v>
      </c>
      <c r="F1166" s="2">
        <v>2</v>
      </c>
      <c r="G1166" s="1" t="s">
        <v>7</v>
      </c>
    </row>
    <row r="1167" spans="1:7" hidden="1">
      <c r="A1167" t="s">
        <v>84</v>
      </c>
      <c r="B1167" s="1" t="s">
        <v>69</v>
      </c>
      <c r="C1167" s="2">
        <v>2024</v>
      </c>
      <c r="D1167" s="2">
        <v>17</v>
      </c>
      <c r="E1167" s="2">
        <v>16</v>
      </c>
      <c r="F1167" s="2">
        <v>1</v>
      </c>
      <c r="G1167" s="1" t="s">
        <v>7</v>
      </c>
    </row>
    <row r="1168" spans="1:7" hidden="1">
      <c r="A1168" t="s">
        <v>84</v>
      </c>
      <c r="B1168" s="1" t="s">
        <v>6</v>
      </c>
      <c r="C1168" s="2">
        <v>1991</v>
      </c>
      <c r="D1168" s="2">
        <v>1</v>
      </c>
      <c r="E1168" s="2">
        <v>1</v>
      </c>
      <c r="F1168" s="1" t="s">
        <v>7</v>
      </c>
      <c r="G1168" s="1" t="s">
        <v>7</v>
      </c>
    </row>
    <row r="1169" spans="1:7" hidden="1">
      <c r="A1169" t="s">
        <v>84</v>
      </c>
      <c r="B1169" s="1" t="s">
        <v>6</v>
      </c>
      <c r="C1169" s="2">
        <v>2023</v>
      </c>
      <c r="D1169" s="2">
        <v>1</v>
      </c>
      <c r="E1169" s="2">
        <v>1</v>
      </c>
      <c r="F1169" s="1" t="s">
        <v>7</v>
      </c>
      <c r="G1169" s="1" t="s">
        <v>7</v>
      </c>
    </row>
    <row r="1170" spans="1:7" hidden="1">
      <c r="A1170" t="s">
        <v>85</v>
      </c>
      <c r="B1170" s="1" t="s">
        <v>3</v>
      </c>
      <c r="C1170" s="63">
        <v>1990</v>
      </c>
      <c r="D1170" s="63">
        <v>1</v>
      </c>
      <c r="E1170" s="63">
        <v>1</v>
      </c>
      <c r="F1170" s="63" t="s">
        <v>7</v>
      </c>
      <c r="G1170" s="63" t="s">
        <v>7</v>
      </c>
    </row>
    <row r="1171" spans="1:7" hidden="1">
      <c r="A1171" t="s">
        <v>85</v>
      </c>
      <c r="B1171" s="1" t="s">
        <v>3</v>
      </c>
      <c r="C1171" s="63">
        <v>1991</v>
      </c>
      <c r="D1171" s="63">
        <v>2</v>
      </c>
      <c r="E1171" s="63">
        <v>2</v>
      </c>
      <c r="F1171" s="63" t="s">
        <v>7</v>
      </c>
      <c r="G1171" s="63" t="s">
        <v>7</v>
      </c>
    </row>
    <row r="1172" spans="1:7" hidden="1">
      <c r="A1172" t="s">
        <v>85</v>
      </c>
      <c r="B1172" s="1" t="s">
        <v>3</v>
      </c>
      <c r="C1172" s="63">
        <v>1994</v>
      </c>
      <c r="D1172" s="63">
        <v>1</v>
      </c>
      <c r="E1172" s="63">
        <v>1</v>
      </c>
      <c r="F1172" s="63" t="s">
        <v>7</v>
      </c>
      <c r="G1172" s="63" t="s">
        <v>7</v>
      </c>
    </row>
    <row r="1173" spans="1:7" hidden="1">
      <c r="A1173" t="s">
        <v>85</v>
      </c>
      <c r="B1173" s="1" t="s">
        <v>3</v>
      </c>
      <c r="C1173" s="63">
        <v>1995</v>
      </c>
      <c r="D1173" s="63">
        <v>2</v>
      </c>
      <c r="E1173" s="63">
        <v>2</v>
      </c>
      <c r="F1173" s="63" t="s">
        <v>7</v>
      </c>
      <c r="G1173" s="63" t="s">
        <v>7</v>
      </c>
    </row>
    <row r="1174" spans="1:7" hidden="1">
      <c r="A1174" t="s">
        <v>85</v>
      </c>
      <c r="B1174" s="1" t="s">
        <v>3</v>
      </c>
      <c r="C1174" s="63">
        <v>1996</v>
      </c>
      <c r="D1174" s="63">
        <v>1</v>
      </c>
      <c r="E1174" s="63">
        <v>1</v>
      </c>
      <c r="F1174" s="63" t="s">
        <v>7</v>
      </c>
      <c r="G1174" s="63" t="s">
        <v>7</v>
      </c>
    </row>
    <row r="1175" spans="1:7" hidden="1">
      <c r="A1175" t="s">
        <v>85</v>
      </c>
      <c r="B1175" s="1" t="s">
        <v>3</v>
      </c>
      <c r="C1175" s="63">
        <v>1998</v>
      </c>
      <c r="D1175" s="63">
        <v>3</v>
      </c>
      <c r="E1175" s="63">
        <v>2</v>
      </c>
      <c r="F1175" s="63">
        <v>1</v>
      </c>
      <c r="G1175" s="63" t="s">
        <v>7</v>
      </c>
    </row>
    <row r="1176" spans="1:7" hidden="1">
      <c r="A1176" t="s">
        <v>85</v>
      </c>
      <c r="B1176" s="1" t="s">
        <v>3</v>
      </c>
      <c r="C1176" s="63">
        <v>1999</v>
      </c>
      <c r="D1176" s="63">
        <v>1</v>
      </c>
      <c r="E1176" s="63">
        <v>1</v>
      </c>
      <c r="F1176" s="63" t="s">
        <v>7</v>
      </c>
      <c r="G1176" s="63" t="s">
        <v>7</v>
      </c>
    </row>
    <row r="1177" spans="1:7" hidden="1">
      <c r="A1177" t="s">
        <v>85</v>
      </c>
      <c r="B1177" s="1" t="s">
        <v>3</v>
      </c>
      <c r="C1177" s="63">
        <v>2001</v>
      </c>
      <c r="D1177" s="63">
        <v>5</v>
      </c>
      <c r="E1177" s="63">
        <v>5</v>
      </c>
      <c r="F1177" s="63" t="s">
        <v>7</v>
      </c>
      <c r="G1177" s="63" t="s">
        <v>7</v>
      </c>
    </row>
    <row r="1178" spans="1:7" hidden="1">
      <c r="A1178" t="s">
        <v>85</v>
      </c>
      <c r="B1178" s="1" t="s">
        <v>3</v>
      </c>
      <c r="C1178" s="63">
        <v>2004</v>
      </c>
      <c r="D1178" s="63">
        <v>1</v>
      </c>
      <c r="E1178" s="63">
        <v>1</v>
      </c>
      <c r="F1178" s="63" t="s">
        <v>7</v>
      </c>
      <c r="G1178" s="63" t="s">
        <v>7</v>
      </c>
    </row>
    <row r="1179" spans="1:7" hidden="1">
      <c r="A1179" t="s">
        <v>85</v>
      </c>
      <c r="B1179" s="1" t="s">
        <v>3</v>
      </c>
      <c r="C1179" s="63">
        <v>2005</v>
      </c>
      <c r="D1179" s="63">
        <v>3</v>
      </c>
      <c r="E1179" s="63">
        <v>3</v>
      </c>
      <c r="F1179" s="63" t="s">
        <v>7</v>
      </c>
      <c r="G1179" s="63" t="s">
        <v>7</v>
      </c>
    </row>
    <row r="1180" spans="1:7" hidden="1">
      <c r="A1180" t="s">
        <v>85</v>
      </c>
      <c r="B1180" s="1" t="s">
        <v>3</v>
      </c>
      <c r="C1180" s="63">
        <v>2006</v>
      </c>
      <c r="D1180" s="63">
        <v>1</v>
      </c>
      <c r="E1180" s="63" t="s">
        <v>7</v>
      </c>
      <c r="F1180" s="63">
        <v>1</v>
      </c>
      <c r="G1180" s="63" t="s">
        <v>7</v>
      </c>
    </row>
    <row r="1181" spans="1:7" hidden="1">
      <c r="A1181" t="s">
        <v>85</v>
      </c>
      <c r="B1181" s="1" t="s">
        <v>3</v>
      </c>
      <c r="C1181" s="63">
        <v>2008</v>
      </c>
      <c r="D1181" s="63">
        <v>1</v>
      </c>
      <c r="E1181" s="63">
        <v>1</v>
      </c>
      <c r="F1181" s="63" t="s">
        <v>7</v>
      </c>
      <c r="G1181" s="63" t="s">
        <v>7</v>
      </c>
    </row>
    <row r="1182" spans="1:7" hidden="1">
      <c r="A1182" t="s">
        <v>85</v>
      </c>
      <c r="B1182" s="1" t="s">
        <v>3</v>
      </c>
      <c r="C1182" s="63">
        <v>2009</v>
      </c>
      <c r="D1182" s="63">
        <v>2</v>
      </c>
      <c r="E1182" s="63">
        <v>1</v>
      </c>
      <c r="F1182" s="63">
        <v>1</v>
      </c>
      <c r="G1182" s="63" t="s">
        <v>7</v>
      </c>
    </row>
    <row r="1183" spans="1:7">
      <c r="A1183" t="s">
        <v>85</v>
      </c>
      <c r="B1183" s="1" t="s">
        <v>3</v>
      </c>
      <c r="C1183" s="63">
        <v>2010</v>
      </c>
      <c r="D1183" s="63">
        <v>1</v>
      </c>
      <c r="E1183" s="63">
        <v>1</v>
      </c>
      <c r="F1183" s="63" t="s">
        <v>7</v>
      </c>
      <c r="G1183" s="63" t="s">
        <v>7</v>
      </c>
    </row>
    <row r="1184" spans="1:7" hidden="1">
      <c r="A1184" t="s">
        <v>85</v>
      </c>
      <c r="B1184" s="1" t="s">
        <v>3</v>
      </c>
      <c r="C1184" s="63">
        <v>2012</v>
      </c>
      <c r="D1184" s="63">
        <v>2</v>
      </c>
      <c r="E1184" s="63" t="s">
        <v>7</v>
      </c>
      <c r="F1184" s="63">
        <v>2</v>
      </c>
      <c r="G1184" s="63" t="s">
        <v>7</v>
      </c>
    </row>
    <row r="1185" spans="1:7" hidden="1">
      <c r="A1185" t="s">
        <v>85</v>
      </c>
      <c r="B1185" s="1" t="s">
        <v>3</v>
      </c>
      <c r="C1185" s="63">
        <v>2014</v>
      </c>
      <c r="D1185" s="63">
        <v>1</v>
      </c>
      <c r="E1185" s="63">
        <v>1</v>
      </c>
      <c r="F1185" s="63" t="s">
        <v>7</v>
      </c>
      <c r="G1185" s="63" t="s">
        <v>7</v>
      </c>
    </row>
    <row r="1186" spans="1:7" hidden="1">
      <c r="A1186" t="s">
        <v>85</v>
      </c>
      <c r="B1186" s="1" t="s">
        <v>3</v>
      </c>
      <c r="C1186" s="63">
        <v>2015</v>
      </c>
      <c r="D1186" s="63">
        <v>1</v>
      </c>
      <c r="E1186" s="63">
        <v>1</v>
      </c>
      <c r="F1186" s="63" t="s">
        <v>7</v>
      </c>
      <c r="G1186" s="63" t="s">
        <v>7</v>
      </c>
    </row>
    <row r="1187" spans="1:7" hidden="1">
      <c r="A1187" t="s">
        <v>85</v>
      </c>
      <c r="B1187" s="1" t="s">
        <v>3</v>
      </c>
      <c r="C1187" s="63">
        <v>2016</v>
      </c>
      <c r="D1187" s="63">
        <v>2</v>
      </c>
      <c r="E1187" s="63">
        <v>2</v>
      </c>
      <c r="F1187" s="63" t="s">
        <v>7</v>
      </c>
      <c r="G1187" s="63" t="s">
        <v>7</v>
      </c>
    </row>
    <row r="1188" spans="1:7" hidden="1">
      <c r="A1188" t="s">
        <v>85</v>
      </c>
      <c r="B1188" s="1" t="s">
        <v>3</v>
      </c>
      <c r="C1188" s="63">
        <v>2017</v>
      </c>
      <c r="D1188" s="63">
        <v>3</v>
      </c>
      <c r="E1188" s="63">
        <v>3</v>
      </c>
      <c r="F1188" s="63" t="s">
        <v>7</v>
      </c>
      <c r="G1188" s="63" t="s">
        <v>7</v>
      </c>
    </row>
    <row r="1189" spans="1:7" hidden="1">
      <c r="A1189" t="s">
        <v>85</v>
      </c>
      <c r="B1189" s="1" t="s">
        <v>3</v>
      </c>
      <c r="C1189" s="63">
        <v>2018</v>
      </c>
      <c r="D1189" s="63">
        <v>7</v>
      </c>
      <c r="E1189" s="63">
        <v>4</v>
      </c>
      <c r="F1189" s="63">
        <v>3</v>
      </c>
      <c r="G1189" s="63" t="s">
        <v>7</v>
      </c>
    </row>
    <row r="1190" spans="1:7">
      <c r="A1190" t="s">
        <v>85</v>
      </c>
      <c r="B1190" s="1" t="s">
        <v>3</v>
      </c>
      <c r="C1190" s="63">
        <v>2019</v>
      </c>
      <c r="D1190" s="63">
        <v>6</v>
      </c>
      <c r="E1190" s="63">
        <v>6</v>
      </c>
      <c r="F1190" s="63" t="s">
        <v>7</v>
      </c>
      <c r="G1190" s="63" t="s">
        <v>7</v>
      </c>
    </row>
    <row r="1191" spans="1:7" hidden="1">
      <c r="A1191" t="s">
        <v>85</v>
      </c>
      <c r="B1191" s="1" t="s">
        <v>3</v>
      </c>
      <c r="C1191" s="63">
        <v>2020</v>
      </c>
      <c r="D1191" s="63">
        <v>4</v>
      </c>
      <c r="E1191" s="63">
        <v>4</v>
      </c>
      <c r="F1191" s="63" t="s">
        <v>7</v>
      </c>
      <c r="G1191" s="63" t="s">
        <v>7</v>
      </c>
    </row>
    <row r="1192" spans="1:7">
      <c r="A1192" t="s">
        <v>85</v>
      </c>
      <c r="B1192" s="1" t="s">
        <v>3</v>
      </c>
      <c r="C1192" s="63">
        <v>2021</v>
      </c>
      <c r="D1192" s="63">
        <v>3</v>
      </c>
      <c r="E1192" s="63">
        <v>2</v>
      </c>
      <c r="F1192" s="63">
        <v>1</v>
      </c>
      <c r="G1192" s="63" t="s">
        <v>7</v>
      </c>
    </row>
    <row r="1193" spans="1:7" hidden="1">
      <c r="A1193" t="s">
        <v>85</v>
      </c>
      <c r="B1193" s="1" t="s">
        <v>3</v>
      </c>
      <c r="C1193" s="63">
        <v>2022</v>
      </c>
      <c r="D1193" s="63">
        <v>4</v>
      </c>
      <c r="E1193" s="63">
        <v>4</v>
      </c>
      <c r="F1193" s="63" t="s">
        <v>7</v>
      </c>
      <c r="G1193" s="63" t="s">
        <v>7</v>
      </c>
    </row>
    <row r="1194" spans="1:7" hidden="1">
      <c r="A1194" t="s">
        <v>85</v>
      </c>
      <c r="B1194" s="1" t="s">
        <v>3</v>
      </c>
      <c r="C1194" s="63">
        <v>2023</v>
      </c>
      <c r="D1194" s="63">
        <v>8</v>
      </c>
      <c r="E1194" s="63">
        <v>6</v>
      </c>
      <c r="F1194" s="63">
        <v>2</v>
      </c>
      <c r="G1194" s="63" t="s">
        <v>7</v>
      </c>
    </row>
    <row r="1195" spans="1:7" hidden="1">
      <c r="A1195" t="s">
        <v>85</v>
      </c>
      <c r="B1195" s="1" t="s">
        <v>3</v>
      </c>
      <c r="C1195" s="63">
        <v>2024</v>
      </c>
      <c r="D1195" s="63">
        <v>8</v>
      </c>
      <c r="E1195" s="63">
        <v>8</v>
      </c>
      <c r="F1195" s="63" t="s">
        <v>7</v>
      </c>
      <c r="G1195" s="63" t="s">
        <v>7</v>
      </c>
    </row>
    <row r="1196" spans="1:7" hidden="1">
      <c r="A1196" t="s">
        <v>85</v>
      </c>
      <c r="B1196" s="1" t="s">
        <v>35</v>
      </c>
      <c r="C1196" s="2">
        <v>1990</v>
      </c>
      <c r="D1196" s="2">
        <v>1</v>
      </c>
      <c r="E1196" s="2">
        <v>1</v>
      </c>
      <c r="F1196" s="1" t="s">
        <v>7</v>
      </c>
      <c r="G1196" s="1" t="s">
        <v>7</v>
      </c>
    </row>
    <row r="1197" spans="1:7" hidden="1">
      <c r="A1197" t="s">
        <v>85</v>
      </c>
      <c r="B1197" s="1" t="s">
        <v>36</v>
      </c>
      <c r="C1197" s="2">
        <v>1991</v>
      </c>
      <c r="D1197" s="2">
        <v>2</v>
      </c>
      <c r="E1197" s="2">
        <v>2</v>
      </c>
      <c r="F1197" s="1" t="s">
        <v>7</v>
      </c>
      <c r="G1197" s="1" t="s">
        <v>7</v>
      </c>
    </row>
    <row r="1198" spans="1:7" hidden="1">
      <c r="A1198" t="s">
        <v>85</v>
      </c>
      <c r="B1198" s="1" t="s">
        <v>39</v>
      </c>
      <c r="C1198" s="2">
        <v>1994</v>
      </c>
      <c r="D1198" s="2">
        <v>1</v>
      </c>
      <c r="E1198" s="2">
        <v>1</v>
      </c>
      <c r="F1198" s="1" t="s">
        <v>7</v>
      </c>
      <c r="G1198" s="1" t="s">
        <v>7</v>
      </c>
    </row>
    <row r="1199" spans="1:7" hidden="1">
      <c r="A1199" t="s">
        <v>85</v>
      </c>
      <c r="B1199" s="1" t="s">
        <v>40</v>
      </c>
      <c r="C1199" s="2">
        <v>1995</v>
      </c>
      <c r="D1199" s="2">
        <v>2</v>
      </c>
      <c r="E1199" s="2">
        <v>2</v>
      </c>
      <c r="F1199" s="1" t="s">
        <v>7</v>
      </c>
      <c r="G1199" s="1" t="s">
        <v>7</v>
      </c>
    </row>
    <row r="1200" spans="1:7" hidden="1">
      <c r="A1200" t="s">
        <v>85</v>
      </c>
      <c r="B1200" s="1" t="s">
        <v>41</v>
      </c>
      <c r="C1200" s="2">
        <v>1996</v>
      </c>
      <c r="D1200" s="2">
        <v>1</v>
      </c>
      <c r="E1200" s="2">
        <v>1</v>
      </c>
      <c r="F1200" s="1" t="s">
        <v>7</v>
      </c>
      <c r="G1200" s="1" t="s">
        <v>7</v>
      </c>
    </row>
    <row r="1201" spans="1:7" hidden="1">
      <c r="A1201" t="s">
        <v>85</v>
      </c>
      <c r="B1201" s="1" t="s">
        <v>43</v>
      </c>
      <c r="C1201" s="2">
        <v>1998</v>
      </c>
      <c r="D1201" s="2">
        <v>3</v>
      </c>
      <c r="E1201" s="2">
        <v>2</v>
      </c>
      <c r="F1201" s="2">
        <v>1</v>
      </c>
      <c r="G1201" s="1" t="s">
        <v>7</v>
      </c>
    </row>
    <row r="1202" spans="1:7" hidden="1">
      <c r="A1202" t="s">
        <v>85</v>
      </c>
      <c r="B1202" s="1" t="s">
        <v>44</v>
      </c>
      <c r="C1202" s="2">
        <v>1999</v>
      </c>
      <c r="D1202" s="2">
        <v>1</v>
      </c>
      <c r="E1202" s="2">
        <v>1</v>
      </c>
      <c r="F1202" s="1" t="s">
        <v>7</v>
      </c>
      <c r="G1202" s="1" t="s">
        <v>7</v>
      </c>
    </row>
    <row r="1203" spans="1:7" hidden="1">
      <c r="A1203" t="s">
        <v>85</v>
      </c>
      <c r="B1203" s="1" t="s">
        <v>46</v>
      </c>
      <c r="C1203" s="2">
        <v>2001</v>
      </c>
      <c r="D1203" s="2">
        <v>5</v>
      </c>
      <c r="E1203" s="2">
        <v>5</v>
      </c>
      <c r="F1203" s="1" t="s">
        <v>7</v>
      </c>
      <c r="G1203" s="1" t="s">
        <v>7</v>
      </c>
    </row>
    <row r="1204" spans="1:7" hidden="1">
      <c r="A1204" t="s">
        <v>85</v>
      </c>
      <c r="B1204" s="1" t="s">
        <v>49</v>
      </c>
      <c r="C1204" s="2">
        <v>2004</v>
      </c>
      <c r="D1204" s="2">
        <v>1</v>
      </c>
      <c r="E1204" s="2">
        <v>1</v>
      </c>
      <c r="F1204" s="1" t="s">
        <v>7</v>
      </c>
      <c r="G1204" s="1" t="s">
        <v>7</v>
      </c>
    </row>
    <row r="1205" spans="1:7" hidden="1">
      <c r="A1205" t="s">
        <v>85</v>
      </c>
      <c r="B1205" s="1" t="s">
        <v>50</v>
      </c>
      <c r="C1205" s="2">
        <v>2005</v>
      </c>
      <c r="D1205" s="2">
        <v>3</v>
      </c>
      <c r="E1205" s="2">
        <v>3</v>
      </c>
      <c r="F1205" s="1" t="s">
        <v>7</v>
      </c>
      <c r="G1205" s="1" t="s">
        <v>7</v>
      </c>
    </row>
    <row r="1206" spans="1:7" hidden="1">
      <c r="A1206" t="s">
        <v>85</v>
      </c>
      <c r="B1206" s="1" t="s">
        <v>51</v>
      </c>
      <c r="C1206" s="2">
        <v>2006</v>
      </c>
      <c r="D1206" s="2">
        <v>1</v>
      </c>
      <c r="E1206" s="1" t="s">
        <v>7</v>
      </c>
      <c r="F1206" s="2">
        <v>1</v>
      </c>
      <c r="G1206" s="1" t="s">
        <v>7</v>
      </c>
    </row>
    <row r="1207" spans="1:7" hidden="1">
      <c r="A1207" t="s">
        <v>85</v>
      </c>
      <c r="B1207" s="1" t="s">
        <v>53</v>
      </c>
      <c r="C1207" s="2">
        <v>2008</v>
      </c>
      <c r="D1207" s="2">
        <v>1</v>
      </c>
      <c r="E1207" s="2">
        <v>1</v>
      </c>
      <c r="F1207" s="1" t="s">
        <v>7</v>
      </c>
      <c r="G1207" s="1" t="s">
        <v>7</v>
      </c>
    </row>
    <row r="1208" spans="1:7" hidden="1">
      <c r="A1208" t="s">
        <v>85</v>
      </c>
      <c r="B1208" s="1" t="s">
        <v>54</v>
      </c>
      <c r="C1208" s="2">
        <v>2009</v>
      </c>
      <c r="D1208" s="2">
        <v>2</v>
      </c>
      <c r="E1208" s="2">
        <v>1</v>
      </c>
      <c r="F1208" s="2">
        <v>1</v>
      </c>
      <c r="G1208" s="1" t="s">
        <v>7</v>
      </c>
    </row>
    <row r="1209" spans="1:7" hidden="1">
      <c r="A1209" t="s">
        <v>85</v>
      </c>
      <c r="B1209" s="1" t="s">
        <v>55</v>
      </c>
      <c r="C1209" s="2">
        <v>2010</v>
      </c>
      <c r="D1209" s="2">
        <v>1</v>
      </c>
      <c r="E1209" s="2">
        <v>1</v>
      </c>
      <c r="F1209" s="1" t="s">
        <v>7</v>
      </c>
      <c r="G1209" s="1" t="s">
        <v>7</v>
      </c>
    </row>
    <row r="1210" spans="1:7" hidden="1">
      <c r="A1210" t="s">
        <v>85</v>
      </c>
      <c r="B1210" s="1" t="s">
        <v>57</v>
      </c>
      <c r="C1210" s="2">
        <v>2012</v>
      </c>
      <c r="D1210" s="2">
        <v>2</v>
      </c>
      <c r="E1210" s="1" t="s">
        <v>7</v>
      </c>
      <c r="F1210" s="2">
        <v>2</v>
      </c>
      <c r="G1210" s="1" t="s">
        <v>7</v>
      </c>
    </row>
    <row r="1211" spans="1:7" hidden="1">
      <c r="A1211" t="s">
        <v>85</v>
      </c>
      <c r="B1211" s="1" t="s">
        <v>59</v>
      </c>
      <c r="C1211" s="2">
        <v>2014</v>
      </c>
      <c r="D1211" s="2">
        <v>1</v>
      </c>
      <c r="E1211" s="2">
        <v>1</v>
      </c>
      <c r="F1211" s="1" t="s">
        <v>7</v>
      </c>
      <c r="G1211" s="1" t="s">
        <v>7</v>
      </c>
    </row>
    <row r="1212" spans="1:7" hidden="1">
      <c r="A1212" t="s">
        <v>85</v>
      </c>
      <c r="B1212" s="1" t="s">
        <v>60</v>
      </c>
      <c r="C1212" s="2">
        <v>2015</v>
      </c>
      <c r="D1212" s="2">
        <v>1</v>
      </c>
      <c r="E1212" s="2">
        <v>1</v>
      </c>
      <c r="F1212" s="1" t="s">
        <v>7</v>
      </c>
      <c r="G1212" s="1" t="s">
        <v>7</v>
      </c>
    </row>
    <row r="1213" spans="1:7" hidden="1">
      <c r="A1213" t="s">
        <v>85</v>
      </c>
      <c r="B1213" s="1" t="s">
        <v>61</v>
      </c>
      <c r="C1213" s="2">
        <v>2016</v>
      </c>
      <c r="D1213" s="2">
        <v>2</v>
      </c>
      <c r="E1213" s="2">
        <v>2</v>
      </c>
      <c r="F1213" s="1" t="s">
        <v>7</v>
      </c>
      <c r="G1213" s="1" t="s">
        <v>7</v>
      </c>
    </row>
    <row r="1214" spans="1:7" hidden="1">
      <c r="A1214" t="s">
        <v>85</v>
      </c>
      <c r="B1214" s="1" t="s">
        <v>62</v>
      </c>
      <c r="C1214" s="2">
        <v>2017</v>
      </c>
      <c r="D1214" s="2">
        <v>3</v>
      </c>
      <c r="E1214" s="2">
        <v>3</v>
      </c>
      <c r="F1214" s="1" t="s">
        <v>7</v>
      </c>
      <c r="G1214" s="1" t="s">
        <v>7</v>
      </c>
    </row>
    <row r="1215" spans="1:7" hidden="1">
      <c r="A1215" t="s">
        <v>85</v>
      </c>
      <c r="B1215" s="1" t="s">
        <v>63</v>
      </c>
      <c r="C1215" s="2">
        <v>2018</v>
      </c>
      <c r="D1215" s="2">
        <v>7</v>
      </c>
      <c r="E1215" s="2">
        <v>4</v>
      </c>
      <c r="F1215" s="2">
        <v>3</v>
      </c>
      <c r="G1215" s="1" t="s">
        <v>7</v>
      </c>
    </row>
    <row r="1216" spans="1:7" hidden="1">
      <c r="A1216" t="s">
        <v>85</v>
      </c>
      <c r="B1216" s="1" t="s">
        <v>63</v>
      </c>
      <c r="C1216" s="2">
        <v>2019</v>
      </c>
      <c r="D1216" s="2">
        <v>1</v>
      </c>
      <c r="E1216" s="2">
        <v>1</v>
      </c>
      <c r="F1216" s="1" t="s">
        <v>7</v>
      </c>
      <c r="G1216" s="1" t="s">
        <v>7</v>
      </c>
    </row>
    <row r="1217" spans="1:7" hidden="1">
      <c r="A1217" t="s">
        <v>85</v>
      </c>
      <c r="B1217" s="1" t="s">
        <v>64</v>
      </c>
      <c r="C1217" s="2">
        <v>2019</v>
      </c>
      <c r="D1217" s="2">
        <v>5</v>
      </c>
      <c r="E1217" s="2">
        <v>5</v>
      </c>
      <c r="F1217" s="1" t="s">
        <v>7</v>
      </c>
      <c r="G1217" s="1" t="s">
        <v>7</v>
      </c>
    </row>
    <row r="1218" spans="1:7" hidden="1">
      <c r="A1218" t="s">
        <v>85</v>
      </c>
      <c r="B1218" s="1" t="s">
        <v>65</v>
      </c>
      <c r="C1218" s="2">
        <v>2020</v>
      </c>
      <c r="D1218" s="2">
        <v>4</v>
      </c>
      <c r="E1218" s="2">
        <v>4</v>
      </c>
      <c r="F1218" s="1" t="s">
        <v>7</v>
      </c>
      <c r="G1218" s="1" t="s">
        <v>7</v>
      </c>
    </row>
    <row r="1219" spans="1:7" hidden="1">
      <c r="A1219" t="s">
        <v>85</v>
      </c>
      <c r="B1219" s="1" t="s">
        <v>66</v>
      </c>
      <c r="C1219" s="2">
        <v>2021</v>
      </c>
      <c r="D1219" s="2">
        <v>3</v>
      </c>
      <c r="E1219" s="2">
        <v>2</v>
      </c>
      <c r="F1219" s="2">
        <v>1</v>
      </c>
      <c r="G1219" s="1" t="s">
        <v>7</v>
      </c>
    </row>
    <row r="1220" spans="1:7" hidden="1">
      <c r="A1220" t="s">
        <v>85</v>
      </c>
      <c r="B1220" s="1" t="s">
        <v>67</v>
      </c>
      <c r="C1220" s="2">
        <v>2022</v>
      </c>
      <c r="D1220" s="2">
        <v>4</v>
      </c>
      <c r="E1220" s="2">
        <v>4</v>
      </c>
      <c r="F1220" s="1" t="s">
        <v>7</v>
      </c>
      <c r="G1220" s="1" t="s">
        <v>7</v>
      </c>
    </row>
    <row r="1221" spans="1:7" hidden="1">
      <c r="A1221" t="s">
        <v>85</v>
      </c>
      <c r="B1221" s="1" t="s">
        <v>68</v>
      </c>
      <c r="C1221" s="2">
        <v>2023</v>
      </c>
      <c r="D1221" s="2">
        <v>8</v>
      </c>
      <c r="E1221" s="2">
        <v>6</v>
      </c>
      <c r="F1221" s="2">
        <v>2</v>
      </c>
      <c r="G1221" s="1" t="s">
        <v>7</v>
      </c>
    </row>
    <row r="1222" spans="1:7" hidden="1">
      <c r="A1222" t="s">
        <v>85</v>
      </c>
      <c r="B1222" s="1" t="s">
        <v>69</v>
      </c>
      <c r="C1222" s="2">
        <v>2024</v>
      </c>
      <c r="D1222" s="2">
        <v>7</v>
      </c>
      <c r="E1222" s="2">
        <v>7</v>
      </c>
      <c r="F1222" s="1" t="s">
        <v>7</v>
      </c>
      <c r="G1222" s="1" t="s">
        <v>7</v>
      </c>
    </row>
    <row r="1223" spans="1:7" hidden="1">
      <c r="A1223" t="s">
        <v>85</v>
      </c>
      <c r="B1223" s="1" t="s">
        <v>6</v>
      </c>
      <c r="C1223" s="2">
        <v>2024</v>
      </c>
      <c r="D1223" s="2">
        <v>1</v>
      </c>
      <c r="E1223" s="2">
        <v>1</v>
      </c>
      <c r="F1223" s="1" t="s">
        <v>7</v>
      </c>
      <c r="G1223" s="1" t="s">
        <v>7</v>
      </c>
    </row>
    <row r="1224" spans="1:7" hidden="1">
      <c r="A1224" t="s">
        <v>86</v>
      </c>
      <c r="B1224" s="1" t="s">
        <v>3</v>
      </c>
      <c r="C1224" s="63">
        <v>1990</v>
      </c>
      <c r="D1224" s="63">
        <v>1</v>
      </c>
      <c r="E1224" s="63">
        <v>1</v>
      </c>
      <c r="F1224" s="63" t="s">
        <v>7</v>
      </c>
      <c r="G1224" s="63" t="s">
        <v>7</v>
      </c>
    </row>
    <row r="1225" spans="1:7" hidden="1">
      <c r="A1225" t="s">
        <v>86</v>
      </c>
      <c r="B1225" s="1" t="s">
        <v>3</v>
      </c>
      <c r="C1225" s="63">
        <v>1991</v>
      </c>
      <c r="D1225" s="63">
        <v>1</v>
      </c>
      <c r="E1225" s="63">
        <v>1</v>
      </c>
      <c r="F1225" s="63" t="s">
        <v>7</v>
      </c>
      <c r="G1225" s="63" t="s">
        <v>7</v>
      </c>
    </row>
    <row r="1226" spans="1:7" hidden="1">
      <c r="A1226" t="s">
        <v>86</v>
      </c>
      <c r="B1226" s="1" t="s">
        <v>3</v>
      </c>
      <c r="C1226" s="63">
        <v>1992</v>
      </c>
      <c r="D1226" s="63">
        <v>2</v>
      </c>
      <c r="E1226" s="63">
        <v>2</v>
      </c>
      <c r="F1226" s="63" t="s">
        <v>7</v>
      </c>
      <c r="G1226" s="63" t="s">
        <v>7</v>
      </c>
    </row>
    <row r="1227" spans="1:7" hidden="1">
      <c r="A1227" t="s">
        <v>86</v>
      </c>
      <c r="B1227" s="1" t="s">
        <v>3</v>
      </c>
      <c r="C1227" s="63">
        <v>1995</v>
      </c>
      <c r="D1227" s="63">
        <v>3</v>
      </c>
      <c r="E1227" s="63">
        <v>3</v>
      </c>
      <c r="F1227" s="63" t="s">
        <v>7</v>
      </c>
      <c r="G1227" s="63" t="s">
        <v>7</v>
      </c>
    </row>
    <row r="1228" spans="1:7" hidden="1">
      <c r="A1228" t="s">
        <v>86</v>
      </c>
      <c r="B1228" s="1" t="s">
        <v>3</v>
      </c>
      <c r="C1228" s="63">
        <v>1996</v>
      </c>
      <c r="D1228" s="63">
        <v>1</v>
      </c>
      <c r="E1228" s="63">
        <v>1</v>
      </c>
      <c r="F1228" s="63" t="s">
        <v>7</v>
      </c>
      <c r="G1228" s="63" t="s">
        <v>7</v>
      </c>
    </row>
    <row r="1229" spans="1:7" hidden="1">
      <c r="A1229" t="s">
        <v>86</v>
      </c>
      <c r="B1229" s="1" t="s">
        <v>3</v>
      </c>
      <c r="C1229" s="63">
        <v>1998</v>
      </c>
      <c r="D1229" s="63">
        <v>1</v>
      </c>
      <c r="E1229" s="63" t="s">
        <v>7</v>
      </c>
      <c r="F1229" s="63">
        <v>1</v>
      </c>
      <c r="G1229" s="63" t="s">
        <v>7</v>
      </c>
    </row>
    <row r="1230" spans="1:7" hidden="1">
      <c r="A1230" t="s">
        <v>86</v>
      </c>
      <c r="B1230" s="1" t="s">
        <v>3</v>
      </c>
      <c r="C1230" s="63">
        <v>2000</v>
      </c>
      <c r="D1230" s="63">
        <v>2</v>
      </c>
      <c r="E1230" s="63">
        <v>2</v>
      </c>
      <c r="F1230" s="63" t="s">
        <v>7</v>
      </c>
      <c r="G1230" s="63" t="s">
        <v>7</v>
      </c>
    </row>
    <row r="1231" spans="1:7" hidden="1">
      <c r="A1231" t="s">
        <v>86</v>
      </c>
      <c r="B1231" s="1" t="s">
        <v>3</v>
      </c>
      <c r="C1231" s="63">
        <v>2001</v>
      </c>
      <c r="D1231" s="63">
        <v>1</v>
      </c>
      <c r="E1231" s="63">
        <v>1</v>
      </c>
      <c r="F1231" s="63" t="s">
        <v>7</v>
      </c>
      <c r="G1231" s="63" t="s">
        <v>7</v>
      </c>
    </row>
    <row r="1232" spans="1:7" hidden="1">
      <c r="A1232" t="s">
        <v>86</v>
      </c>
      <c r="B1232" s="1" t="s">
        <v>3</v>
      </c>
      <c r="C1232" s="63">
        <v>2002</v>
      </c>
      <c r="D1232" s="63">
        <v>2</v>
      </c>
      <c r="E1232" s="63">
        <v>2</v>
      </c>
      <c r="F1232" s="63" t="s">
        <v>7</v>
      </c>
      <c r="G1232" s="63" t="s">
        <v>7</v>
      </c>
    </row>
    <row r="1233" spans="1:7" hidden="1">
      <c r="A1233" t="s">
        <v>86</v>
      </c>
      <c r="B1233" s="1" t="s">
        <v>3</v>
      </c>
      <c r="C1233" s="63">
        <v>2004</v>
      </c>
      <c r="D1233" s="63">
        <v>1</v>
      </c>
      <c r="E1233" s="63">
        <v>1</v>
      </c>
      <c r="F1233" s="63" t="s">
        <v>7</v>
      </c>
      <c r="G1233" s="63" t="s">
        <v>7</v>
      </c>
    </row>
    <row r="1234" spans="1:7" hidden="1">
      <c r="A1234" t="s">
        <v>86</v>
      </c>
      <c r="B1234" s="1" t="s">
        <v>3</v>
      </c>
      <c r="C1234" s="63">
        <v>2007</v>
      </c>
      <c r="D1234" s="63">
        <v>1</v>
      </c>
      <c r="E1234" s="63">
        <v>1</v>
      </c>
      <c r="F1234" s="63" t="s">
        <v>7</v>
      </c>
      <c r="G1234" s="63" t="s">
        <v>7</v>
      </c>
    </row>
    <row r="1235" spans="1:7" hidden="1">
      <c r="A1235" t="s">
        <v>86</v>
      </c>
      <c r="B1235" s="1" t="s">
        <v>3</v>
      </c>
      <c r="C1235" s="63">
        <v>2009</v>
      </c>
      <c r="D1235" s="63">
        <v>3</v>
      </c>
      <c r="E1235" s="63">
        <v>2</v>
      </c>
      <c r="F1235" s="63">
        <v>1</v>
      </c>
      <c r="G1235" s="63" t="s">
        <v>7</v>
      </c>
    </row>
    <row r="1236" spans="1:7" hidden="1">
      <c r="A1236" t="s">
        <v>86</v>
      </c>
      <c r="B1236" s="1" t="s">
        <v>3</v>
      </c>
      <c r="C1236" s="63">
        <v>2012</v>
      </c>
      <c r="D1236" s="63">
        <v>3</v>
      </c>
      <c r="E1236" s="63">
        <v>3</v>
      </c>
      <c r="F1236" s="63" t="s">
        <v>7</v>
      </c>
      <c r="G1236" s="63" t="s">
        <v>7</v>
      </c>
    </row>
    <row r="1237" spans="1:7" hidden="1">
      <c r="A1237" t="s">
        <v>86</v>
      </c>
      <c r="B1237" s="1" t="s">
        <v>3</v>
      </c>
      <c r="C1237" s="63">
        <v>2013</v>
      </c>
      <c r="D1237" s="63">
        <v>1</v>
      </c>
      <c r="E1237" s="63">
        <v>1</v>
      </c>
      <c r="F1237" s="63" t="s">
        <v>7</v>
      </c>
      <c r="G1237" s="63" t="s">
        <v>7</v>
      </c>
    </row>
    <row r="1238" spans="1:7" hidden="1">
      <c r="A1238" t="s">
        <v>86</v>
      </c>
      <c r="B1238" s="1" t="s">
        <v>3</v>
      </c>
      <c r="C1238" s="63">
        <v>2014</v>
      </c>
      <c r="D1238" s="63">
        <v>1</v>
      </c>
      <c r="E1238" s="63" t="s">
        <v>7</v>
      </c>
      <c r="F1238" s="63">
        <v>1</v>
      </c>
      <c r="G1238" s="63" t="s">
        <v>7</v>
      </c>
    </row>
    <row r="1239" spans="1:7" hidden="1">
      <c r="A1239" t="s">
        <v>86</v>
      </c>
      <c r="B1239" s="1" t="s">
        <v>3</v>
      </c>
      <c r="C1239" s="63">
        <v>2016</v>
      </c>
      <c r="D1239" s="63">
        <v>3</v>
      </c>
      <c r="E1239" s="63">
        <v>3</v>
      </c>
      <c r="F1239" s="63" t="s">
        <v>7</v>
      </c>
      <c r="G1239" s="63" t="s">
        <v>7</v>
      </c>
    </row>
    <row r="1240" spans="1:7" hidden="1">
      <c r="A1240" t="s">
        <v>86</v>
      </c>
      <c r="B1240" s="1" t="s">
        <v>3</v>
      </c>
      <c r="C1240" s="63">
        <v>2017</v>
      </c>
      <c r="D1240" s="63">
        <v>1</v>
      </c>
      <c r="E1240" s="63">
        <v>1</v>
      </c>
      <c r="F1240" s="63" t="s">
        <v>7</v>
      </c>
      <c r="G1240" s="63" t="s">
        <v>7</v>
      </c>
    </row>
    <row r="1241" spans="1:7">
      <c r="A1241" t="s">
        <v>86</v>
      </c>
      <c r="B1241" s="1" t="s">
        <v>3</v>
      </c>
      <c r="C1241" s="63">
        <v>2019</v>
      </c>
      <c r="D1241" s="63">
        <v>2</v>
      </c>
      <c r="E1241" s="63">
        <v>1</v>
      </c>
      <c r="F1241" s="63">
        <v>1</v>
      </c>
      <c r="G1241" s="63" t="s">
        <v>7</v>
      </c>
    </row>
    <row r="1242" spans="1:7" hidden="1">
      <c r="A1242" t="s">
        <v>86</v>
      </c>
      <c r="B1242" s="1" t="s">
        <v>3</v>
      </c>
      <c r="C1242" s="63">
        <v>2020</v>
      </c>
      <c r="D1242" s="63">
        <v>2</v>
      </c>
      <c r="E1242" s="63">
        <v>1</v>
      </c>
      <c r="F1242" s="63">
        <v>1</v>
      </c>
      <c r="G1242" s="63" t="s">
        <v>7</v>
      </c>
    </row>
    <row r="1243" spans="1:7" hidden="1">
      <c r="A1243" t="s">
        <v>86</v>
      </c>
      <c r="B1243" s="1" t="s">
        <v>3</v>
      </c>
      <c r="C1243" s="63">
        <v>2022</v>
      </c>
      <c r="D1243" s="63">
        <v>2</v>
      </c>
      <c r="E1243" s="63">
        <v>1</v>
      </c>
      <c r="F1243" s="63">
        <v>1</v>
      </c>
      <c r="G1243" s="63" t="s">
        <v>7</v>
      </c>
    </row>
    <row r="1244" spans="1:7" hidden="1">
      <c r="A1244" t="s">
        <v>86</v>
      </c>
      <c r="B1244" s="1" t="s">
        <v>3</v>
      </c>
      <c r="C1244" s="63">
        <v>2023</v>
      </c>
      <c r="D1244" s="63">
        <v>3</v>
      </c>
      <c r="E1244" s="63">
        <v>3</v>
      </c>
      <c r="F1244" s="63" t="s">
        <v>7</v>
      </c>
      <c r="G1244" s="63" t="s">
        <v>7</v>
      </c>
    </row>
    <row r="1245" spans="1:7" hidden="1">
      <c r="A1245" t="s">
        <v>86</v>
      </c>
      <c r="B1245" s="1" t="s">
        <v>3</v>
      </c>
      <c r="C1245" s="63">
        <v>2024</v>
      </c>
      <c r="D1245" s="63">
        <v>6</v>
      </c>
      <c r="E1245" s="63">
        <v>6</v>
      </c>
      <c r="F1245" s="63" t="s">
        <v>7</v>
      </c>
      <c r="G1245" s="63" t="s">
        <v>7</v>
      </c>
    </row>
  </sheetData>
  <autoFilter ref="A2:G1245" xr:uid="{CAACF544-68F5-4943-8739-C81269E0C7A3}">
    <filterColumn colId="0">
      <filters>
        <filter val="10-14 años"/>
        <filter val="1-4 años"/>
        <filter val="15-19 años"/>
        <filter val="20-24 años"/>
        <filter val="25-29 años"/>
        <filter val="30-34 años"/>
        <filter val="35-39 años"/>
        <filter val="40-44 años"/>
        <filter val="45-49 años"/>
        <filter val="50-54 años"/>
        <filter val="55-59 años"/>
        <filter val="5-9 años"/>
        <filter val="60-64 años"/>
        <filter val="65-69 años"/>
        <filter val="70-74 años"/>
        <filter val="75-79 años"/>
        <filter val="Menores de 1 año"/>
      </filters>
    </filterColumn>
    <filterColumn colId="1">
      <filters>
        <filter val="Total"/>
      </filters>
    </filterColumn>
    <filterColumn colId="2">
      <filters>
        <filter val="2010"/>
        <filter val="2019"/>
        <filter val="202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665C5-759A-4FFE-8BBA-7BDCB7AE777D}">
  <dimension ref="A1:D1331"/>
  <sheetViews>
    <sheetView topLeftCell="A1209" workbookViewId="0">
      <selection activeCell="A382" sqref="A382:D400"/>
    </sheetView>
  </sheetViews>
  <sheetFormatPr baseColWidth="10" defaultRowHeight="14.4"/>
  <sheetData>
    <row r="1" spans="1:4">
      <c r="A1" t="s">
        <v>89</v>
      </c>
      <c r="B1" t="s">
        <v>90</v>
      </c>
      <c r="C1" t="s">
        <v>0</v>
      </c>
      <c r="D1" t="s">
        <v>91</v>
      </c>
    </row>
    <row r="2" spans="1:4">
      <c r="A2">
        <v>1990</v>
      </c>
      <c r="B2" t="s">
        <v>92</v>
      </c>
      <c r="C2">
        <v>0</v>
      </c>
      <c r="D2" s="65">
        <v>0</v>
      </c>
    </row>
    <row r="3" spans="1:4">
      <c r="A3">
        <v>1990</v>
      </c>
      <c r="B3" t="s">
        <v>92</v>
      </c>
      <c r="C3">
        <v>1</v>
      </c>
      <c r="D3" s="65">
        <v>0</v>
      </c>
    </row>
    <row r="4" spans="1:4">
      <c r="A4">
        <v>1990</v>
      </c>
      <c r="B4" t="s">
        <v>92</v>
      </c>
      <c r="C4">
        <v>5</v>
      </c>
      <c r="D4" s="66">
        <v>1</v>
      </c>
    </row>
    <row r="5" spans="1:4">
      <c r="A5">
        <v>1990</v>
      </c>
      <c r="B5" t="s">
        <v>92</v>
      </c>
      <c r="C5">
        <v>10</v>
      </c>
      <c r="D5" s="66">
        <v>1</v>
      </c>
    </row>
    <row r="6" spans="1:4">
      <c r="A6">
        <v>1990</v>
      </c>
      <c r="B6" t="s">
        <v>92</v>
      </c>
      <c r="C6">
        <v>15</v>
      </c>
      <c r="D6" s="66">
        <v>3</v>
      </c>
    </row>
    <row r="7" spans="1:4">
      <c r="A7">
        <v>1990</v>
      </c>
      <c r="B7" t="s">
        <v>92</v>
      </c>
      <c r="C7">
        <v>20</v>
      </c>
      <c r="D7" s="66">
        <v>16</v>
      </c>
    </row>
    <row r="8" spans="1:4">
      <c r="A8">
        <v>1990</v>
      </c>
      <c r="B8" t="s">
        <v>92</v>
      </c>
      <c r="C8">
        <v>25</v>
      </c>
      <c r="D8" s="66">
        <v>5</v>
      </c>
    </row>
    <row r="9" spans="1:4">
      <c r="A9">
        <v>1990</v>
      </c>
      <c r="B9" t="s">
        <v>92</v>
      </c>
      <c r="C9">
        <v>30</v>
      </c>
      <c r="D9" s="66">
        <v>9</v>
      </c>
    </row>
    <row r="10" spans="1:4">
      <c r="A10">
        <v>1990</v>
      </c>
      <c r="B10" t="s">
        <v>92</v>
      </c>
      <c r="C10">
        <v>35</v>
      </c>
      <c r="D10" s="66">
        <v>8</v>
      </c>
    </row>
    <row r="11" spans="1:4">
      <c r="A11">
        <v>1990</v>
      </c>
      <c r="B11" t="s">
        <v>92</v>
      </c>
      <c r="C11">
        <v>40</v>
      </c>
      <c r="D11" s="66">
        <v>4</v>
      </c>
    </row>
    <row r="12" spans="1:4">
      <c r="A12">
        <v>1990</v>
      </c>
      <c r="B12" t="s">
        <v>92</v>
      </c>
      <c r="C12">
        <v>45</v>
      </c>
      <c r="D12" s="66">
        <v>9</v>
      </c>
    </row>
    <row r="13" spans="1:4">
      <c r="A13">
        <v>1990</v>
      </c>
      <c r="B13" t="s">
        <v>92</v>
      </c>
      <c r="C13">
        <v>50</v>
      </c>
      <c r="D13" s="66">
        <v>5</v>
      </c>
    </row>
    <row r="14" spans="1:4">
      <c r="A14">
        <v>1990</v>
      </c>
      <c r="B14" t="s">
        <v>92</v>
      </c>
      <c r="C14">
        <v>55</v>
      </c>
      <c r="D14" s="66">
        <v>0</v>
      </c>
    </row>
    <row r="15" spans="1:4">
      <c r="A15">
        <v>1990</v>
      </c>
      <c r="B15" t="s">
        <v>92</v>
      </c>
      <c r="C15">
        <v>60</v>
      </c>
      <c r="D15" s="66">
        <v>3</v>
      </c>
    </row>
    <row r="16" spans="1:4">
      <c r="A16">
        <v>1990</v>
      </c>
      <c r="B16" t="s">
        <v>92</v>
      </c>
      <c r="C16">
        <v>65</v>
      </c>
      <c r="D16" s="66">
        <v>5</v>
      </c>
    </row>
    <row r="17" spans="1:4">
      <c r="A17">
        <v>1990</v>
      </c>
      <c r="B17" t="s">
        <v>92</v>
      </c>
      <c r="C17">
        <v>70</v>
      </c>
      <c r="D17" s="66">
        <v>1</v>
      </c>
    </row>
    <row r="18" spans="1:4">
      <c r="A18">
        <v>1990</v>
      </c>
      <c r="B18" t="s">
        <v>92</v>
      </c>
      <c r="C18">
        <v>75</v>
      </c>
      <c r="D18" s="66">
        <v>1</v>
      </c>
    </row>
    <row r="19" spans="1:4">
      <c r="A19">
        <v>1990</v>
      </c>
      <c r="B19" t="s">
        <v>92</v>
      </c>
      <c r="C19">
        <v>80</v>
      </c>
      <c r="D19" s="66">
        <v>0</v>
      </c>
    </row>
    <row r="20" spans="1:4">
      <c r="A20">
        <v>1990</v>
      </c>
      <c r="B20" t="s">
        <v>92</v>
      </c>
      <c r="C20">
        <v>85</v>
      </c>
      <c r="D20" s="66">
        <v>1</v>
      </c>
    </row>
    <row r="21" spans="1:4">
      <c r="A21">
        <v>1991</v>
      </c>
      <c r="B21" t="s">
        <v>92</v>
      </c>
      <c r="C21">
        <v>0</v>
      </c>
      <c r="D21" s="66">
        <v>0</v>
      </c>
    </row>
    <row r="22" spans="1:4">
      <c r="A22">
        <v>1991</v>
      </c>
      <c r="B22" t="s">
        <v>92</v>
      </c>
      <c r="C22">
        <v>1</v>
      </c>
      <c r="D22" s="66">
        <v>1</v>
      </c>
    </row>
    <row r="23" spans="1:4">
      <c r="A23">
        <v>1991</v>
      </c>
      <c r="B23" t="s">
        <v>92</v>
      </c>
      <c r="C23">
        <v>5</v>
      </c>
      <c r="D23" s="66">
        <v>0</v>
      </c>
    </row>
    <row r="24" spans="1:4">
      <c r="A24">
        <v>1991</v>
      </c>
      <c r="B24" t="s">
        <v>92</v>
      </c>
      <c r="C24">
        <v>10</v>
      </c>
      <c r="D24" s="66">
        <v>0</v>
      </c>
    </row>
    <row r="25" spans="1:4">
      <c r="A25">
        <v>1991</v>
      </c>
      <c r="B25" t="s">
        <v>92</v>
      </c>
      <c r="C25">
        <v>15</v>
      </c>
      <c r="D25" s="66">
        <v>2</v>
      </c>
    </row>
    <row r="26" spans="1:4">
      <c r="A26">
        <v>1991</v>
      </c>
      <c r="B26" t="s">
        <v>92</v>
      </c>
      <c r="C26">
        <v>20</v>
      </c>
      <c r="D26" s="66">
        <v>15</v>
      </c>
    </row>
    <row r="27" spans="1:4">
      <c r="A27">
        <v>1991</v>
      </c>
      <c r="B27" t="s">
        <v>92</v>
      </c>
      <c r="C27">
        <v>25</v>
      </c>
      <c r="D27" s="66">
        <v>14</v>
      </c>
    </row>
    <row r="28" spans="1:4">
      <c r="A28">
        <v>1991</v>
      </c>
      <c r="B28" t="s">
        <v>92</v>
      </c>
      <c r="C28">
        <v>30</v>
      </c>
      <c r="D28" s="66">
        <v>14</v>
      </c>
    </row>
    <row r="29" spans="1:4">
      <c r="A29">
        <v>1991</v>
      </c>
      <c r="B29" t="s">
        <v>92</v>
      </c>
      <c r="C29">
        <v>35</v>
      </c>
      <c r="D29" s="66">
        <v>11</v>
      </c>
    </row>
    <row r="30" spans="1:4">
      <c r="A30">
        <v>1991</v>
      </c>
      <c r="B30" t="s">
        <v>92</v>
      </c>
      <c r="C30">
        <v>40</v>
      </c>
      <c r="D30" s="66">
        <v>9</v>
      </c>
    </row>
    <row r="31" spans="1:4">
      <c r="A31">
        <v>1991</v>
      </c>
      <c r="B31" t="s">
        <v>92</v>
      </c>
      <c r="C31">
        <v>45</v>
      </c>
      <c r="D31" s="66">
        <v>8</v>
      </c>
    </row>
    <row r="32" spans="1:4">
      <c r="A32">
        <v>1991</v>
      </c>
      <c r="B32" t="s">
        <v>92</v>
      </c>
      <c r="C32">
        <v>50</v>
      </c>
      <c r="D32" s="66">
        <v>2</v>
      </c>
    </row>
    <row r="33" spans="1:4">
      <c r="A33">
        <v>1991</v>
      </c>
      <c r="B33" t="s">
        <v>92</v>
      </c>
      <c r="C33">
        <v>55</v>
      </c>
      <c r="D33" s="66">
        <v>3</v>
      </c>
    </row>
    <row r="34" spans="1:4">
      <c r="A34">
        <v>1991</v>
      </c>
      <c r="B34" t="s">
        <v>92</v>
      </c>
      <c r="C34">
        <v>60</v>
      </c>
      <c r="D34" s="66">
        <v>1</v>
      </c>
    </row>
    <row r="35" spans="1:4">
      <c r="A35">
        <v>1991</v>
      </c>
      <c r="B35" t="s">
        <v>92</v>
      </c>
      <c r="C35">
        <v>65</v>
      </c>
      <c r="D35" s="66">
        <v>2</v>
      </c>
    </row>
    <row r="36" spans="1:4">
      <c r="A36">
        <v>1991</v>
      </c>
      <c r="B36" t="s">
        <v>92</v>
      </c>
      <c r="C36">
        <v>70</v>
      </c>
      <c r="D36" s="66">
        <v>2</v>
      </c>
    </row>
    <row r="37" spans="1:4">
      <c r="A37">
        <v>1991</v>
      </c>
      <c r="B37" t="s">
        <v>92</v>
      </c>
      <c r="C37">
        <v>75</v>
      </c>
      <c r="D37" s="66">
        <v>1</v>
      </c>
    </row>
    <row r="38" spans="1:4">
      <c r="A38">
        <v>1991</v>
      </c>
      <c r="B38" t="s">
        <v>92</v>
      </c>
      <c r="C38">
        <v>80</v>
      </c>
      <c r="D38" s="66">
        <v>0</v>
      </c>
    </row>
    <row r="39" spans="1:4">
      <c r="A39">
        <v>1991</v>
      </c>
      <c r="B39" t="s">
        <v>92</v>
      </c>
      <c r="C39">
        <v>85</v>
      </c>
      <c r="D39" s="66">
        <v>0</v>
      </c>
    </row>
    <row r="40" spans="1:4">
      <c r="A40">
        <v>1992</v>
      </c>
      <c r="B40" t="s">
        <v>92</v>
      </c>
      <c r="C40">
        <v>0</v>
      </c>
      <c r="D40" s="66">
        <v>0</v>
      </c>
    </row>
    <row r="41" spans="1:4">
      <c r="A41">
        <v>1992</v>
      </c>
      <c r="B41" t="s">
        <v>92</v>
      </c>
      <c r="C41">
        <v>1</v>
      </c>
      <c r="D41" s="69">
        <v>2</v>
      </c>
    </row>
    <row r="42" spans="1:4">
      <c r="A42">
        <v>1992</v>
      </c>
      <c r="B42" t="s">
        <v>92</v>
      </c>
      <c r="C42">
        <v>5</v>
      </c>
      <c r="D42" s="69">
        <v>1</v>
      </c>
    </row>
    <row r="43" spans="1:4">
      <c r="A43">
        <v>1992</v>
      </c>
      <c r="B43" t="s">
        <v>92</v>
      </c>
      <c r="C43">
        <v>10</v>
      </c>
      <c r="D43" s="69">
        <v>3</v>
      </c>
    </row>
    <row r="44" spans="1:4">
      <c r="A44">
        <v>1992</v>
      </c>
      <c r="B44" t="s">
        <v>92</v>
      </c>
      <c r="C44">
        <v>15</v>
      </c>
      <c r="D44" s="69">
        <v>7</v>
      </c>
    </row>
    <row r="45" spans="1:4">
      <c r="A45">
        <v>1992</v>
      </c>
      <c r="B45" t="s">
        <v>92</v>
      </c>
      <c r="C45">
        <v>20</v>
      </c>
      <c r="D45" s="69">
        <v>21</v>
      </c>
    </row>
    <row r="46" spans="1:4">
      <c r="A46">
        <v>1992</v>
      </c>
      <c r="B46" t="s">
        <v>92</v>
      </c>
      <c r="C46">
        <v>25</v>
      </c>
      <c r="D46" s="69">
        <v>15</v>
      </c>
    </row>
    <row r="47" spans="1:4">
      <c r="A47">
        <v>1992</v>
      </c>
      <c r="B47" t="s">
        <v>92</v>
      </c>
      <c r="C47">
        <v>30</v>
      </c>
      <c r="D47" s="69">
        <v>14</v>
      </c>
    </row>
    <row r="48" spans="1:4">
      <c r="A48">
        <v>1992</v>
      </c>
      <c r="B48" t="s">
        <v>92</v>
      </c>
      <c r="C48">
        <v>35</v>
      </c>
      <c r="D48" s="69">
        <v>11</v>
      </c>
    </row>
    <row r="49" spans="1:4">
      <c r="A49">
        <v>1992</v>
      </c>
      <c r="B49" t="s">
        <v>92</v>
      </c>
      <c r="C49">
        <v>40</v>
      </c>
      <c r="D49" s="69">
        <v>7</v>
      </c>
    </row>
    <row r="50" spans="1:4">
      <c r="A50">
        <v>1992</v>
      </c>
      <c r="B50" t="s">
        <v>92</v>
      </c>
      <c r="C50">
        <v>45</v>
      </c>
      <c r="D50" s="69">
        <v>2</v>
      </c>
    </row>
    <row r="51" spans="1:4">
      <c r="A51">
        <v>1992</v>
      </c>
      <c r="B51" t="s">
        <v>92</v>
      </c>
      <c r="C51">
        <v>50</v>
      </c>
      <c r="D51" s="69">
        <v>5</v>
      </c>
    </row>
    <row r="52" spans="1:4">
      <c r="A52">
        <v>1992</v>
      </c>
      <c r="B52" t="s">
        <v>92</v>
      </c>
      <c r="C52">
        <v>55</v>
      </c>
      <c r="D52" s="69">
        <v>9</v>
      </c>
    </row>
    <row r="53" spans="1:4">
      <c r="A53">
        <v>1992</v>
      </c>
      <c r="B53" t="s">
        <v>92</v>
      </c>
      <c r="C53">
        <v>60</v>
      </c>
      <c r="D53" s="69">
        <v>6</v>
      </c>
    </row>
    <row r="54" spans="1:4">
      <c r="A54">
        <v>1992</v>
      </c>
      <c r="B54" t="s">
        <v>92</v>
      </c>
      <c r="C54">
        <v>65</v>
      </c>
      <c r="D54" s="69">
        <v>0</v>
      </c>
    </row>
    <row r="55" spans="1:4">
      <c r="A55">
        <v>1992</v>
      </c>
      <c r="B55" t="s">
        <v>92</v>
      </c>
      <c r="C55">
        <v>70</v>
      </c>
      <c r="D55" s="69">
        <v>0</v>
      </c>
    </row>
    <row r="56" spans="1:4">
      <c r="A56">
        <v>1992</v>
      </c>
      <c r="B56" t="s">
        <v>92</v>
      </c>
      <c r="C56">
        <v>75</v>
      </c>
      <c r="D56" s="69">
        <v>2</v>
      </c>
    </row>
    <row r="57" spans="1:4">
      <c r="A57">
        <v>1992</v>
      </c>
      <c r="B57" t="s">
        <v>92</v>
      </c>
      <c r="C57">
        <v>80</v>
      </c>
      <c r="D57" s="69">
        <v>1</v>
      </c>
    </row>
    <row r="58" spans="1:4">
      <c r="A58">
        <v>1992</v>
      </c>
      <c r="B58" t="s">
        <v>92</v>
      </c>
      <c r="C58">
        <v>85</v>
      </c>
      <c r="D58" s="69">
        <v>0</v>
      </c>
    </row>
    <row r="59" spans="1:4">
      <c r="A59">
        <v>1993</v>
      </c>
      <c r="B59" t="s">
        <v>92</v>
      </c>
      <c r="C59">
        <v>0</v>
      </c>
      <c r="D59" s="69">
        <v>1</v>
      </c>
    </row>
    <row r="60" spans="1:4">
      <c r="A60">
        <v>1993</v>
      </c>
      <c r="B60" t="s">
        <v>92</v>
      </c>
      <c r="C60">
        <v>1</v>
      </c>
      <c r="D60" s="69">
        <v>1</v>
      </c>
    </row>
    <row r="61" spans="1:4">
      <c r="A61">
        <v>1993</v>
      </c>
      <c r="B61" t="s">
        <v>92</v>
      </c>
      <c r="C61">
        <v>5</v>
      </c>
      <c r="D61" s="69">
        <v>0</v>
      </c>
    </row>
    <row r="62" spans="1:4">
      <c r="A62">
        <v>1993</v>
      </c>
      <c r="B62" t="s">
        <v>92</v>
      </c>
      <c r="C62">
        <v>10</v>
      </c>
      <c r="D62" s="69">
        <v>0</v>
      </c>
    </row>
    <row r="63" spans="1:4">
      <c r="A63">
        <v>1993</v>
      </c>
      <c r="B63" t="s">
        <v>92</v>
      </c>
      <c r="C63">
        <v>15</v>
      </c>
      <c r="D63" s="69">
        <v>7</v>
      </c>
    </row>
    <row r="64" spans="1:4">
      <c r="A64">
        <v>1993</v>
      </c>
      <c r="B64" t="s">
        <v>92</v>
      </c>
      <c r="C64">
        <v>20</v>
      </c>
      <c r="D64" s="69">
        <v>11</v>
      </c>
    </row>
    <row r="65" spans="1:4">
      <c r="A65">
        <v>1993</v>
      </c>
      <c r="B65" t="s">
        <v>92</v>
      </c>
      <c r="C65">
        <v>25</v>
      </c>
      <c r="D65" s="69">
        <v>7</v>
      </c>
    </row>
    <row r="66" spans="1:4">
      <c r="A66">
        <v>1993</v>
      </c>
      <c r="B66" t="s">
        <v>92</v>
      </c>
      <c r="C66">
        <v>30</v>
      </c>
      <c r="D66" s="69">
        <v>11</v>
      </c>
    </row>
    <row r="67" spans="1:4">
      <c r="A67">
        <v>1993</v>
      </c>
      <c r="B67" t="s">
        <v>92</v>
      </c>
      <c r="C67">
        <v>35</v>
      </c>
      <c r="D67" s="69">
        <v>5</v>
      </c>
    </row>
    <row r="68" spans="1:4">
      <c r="A68">
        <v>1993</v>
      </c>
      <c r="B68" t="s">
        <v>92</v>
      </c>
      <c r="C68">
        <v>40</v>
      </c>
      <c r="D68" s="69">
        <v>3</v>
      </c>
    </row>
    <row r="69" spans="1:4">
      <c r="A69">
        <v>1993</v>
      </c>
      <c r="B69" t="s">
        <v>92</v>
      </c>
      <c r="C69">
        <v>45</v>
      </c>
      <c r="D69" s="69">
        <v>7</v>
      </c>
    </row>
    <row r="70" spans="1:4">
      <c r="A70">
        <v>1993</v>
      </c>
      <c r="B70" t="s">
        <v>92</v>
      </c>
      <c r="C70">
        <v>50</v>
      </c>
      <c r="D70" s="69">
        <v>4</v>
      </c>
    </row>
    <row r="71" spans="1:4">
      <c r="A71">
        <v>1993</v>
      </c>
      <c r="B71" t="s">
        <v>92</v>
      </c>
      <c r="C71">
        <v>55</v>
      </c>
      <c r="D71" s="69">
        <v>5</v>
      </c>
    </row>
    <row r="72" spans="1:4">
      <c r="A72">
        <v>1993</v>
      </c>
      <c r="B72" t="s">
        <v>92</v>
      </c>
      <c r="C72">
        <v>60</v>
      </c>
      <c r="D72" s="69">
        <v>0</v>
      </c>
    </row>
    <row r="73" spans="1:4">
      <c r="A73">
        <v>1993</v>
      </c>
      <c r="B73" t="s">
        <v>92</v>
      </c>
      <c r="C73">
        <v>65</v>
      </c>
      <c r="D73" s="69">
        <v>0</v>
      </c>
    </row>
    <row r="74" spans="1:4">
      <c r="A74">
        <v>1993</v>
      </c>
      <c r="B74" t="s">
        <v>92</v>
      </c>
      <c r="C74">
        <v>70</v>
      </c>
      <c r="D74" s="69">
        <v>0</v>
      </c>
    </row>
    <row r="75" spans="1:4">
      <c r="A75">
        <v>1993</v>
      </c>
      <c r="B75" t="s">
        <v>92</v>
      </c>
      <c r="C75">
        <v>75</v>
      </c>
      <c r="D75" s="69">
        <v>0</v>
      </c>
    </row>
    <row r="76" spans="1:4">
      <c r="A76">
        <v>1993</v>
      </c>
      <c r="B76" t="s">
        <v>92</v>
      </c>
      <c r="C76">
        <v>80</v>
      </c>
      <c r="D76" s="69">
        <v>0</v>
      </c>
    </row>
    <row r="77" spans="1:4">
      <c r="A77">
        <v>1993</v>
      </c>
      <c r="B77" t="s">
        <v>92</v>
      </c>
      <c r="C77">
        <v>85</v>
      </c>
      <c r="D77" s="69">
        <v>0</v>
      </c>
    </row>
    <row r="78" spans="1:4">
      <c r="A78">
        <v>1994</v>
      </c>
      <c r="B78" t="s">
        <v>92</v>
      </c>
      <c r="C78">
        <v>0</v>
      </c>
      <c r="D78" s="69">
        <v>0</v>
      </c>
    </row>
    <row r="79" spans="1:4">
      <c r="A79">
        <v>1994</v>
      </c>
      <c r="B79" t="s">
        <v>92</v>
      </c>
      <c r="C79">
        <v>1</v>
      </c>
      <c r="D79" s="69">
        <v>1</v>
      </c>
    </row>
    <row r="80" spans="1:4">
      <c r="A80">
        <v>1994</v>
      </c>
      <c r="B80" t="s">
        <v>92</v>
      </c>
      <c r="C80">
        <v>5</v>
      </c>
      <c r="D80" s="69">
        <v>0</v>
      </c>
    </row>
    <row r="81" spans="1:4">
      <c r="A81">
        <v>1994</v>
      </c>
      <c r="B81" t="s">
        <v>92</v>
      </c>
      <c r="C81">
        <v>10</v>
      </c>
      <c r="D81" s="69">
        <v>3</v>
      </c>
    </row>
    <row r="82" spans="1:4">
      <c r="A82">
        <v>1994</v>
      </c>
      <c r="B82" t="s">
        <v>92</v>
      </c>
      <c r="C82">
        <v>15</v>
      </c>
      <c r="D82" s="69">
        <v>4</v>
      </c>
    </row>
    <row r="83" spans="1:4">
      <c r="A83">
        <v>1994</v>
      </c>
      <c r="B83" t="s">
        <v>92</v>
      </c>
      <c r="C83">
        <v>20</v>
      </c>
      <c r="D83" s="69">
        <v>8</v>
      </c>
    </row>
    <row r="84" spans="1:4">
      <c r="A84">
        <v>1994</v>
      </c>
      <c r="B84" t="s">
        <v>92</v>
      </c>
      <c r="C84">
        <v>25</v>
      </c>
      <c r="D84" s="69">
        <v>9</v>
      </c>
    </row>
    <row r="85" spans="1:4">
      <c r="A85">
        <v>1994</v>
      </c>
      <c r="B85" t="s">
        <v>92</v>
      </c>
      <c r="C85">
        <v>30</v>
      </c>
      <c r="D85" s="69">
        <v>8</v>
      </c>
    </row>
    <row r="86" spans="1:4">
      <c r="A86">
        <v>1994</v>
      </c>
      <c r="B86" t="s">
        <v>92</v>
      </c>
      <c r="C86">
        <v>35</v>
      </c>
      <c r="D86">
        <v>10</v>
      </c>
    </row>
    <row r="87" spans="1:4">
      <c r="A87">
        <v>1994</v>
      </c>
      <c r="B87" t="s">
        <v>92</v>
      </c>
      <c r="C87">
        <v>40</v>
      </c>
      <c r="D87" s="69">
        <v>9</v>
      </c>
    </row>
    <row r="88" spans="1:4">
      <c r="A88">
        <v>1994</v>
      </c>
      <c r="B88" t="s">
        <v>92</v>
      </c>
      <c r="C88">
        <v>45</v>
      </c>
      <c r="D88" s="69">
        <v>1</v>
      </c>
    </row>
    <row r="89" spans="1:4">
      <c r="A89">
        <v>1994</v>
      </c>
      <c r="B89" t="s">
        <v>92</v>
      </c>
      <c r="C89">
        <v>50</v>
      </c>
      <c r="D89" s="69">
        <v>3</v>
      </c>
    </row>
    <row r="90" spans="1:4">
      <c r="A90">
        <v>1994</v>
      </c>
      <c r="B90" t="s">
        <v>92</v>
      </c>
      <c r="C90">
        <v>55</v>
      </c>
      <c r="D90" s="69">
        <v>2</v>
      </c>
    </row>
    <row r="91" spans="1:4">
      <c r="A91">
        <v>1994</v>
      </c>
      <c r="B91" t="s">
        <v>92</v>
      </c>
      <c r="C91">
        <v>60</v>
      </c>
      <c r="D91" s="69">
        <v>2</v>
      </c>
    </row>
    <row r="92" spans="1:4">
      <c r="A92">
        <v>1994</v>
      </c>
      <c r="B92" t="s">
        <v>92</v>
      </c>
      <c r="C92">
        <v>65</v>
      </c>
      <c r="D92" s="69">
        <v>0</v>
      </c>
    </row>
    <row r="93" spans="1:4">
      <c r="A93">
        <v>1994</v>
      </c>
      <c r="B93" t="s">
        <v>92</v>
      </c>
      <c r="C93">
        <v>70</v>
      </c>
      <c r="D93" s="69">
        <v>0</v>
      </c>
    </row>
    <row r="94" spans="1:4">
      <c r="A94">
        <v>1994</v>
      </c>
      <c r="B94" t="s">
        <v>92</v>
      </c>
      <c r="C94">
        <v>75</v>
      </c>
      <c r="D94" s="69">
        <v>0</v>
      </c>
    </row>
    <row r="95" spans="1:4">
      <c r="A95">
        <v>1994</v>
      </c>
      <c r="B95" t="s">
        <v>92</v>
      </c>
      <c r="C95">
        <v>80</v>
      </c>
      <c r="D95" s="69">
        <v>1</v>
      </c>
    </row>
    <row r="96" spans="1:4">
      <c r="A96">
        <v>1994</v>
      </c>
      <c r="B96" t="s">
        <v>92</v>
      </c>
      <c r="C96">
        <v>85</v>
      </c>
      <c r="D96" s="69">
        <v>0</v>
      </c>
    </row>
    <row r="97" spans="1:4">
      <c r="A97">
        <v>1995</v>
      </c>
      <c r="B97" t="s">
        <v>92</v>
      </c>
      <c r="C97">
        <v>0</v>
      </c>
      <c r="D97" s="69">
        <v>0</v>
      </c>
    </row>
    <row r="98" spans="1:4">
      <c r="A98">
        <v>1995</v>
      </c>
      <c r="B98" t="s">
        <v>92</v>
      </c>
      <c r="C98">
        <v>1</v>
      </c>
      <c r="D98" s="69">
        <v>0</v>
      </c>
    </row>
    <row r="99" spans="1:4">
      <c r="A99">
        <v>1995</v>
      </c>
      <c r="B99" t="s">
        <v>92</v>
      </c>
      <c r="C99">
        <v>5</v>
      </c>
      <c r="D99" s="69">
        <v>0</v>
      </c>
    </row>
    <row r="100" spans="1:4">
      <c r="A100">
        <v>1995</v>
      </c>
      <c r="B100" t="s">
        <v>92</v>
      </c>
      <c r="C100">
        <v>10</v>
      </c>
      <c r="D100" s="69">
        <v>2</v>
      </c>
    </row>
    <row r="101" spans="1:4">
      <c r="A101">
        <v>1995</v>
      </c>
      <c r="B101" t="s">
        <v>92</v>
      </c>
      <c r="C101">
        <v>15</v>
      </c>
      <c r="D101" s="69">
        <v>4</v>
      </c>
    </row>
    <row r="102" spans="1:4">
      <c r="A102">
        <v>1995</v>
      </c>
      <c r="B102" t="s">
        <v>92</v>
      </c>
      <c r="C102">
        <v>20</v>
      </c>
      <c r="D102" s="69">
        <v>8</v>
      </c>
    </row>
    <row r="103" spans="1:4">
      <c r="A103">
        <v>1995</v>
      </c>
      <c r="B103" t="s">
        <v>92</v>
      </c>
      <c r="C103">
        <v>25</v>
      </c>
      <c r="D103" s="69">
        <v>7</v>
      </c>
    </row>
    <row r="104" spans="1:4">
      <c r="A104">
        <v>1995</v>
      </c>
      <c r="B104" t="s">
        <v>92</v>
      </c>
      <c r="C104">
        <v>30</v>
      </c>
      <c r="D104" s="69">
        <v>4</v>
      </c>
    </row>
    <row r="105" spans="1:4">
      <c r="A105">
        <v>1995</v>
      </c>
      <c r="B105" t="s">
        <v>92</v>
      </c>
      <c r="C105">
        <v>35</v>
      </c>
      <c r="D105" s="69">
        <v>2</v>
      </c>
    </row>
    <row r="106" spans="1:4">
      <c r="A106">
        <v>1995</v>
      </c>
      <c r="B106" t="s">
        <v>92</v>
      </c>
      <c r="C106">
        <v>40</v>
      </c>
      <c r="D106" s="69">
        <v>4</v>
      </c>
    </row>
    <row r="107" spans="1:4">
      <c r="A107">
        <v>1995</v>
      </c>
      <c r="B107" t="s">
        <v>92</v>
      </c>
      <c r="C107">
        <v>45</v>
      </c>
      <c r="D107" s="69">
        <v>2</v>
      </c>
    </row>
    <row r="108" spans="1:4">
      <c r="A108">
        <v>1995</v>
      </c>
      <c r="B108" t="s">
        <v>92</v>
      </c>
      <c r="C108">
        <v>50</v>
      </c>
      <c r="D108" s="69">
        <v>8</v>
      </c>
    </row>
    <row r="109" spans="1:4">
      <c r="A109">
        <v>1995</v>
      </c>
      <c r="B109" t="s">
        <v>92</v>
      </c>
      <c r="C109">
        <v>55</v>
      </c>
      <c r="D109" s="69">
        <v>2</v>
      </c>
    </row>
    <row r="110" spans="1:4">
      <c r="A110">
        <v>1995</v>
      </c>
      <c r="B110" t="s">
        <v>92</v>
      </c>
      <c r="C110">
        <v>60</v>
      </c>
      <c r="D110" s="69">
        <v>0</v>
      </c>
    </row>
    <row r="111" spans="1:4">
      <c r="A111">
        <v>1995</v>
      </c>
      <c r="B111" t="s">
        <v>92</v>
      </c>
      <c r="C111">
        <v>65</v>
      </c>
      <c r="D111" s="69">
        <v>0</v>
      </c>
    </row>
    <row r="112" spans="1:4">
      <c r="A112">
        <v>1995</v>
      </c>
      <c r="B112" t="s">
        <v>92</v>
      </c>
      <c r="C112">
        <v>70</v>
      </c>
      <c r="D112" s="69">
        <v>0</v>
      </c>
    </row>
    <row r="113" spans="1:4">
      <c r="A113">
        <v>1995</v>
      </c>
      <c r="B113" t="s">
        <v>92</v>
      </c>
      <c r="C113">
        <v>75</v>
      </c>
      <c r="D113" s="69">
        <v>3</v>
      </c>
    </row>
    <row r="114" spans="1:4">
      <c r="A114">
        <v>1995</v>
      </c>
      <c r="B114" t="s">
        <v>92</v>
      </c>
      <c r="C114">
        <v>80</v>
      </c>
      <c r="D114" s="69">
        <v>0</v>
      </c>
    </row>
    <row r="115" spans="1:4">
      <c r="A115">
        <v>1995</v>
      </c>
      <c r="B115" t="s">
        <v>92</v>
      </c>
      <c r="C115">
        <v>85</v>
      </c>
      <c r="D115" s="69">
        <v>0</v>
      </c>
    </row>
    <row r="116" spans="1:4">
      <c r="A116">
        <v>1996</v>
      </c>
      <c r="B116" t="s">
        <v>92</v>
      </c>
      <c r="C116">
        <v>0</v>
      </c>
      <c r="D116" s="69">
        <v>0</v>
      </c>
    </row>
    <row r="117" spans="1:4">
      <c r="A117">
        <v>1996</v>
      </c>
      <c r="B117" t="s">
        <v>92</v>
      </c>
      <c r="C117">
        <v>1</v>
      </c>
      <c r="D117" s="69">
        <v>0</v>
      </c>
    </row>
    <row r="118" spans="1:4">
      <c r="A118">
        <v>1996</v>
      </c>
      <c r="B118" t="s">
        <v>92</v>
      </c>
      <c r="C118">
        <v>5</v>
      </c>
      <c r="D118" s="69">
        <v>0</v>
      </c>
    </row>
    <row r="119" spans="1:4">
      <c r="A119">
        <v>1996</v>
      </c>
      <c r="B119" t="s">
        <v>92</v>
      </c>
      <c r="C119">
        <v>10</v>
      </c>
      <c r="D119" s="69">
        <v>0</v>
      </c>
    </row>
    <row r="120" spans="1:4">
      <c r="A120">
        <v>1996</v>
      </c>
      <c r="B120" t="s">
        <v>92</v>
      </c>
      <c r="C120">
        <v>15</v>
      </c>
      <c r="D120" s="69">
        <v>1</v>
      </c>
    </row>
    <row r="121" spans="1:4">
      <c r="A121">
        <v>1996</v>
      </c>
      <c r="B121" t="s">
        <v>92</v>
      </c>
      <c r="C121">
        <v>20</v>
      </c>
      <c r="D121" s="69">
        <v>10</v>
      </c>
    </row>
    <row r="122" spans="1:4">
      <c r="A122">
        <v>1996</v>
      </c>
      <c r="B122" t="s">
        <v>92</v>
      </c>
      <c r="C122">
        <v>25</v>
      </c>
      <c r="D122" s="69">
        <v>3</v>
      </c>
    </row>
    <row r="123" spans="1:4">
      <c r="A123">
        <v>1996</v>
      </c>
      <c r="B123" t="s">
        <v>92</v>
      </c>
      <c r="C123">
        <v>30</v>
      </c>
      <c r="D123" s="69">
        <v>8</v>
      </c>
    </row>
    <row r="124" spans="1:4">
      <c r="A124">
        <v>1996</v>
      </c>
      <c r="B124" t="s">
        <v>92</v>
      </c>
      <c r="C124">
        <v>35</v>
      </c>
      <c r="D124" s="69">
        <v>3</v>
      </c>
    </row>
    <row r="125" spans="1:4">
      <c r="A125">
        <v>1996</v>
      </c>
      <c r="B125" t="s">
        <v>92</v>
      </c>
      <c r="C125">
        <v>40</v>
      </c>
      <c r="D125" s="69">
        <v>4</v>
      </c>
    </row>
    <row r="126" spans="1:4">
      <c r="A126">
        <v>1996</v>
      </c>
      <c r="B126" t="s">
        <v>92</v>
      </c>
      <c r="C126">
        <v>45</v>
      </c>
      <c r="D126" s="69">
        <v>2</v>
      </c>
    </row>
    <row r="127" spans="1:4">
      <c r="A127">
        <v>1996</v>
      </c>
      <c r="B127" t="s">
        <v>92</v>
      </c>
      <c r="C127">
        <v>50</v>
      </c>
      <c r="D127" s="69">
        <v>4</v>
      </c>
    </row>
    <row r="128" spans="1:4">
      <c r="A128">
        <v>1996</v>
      </c>
      <c r="B128" t="s">
        <v>92</v>
      </c>
      <c r="C128">
        <v>55</v>
      </c>
      <c r="D128" s="69">
        <v>1</v>
      </c>
    </row>
    <row r="129" spans="1:4">
      <c r="A129">
        <v>1996</v>
      </c>
      <c r="B129" t="s">
        <v>92</v>
      </c>
      <c r="C129">
        <v>60</v>
      </c>
      <c r="D129" s="69">
        <v>1</v>
      </c>
    </row>
    <row r="130" spans="1:4">
      <c r="A130">
        <v>1996</v>
      </c>
      <c r="B130" t="s">
        <v>92</v>
      </c>
      <c r="C130">
        <v>65</v>
      </c>
      <c r="D130" s="69">
        <v>0</v>
      </c>
    </row>
    <row r="131" spans="1:4">
      <c r="A131">
        <v>1996</v>
      </c>
      <c r="B131" t="s">
        <v>92</v>
      </c>
      <c r="C131">
        <v>70</v>
      </c>
      <c r="D131" s="69">
        <v>0</v>
      </c>
    </row>
    <row r="132" spans="1:4">
      <c r="A132">
        <v>1996</v>
      </c>
      <c r="B132" t="s">
        <v>92</v>
      </c>
      <c r="C132">
        <v>75</v>
      </c>
      <c r="D132" s="69">
        <v>1</v>
      </c>
    </row>
    <row r="133" spans="1:4">
      <c r="A133">
        <v>1996</v>
      </c>
      <c r="B133" t="s">
        <v>92</v>
      </c>
      <c r="C133">
        <v>80</v>
      </c>
      <c r="D133" s="69">
        <v>0</v>
      </c>
    </row>
    <row r="134" spans="1:4">
      <c r="A134">
        <v>1996</v>
      </c>
      <c r="B134" t="s">
        <v>92</v>
      </c>
      <c r="C134">
        <v>85</v>
      </c>
      <c r="D134" s="69">
        <v>0</v>
      </c>
    </row>
    <row r="135" spans="1:4">
      <c r="A135">
        <v>1997</v>
      </c>
      <c r="B135" t="s">
        <v>92</v>
      </c>
      <c r="C135">
        <v>0</v>
      </c>
      <c r="D135" s="69">
        <v>1</v>
      </c>
    </row>
    <row r="136" spans="1:4">
      <c r="A136">
        <v>1997</v>
      </c>
      <c r="B136" t="s">
        <v>92</v>
      </c>
      <c r="C136">
        <v>1</v>
      </c>
      <c r="D136" s="69">
        <v>0</v>
      </c>
    </row>
    <row r="137" spans="1:4">
      <c r="A137">
        <v>1997</v>
      </c>
      <c r="B137" t="s">
        <v>92</v>
      </c>
      <c r="C137">
        <v>5</v>
      </c>
      <c r="D137" s="69">
        <v>0</v>
      </c>
    </row>
    <row r="138" spans="1:4">
      <c r="A138">
        <v>1997</v>
      </c>
      <c r="B138" t="s">
        <v>92</v>
      </c>
      <c r="C138">
        <v>10</v>
      </c>
      <c r="D138" s="69">
        <v>0</v>
      </c>
    </row>
    <row r="139" spans="1:4">
      <c r="A139">
        <v>1997</v>
      </c>
      <c r="B139" t="s">
        <v>92</v>
      </c>
      <c r="C139">
        <v>15</v>
      </c>
      <c r="D139" s="69">
        <v>3</v>
      </c>
    </row>
    <row r="140" spans="1:4">
      <c r="A140">
        <v>1997</v>
      </c>
      <c r="B140" t="s">
        <v>92</v>
      </c>
      <c r="C140">
        <v>20</v>
      </c>
      <c r="D140" s="69">
        <v>1</v>
      </c>
    </row>
    <row r="141" spans="1:4">
      <c r="A141">
        <v>1997</v>
      </c>
      <c r="B141" t="s">
        <v>92</v>
      </c>
      <c r="C141">
        <v>25</v>
      </c>
      <c r="D141" s="69">
        <v>10</v>
      </c>
    </row>
    <row r="142" spans="1:4">
      <c r="A142">
        <v>1997</v>
      </c>
      <c r="B142" t="s">
        <v>92</v>
      </c>
      <c r="C142">
        <v>30</v>
      </c>
      <c r="D142" s="69">
        <v>11</v>
      </c>
    </row>
    <row r="143" spans="1:4">
      <c r="A143">
        <v>1997</v>
      </c>
      <c r="B143" t="s">
        <v>92</v>
      </c>
      <c r="C143">
        <v>35</v>
      </c>
      <c r="D143" s="69">
        <v>5</v>
      </c>
    </row>
    <row r="144" spans="1:4">
      <c r="A144">
        <v>1997</v>
      </c>
      <c r="B144" t="s">
        <v>92</v>
      </c>
      <c r="C144">
        <v>40</v>
      </c>
      <c r="D144" s="69">
        <v>2</v>
      </c>
    </row>
    <row r="145" spans="1:4">
      <c r="A145">
        <v>1997</v>
      </c>
      <c r="B145" t="s">
        <v>92</v>
      </c>
      <c r="C145">
        <v>45</v>
      </c>
      <c r="D145" s="69">
        <v>2</v>
      </c>
    </row>
    <row r="146" spans="1:4">
      <c r="A146">
        <v>1997</v>
      </c>
      <c r="B146" t="s">
        <v>92</v>
      </c>
      <c r="C146">
        <v>50</v>
      </c>
      <c r="D146" s="69">
        <v>2</v>
      </c>
    </row>
    <row r="147" spans="1:4">
      <c r="A147">
        <v>1997</v>
      </c>
      <c r="B147" t="s">
        <v>92</v>
      </c>
      <c r="C147">
        <v>55</v>
      </c>
      <c r="D147" s="69">
        <v>3</v>
      </c>
    </row>
    <row r="148" spans="1:4">
      <c r="A148">
        <v>1997</v>
      </c>
      <c r="B148" t="s">
        <v>92</v>
      </c>
      <c r="C148">
        <v>60</v>
      </c>
      <c r="D148" s="69">
        <v>2</v>
      </c>
    </row>
    <row r="149" spans="1:4">
      <c r="A149">
        <v>1997</v>
      </c>
      <c r="B149" t="s">
        <v>92</v>
      </c>
      <c r="C149">
        <v>65</v>
      </c>
      <c r="D149" s="69">
        <v>0</v>
      </c>
    </row>
    <row r="150" spans="1:4">
      <c r="A150">
        <v>1997</v>
      </c>
      <c r="B150" t="s">
        <v>92</v>
      </c>
      <c r="C150">
        <v>70</v>
      </c>
      <c r="D150" s="69">
        <v>0</v>
      </c>
    </row>
    <row r="151" spans="1:4">
      <c r="A151">
        <v>1997</v>
      </c>
      <c r="B151" t="s">
        <v>92</v>
      </c>
      <c r="C151">
        <v>75</v>
      </c>
      <c r="D151" s="69">
        <v>0</v>
      </c>
    </row>
    <row r="152" spans="1:4">
      <c r="A152">
        <v>1997</v>
      </c>
      <c r="B152" t="s">
        <v>92</v>
      </c>
      <c r="C152">
        <v>80</v>
      </c>
      <c r="D152" s="69">
        <v>0</v>
      </c>
    </row>
    <row r="153" spans="1:4">
      <c r="A153">
        <v>1997</v>
      </c>
      <c r="B153" t="s">
        <v>92</v>
      </c>
      <c r="C153">
        <v>85</v>
      </c>
      <c r="D153" s="69">
        <v>0</v>
      </c>
    </row>
    <row r="154" spans="1:4">
      <c r="A154">
        <v>1998</v>
      </c>
      <c r="B154" t="s">
        <v>92</v>
      </c>
      <c r="C154">
        <v>0</v>
      </c>
      <c r="D154" s="69">
        <v>1</v>
      </c>
    </row>
    <row r="155" spans="1:4">
      <c r="A155">
        <v>1998</v>
      </c>
      <c r="B155" t="s">
        <v>92</v>
      </c>
      <c r="C155">
        <v>1</v>
      </c>
      <c r="D155" s="69">
        <v>0</v>
      </c>
    </row>
    <row r="156" spans="1:4">
      <c r="A156">
        <v>1998</v>
      </c>
      <c r="B156" t="s">
        <v>92</v>
      </c>
      <c r="C156">
        <v>5</v>
      </c>
      <c r="D156" s="69">
        <v>0</v>
      </c>
    </row>
    <row r="157" spans="1:4">
      <c r="A157">
        <v>1998</v>
      </c>
      <c r="B157" t="s">
        <v>92</v>
      </c>
      <c r="C157">
        <v>10</v>
      </c>
      <c r="D157" s="69">
        <v>0</v>
      </c>
    </row>
    <row r="158" spans="1:4">
      <c r="A158">
        <v>1998</v>
      </c>
      <c r="B158" t="s">
        <v>92</v>
      </c>
      <c r="C158">
        <v>15</v>
      </c>
      <c r="D158" s="69">
        <v>2</v>
      </c>
    </row>
    <row r="159" spans="1:4">
      <c r="A159">
        <v>1998</v>
      </c>
      <c r="B159" t="s">
        <v>92</v>
      </c>
      <c r="C159">
        <v>20</v>
      </c>
      <c r="D159" s="69">
        <v>11</v>
      </c>
    </row>
    <row r="160" spans="1:4">
      <c r="A160">
        <v>1998</v>
      </c>
      <c r="B160" t="s">
        <v>92</v>
      </c>
      <c r="C160">
        <v>25</v>
      </c>
      <c r="D160" s="69">
        <v>8</v>
      </c>
    </row>
    <row r="161" spans="1:4">
      <c r="A161">
        <v>1998</v>
      </c>
      <c r="B161" t="s">
        <v>92</v>
      </c>
      <c r="C161">
        <v>30</v>
      </c>
      <c r="D161" s="69">
        <v>8</v>
      </c>
    </row>
    <row r="162" spans="1:4">
      <c r="A162">
        <v>1998</v>
      </c>
      <c r="B162" t="s">
        <v>92</v>
      </c>
      <c r="C162">
        <v>35</v>
      </c>
      <c r="D162" s="69">
        <v>3</v>
      </c>
    </row>
    <row r="163" spans="1:4">
      <c r="A163">
        <v>1998</v>
      </c>
      <c r="B163" t="s">
        <v>92</v>
      </c>
      <c r="C163">
        <v>40</v>
      </c>
      <c r="D163" s="69">
        <v>1</v>
      </c>
    </row>
    <row r="164" spans="1:4">
      <c r="A164">
        <v>1998</v>
      </c>
      <c r="B164" t="s">
        <v>92</v>
      </c>
      <c r="C164">
        <v>45</v>
      </c>
      <c r="D164" s="69">
        <v>2</v>
      </c>
    </row>
    <row r="165" spans="1:4">
      <c r="A165">
        <v>1998</v>
      </c>
      <c r="B165" t="s">
        <v>92</v>
      </c>
      <c r="C165">
        <v>50</v>
      </c>
      <c r="D165" s="69">
        <v>3</v>
      </c>
    </row>
    <row r="166" spans="1:4">
      <c r="A166">
        <v>1998</v>
      </c>
      <c r="B166" t="s">
        <v>92</v>
      </c>
      <c r="C166">
        <v>55</v>
      </c>
      <c r="D166" s="69">
        <v>0</v>
      </c>
    </row>
    <row r="167" spans="1:4">
      <c r="A167">
        <v>1998</v>
      </c>
      <c r="B167" t="s">
        <v>92</v>
      </c>
      <c r="C167">
        <v>60</v>
      </c>
      <c r="D167" s="69">
        <v>1</v>
      </c>
    </row>
    <row r="168" spans="1:4">
      <c r="A168">
        <v>1998</v>
      </c>
      <c r="B168" t="s">
        <v>92</v>
      </c>
      <c r="C168">
        <v>65</v>
      </c>
      <c r="D168" s="69">
        <v>0</v>
      </c>
    </row>
    <row r="169" spans="1:4">
      <c r="A169">
        <v>1998</v>
      </c>
      <c r="B169" t="s">
        <v>92</v>
      </c>
      <c r="C169">
        <v>70</v>
      </c>
      <c r="D169" s="69">
        <v>0</v>
      </c>
    </row>
    <row r="170" spans="1:4">
      <c r="A170">
        <v>1998</v>
      </c>
      <c r="B170" t="s">
        <v>92</v>
      </c>
      <c r="C170">
        <v>75</v>
      </c>
      <c r="D170" s="69">
        <v>0</v>
      </c>
    </row>
    <row r="171" spans="1:4">
      <c r="A171">
        <v>1998</v>
      </c>
      <c r="B171" t="s">
        <v>92</v>
      </c>
      <c r="C171">
        <v>80</v>
      </c>
      <c r="D171" s="69">
        <v>0</v>
      </c>
    </row>
    <row r="172" spans="1:4">
      <c r="A172">
        <v>1998</v>
      </c>
      <c r="B172" t="s">
        <v>92</v>
      </c>
      <c r="C172">
        <v>85</v>
      </c>
      <c r="D172" s="69">
        <v>0</v>
      </c>
    </row>
    <row r="173" spans="1:4">
      <c r="A173">
        <v>1999</v>
      </c>
      <c r="B173" t="s">
        <v>92</v>
      </c>
      <c r="C173">
        <v>0</v>
      </c>
      <c r="D173" s="69">
        <v>0</v>
      </c>
    </row>
    <row r="174" spans="1:4">
      <c r="A174">
        <v>1999</v>
      </c>
      <c r="B174" t="s">
        <v>92</v>
      </c>
      <c r="C174">
        <v>1</v>
      </c>
      <c r="D174" s="69">
        <v>1</v>
      </c>
    </row>
    <row r="175" spans="1:4">
      <c r="A175">
        <v>1999</v>
      </c>
      <c r="B175" t="s">
        <v>92</v>
      </c>
      <c r="C175">
        <v>5</v>
      </c>
      <c r="D175" s="69">
        <v>0</v>
      </c>
    </row>
    <row r="176" spans="1:4">
      <c r="A176">
        <v>1999</v>
      </c>
      <c r="B176" t="s">
        <v>92</v>
      </c>
      <c r="C176">
        <v>10</v>
      </c>
      <c r="D176" s="69">
        <v>1</v>
      </c>
    </row>
    <row r="177" spans="1:4">
      <c r="A177">
        <v>1999</v>
      </c>
      <c r="B177" t="s">
        <v>92</v>
      </c>
      <c r="C177">
        <v>15</v>
      </c>
      <c r="D177" s="69">
        <v>1</v>
      </c>
    </row>
    <row r="178" spans="1:4">
      <c r="A178">
        <v>1999</v>
      </c>
      <c r="B178" t="s">
        <v>92</v>
      </c>
      <c r="C178">
        <v>20</v>
      </c>
      <c r="D178" s="69">
        <v>8</v>
      </c>
    </row>
    <row r="179" spans="1:4">
      <c r="A179">
        <v>1999</v>
      </c>
      <c r="B179" t="s">
        <v>92</v>
      </c>
      <c r="C179">
        <v>25</v>
      </c>
      <c r="D179" s="69">
        <v>4</v>
      </c>
    </row>
    <row r="180" spans="1:4">
      <c r="A180">
        <v>1999</v>
      </c>
      <c r="B180" t="s">
        <v>92</v>
      </c>
      <c r="C180">
        <v>30</v>
      </c>
      <c r="D180" s="69">
        <v>8</v>
      </c>
    </row>
    <row r="181" spans="1:4">
      <c r="A181">
        <v>1999</v>
      </c>
      <c r="B181" t="s">
        <v>92</v>
      </c>
      <c r="C181">
        <v>35</v>
      </c>
      <c r="D181" s="69">
        <v>4</v>
      </c>
    </row>
    <row r="182" spans="1:4">
      <c r="A182">
        <v>1999</v>
      </c>
      <c r="B182" t="s">
        <v>92</v>
      </c>
      <c r="C182">
        <v>40</v>
      </c>
      <c r="D182" s="69">
        <v>9</v>
      </c>
    </row>
    <row r="183" spans="1:4">
      <c r="A183">
        <v>1999</v>
      </c>
      <c r="B183" t="s">
        <v>92</v>
      </c>
      <c r="C183">
        <v>45</v>
      </c>
      <c r="D183" s="69">
        <v>4</v>
      </c>
    </row>
    <row r="184" spans="1:4">
      <c r="A184">
        <v>1999</v>
      </c>
      <c r="B184" t="s">
        <v>92</v>
      </c>
      <c r="C184">
        <v>50</v>
      </c>
      <c r="D184" s="69">
        <v>4</v>
      </c>
    </row>
    <row r="185" spans="1:4">
      <c r="A185">
        <v>1999</v>
      </c>
      <c r="B185" t="s">
        <v>92</v>
      </c>
      <c r="C185">
        <v>55</v>
      </c>
      <c r="D185" s="69">
        <v>1</v>
      </c>
    </row>
    <row r="186" spans="1:4">
      <c r="A186">
        <v>1999</v>
      </c>
      <c r="B186" t="s">
        <v>92</v>
      </c>
      <c r="C186">
        <v>60</v>
      </c>
      <c r="D186" s="69">
        <v>1</v>
      </c>
    </row>
    <row r="187" spans="1:4">
      <c r="A187">
        <v>1999</v>
      </c>
      <c r="B187" t="s">
        <v>92</v>
      </c>
      <c r="C187">
        <v>65</v>
      </c>
      <c r="D187" s="69">
        <v>0</v>
      </c>
    </row>
    <row r="188" spans="1:4">
      <c r="A188">
        <v>1999</v>
      </c>
      <c r="B188" t="s">
        <v>92</v>
      </c>
      <c r="C188">
        <v>70</v>
      </c>
      <c r="D188" s="69">
        <v>0</v>
      </c>
    </row>
    <row r="189" spans="1:4">
      <c r="A189">
        <v>1999</v>
      </c>
      <c r="B189" t="s">
        <v>92</v>
      </c>
      <c r="C189">
        <v>75</v>
      </c>
      <c r="D189" s="69">
        <v>0</v>
      </c>
    </row>
    <row r="190" spans="1:4">
      <c r="A190">
        <v>1999</v>
      </c>
      <c r="B190" t="s">
        <v>92</v>
      </c>
      <c r="C190">
        <v>80</v>
      </c>
      <c r="D190" s="69">
        <v>0</v>
      </c>
    </row>
    <row r="191" spans="1:4">
      <c r="A191">
        <v>1999</v>
      </c>
      <c r="B191" t="s">
        <v>92</v>
      </c>
      <c r="C191">
        <v>85</v>
      </c>
      <c r="D191" s="69">
        <v>0</v>
      </c>
    </row>
    <row r="192" spans="1:4">
      <c r="A192">
        <v>2000</v>
      </c>
      <c r="B192" t="s">
        <v>92</v>
      </c>
      <c r="C192">
        <v>0</v>
      </c>
      <c r="D192" s="69">
        <v>0</v>
      </c>
    </row>
    <row r="193" spans="1:4">
      <c r="A193">
        <v>2000</v>
      </c>
      <c r="B193" t="s">
        <v>92</v>
      </c>
      <c r="C193">
        <v>1</v>
      </c>
      <c r="D193" s="69">
        <v>0</v>
      </c>
    </row>
    <row r="194" spans="1:4">
      <c r="A194">
        <v>2000</v>
      </c>
      <c r="B194" t="s">
        <v>92</v>
      </c>
      <c r="C194">
        <v>5</v>
      </c>
      <c r="D194" s="69">
        <v>0</v>
      </c>
    </row>
    <row r="195" spans="1:4">
      <c r="A195">
        <v>2000</v>
      </c>
      <c r="B195" t="s">
        <v>92</v>
      </c>
      <c r="C195">
        <v>10</v>
      </c>
      <c r="D195" s="69">
        <v>0</v>
      </c>
    </row>
    <row r="196" spans="1:4">
      <c r="A196">
        <v>2000</v>
      </c>
      <c r="B196" t="s">
        <v>92</v>
      </c>
      <c r="C196">
        <v>15</v>
      </c>
      <c r="D196" s="69">
        <v>4</v>
      </c>
    </row>
    <row r="197" spans="1:4">
      <c r="A197">
        <v>2000</v>
      </c>
      <c r="B197" t="s">
        <v>92</v>
      </c>
      <c r="C197">
        <v>20</v>
      </c>
      <c r="D197" s="69">
        <v>1</v>
      </c>
    </row>
    <row r="198" spans="1:4">
      <c r="A198">
        <v>2000</v>
      </c>
      <c r="B198" t="s">
        <v>92</v>
      </c>
      <c r="C198">
        <v>25</v>
      </c>
      <c r="D198" s="69">
        <v>4</v>
      </c>
    </row>
    <row r="199" spans="1:4">
      <c r="A199">
        <v>2000</v>
      </c>
      <c r="B199" t="s">
        <v>92</v>
      </c>
      <c r="C199">
        <v>30</v>
      </c>
      <c r="D199" s="69">
        <v>6</v>
      </c>
    </row>
    <row r="200" spans="1:4">
      <c r="A200">
        <v>2000</v>
      </c>
      <c r="B200" t="s">
        <v>92</v>
      </c>
      <c r="C200">
        <v>35</v>
      </c>
      <c r="D200" s="69">
        <v>4</v>
      </c>
    </row>
    <row r="201" spans="1:4">
      <c r="A201">
        <v>2000</v>
      </c>
      <c r="B201" t="s">
        <v>92</v>
      </c>
      <c r="C201">
        <v>40</v>
      </c>
      <c r="D201" s="69">
        <v>7</v>
      </c>
    </row>
    <row r="202" spans="1:4">
      <c r="A202">
        <v>2000</v>
      </c>
      <c r="B202" t="s">
        <v>92</v>
      </c>
      <c r="C202">
        <v>45</v>
      </c>
      <c r="D202" s="69">
        <v>6</v>
      </c>
    </row>
    <row r="203" spans="1:4">
      <c r="A203">
        <v>2000</v>
      </c>
      <c r="B203" t="s">
        <v>92</v>
      </c>
      <c r="C203">
        <v>50</v>
      </c>
      <c r="D203" s="69">
        <v>3</v>
      </c>
    </row>
    <row r="204" spans="1:4">
      <c r="A204">
        <v>2000</v>
      </c>
      <c r="B204" t="s">
        <v>92</v>
      </c>
      <c r="C204">
        <v>55</v>
      </c>
      <c r="D204" s="69">
        <v>3</v>
      </c>
    </row>
    <row r="205" spans="1:4">
      <c r="A205">
        <v>2000</v>
      </c>
      <c r="B205" t="s">
        <v>92</v>
      </c>
      <c r="C205">
        <v>60</v>
      </c>
      <c r="D205" s="69">
        <v>3</v>
      </c>
    </row>
    <row r="206" spans="1:4">
      <c r="A206">
        <v>2000</v>
      </c>
      <c r="B206" t="s">
        <v>92</v>
      </c>
      <c r="C206">
        <v>65</v>
      </c>
      <c r="D206" s="69">
        <v>0</v>
      </c>
    </row>
    <row r="207" spans="1:4">
      <c r="A207">
        <v>2000</v>
      </c>
      <c r="B207" t="s">
        <v>92</v>
      </c>
      <c r="C207">
        <v>70</v>
      </c>
      <c r="D207" s="69">
        <v>0</v>
      </c>
    </row>
    <row r="208" spans="1:4">
      <c r="A208">
        <v>2000</v>
      </c>
      <c r="B208" t="s">
        <v>92</v>
      </c>
      <c r="C208">
        <v>75</v>
      </c>
      <c r="D208" s="69">
        <v>2</v>
      </c>
    </row>
    <row r="209" spans="1:4">
      <c r="A209">
        <v>2000</v>
      </c>
      <c r="B209" t="s">
        <v>92</v>
      </c>
      <c r="C209">
        <v>80</v>
      </c>
      <c r="D209" s="69">
        <v>1</v>
      </c>
    </row>
    <row r="210" spans="1:4">
      <c r="A210">
        <v>2000</v>
      </c>
      <c r="B210" t="s">
        <v>92</v>
      </c>
      <c r="C210">
        <v>85</v>
      </c>
      <c r="D210" s="69">
        <v>0</v>
      </c>
    </row>
    <row r="211" spans="1:4">
      <c r="A211">
        <v>2001</v>
      </c>
      <c r="B211" t="s">
        <v>92</v>
      </c>
      <c r="C211">
        <v>0</v>
      </c>
      <c r="D211" s="69">
        <v>0</v>
      </c>
    </row>
    <row r="212" spans="1:4">
      <c r="A212">
        <v>2001</v>
      </c>
      <c r="B212" t="s">
        <v>92</v>
      </c>
      <c r="C212">
        <v>1</v>
      </c>
      <c r="D212" s="69">
        <v>0</v>
      </c>
    </row>
    <row r="213" spans="1:4">
      <c r="A213">
        <v>2001</v>
      </c>
      <c r="B213" t="s">
        <v>92</v>
      </c>
      <c r="C213">
        <v>5</v>
      </c>
      <c r="D213" s="69">
        <v>0</v>
      </c>
    </row>
    <row r="214" spans="1:4">
      <c r="A214">
        <v>2001</v>
      </c>
      <c r="B214" t="s">
        <v>92</v>
      </c>
      <c r="C214">
        <v>10</v>
      </c>
      <c r="D214" s="69">
        <v>0</v>
      </c>
    </row>
    <row r="215" spans="1:4">
      <c r="A215">
        <v>2001</v>
      </c>
      <c r="B215" t="s">
        <v>92</v>
      </c>
      <c r="C215">
        <v>15</v>
      </c>
      <c r="D215" s="69">
        <v>2</v>
      </c>
    </row>
    <row r="216" spans="1:4">
      <c r="A216">
        <v>2001</v>
      </c>
      <c r="B216" t="s">
        <v>92</v>
      </c>
      <c r="C216">
        <v>20</v>
      </c>
      <c r="D216" s="69">
        <v>5</v>
      </c>
    </row>
    <row r="217" spans="1:4">
      <c r="A217">
        <v>2001</v>
      </c>
      <c r="B217" t="s">
        <v>92</v>
      </c>
      <c r="C217">
        <v>25</v>
      </c>
      <c r="D217" s="69">
        <v>6</v>
      </c>
    </row>
    <row r="218" spans="1:4">
      <c r="A218">
        <v>2001</v>
      </c>
      <c r="B218" t="s">
        <v>92</v>
      </c>
      <c r="C218">
        <v>30</v>
      </c>
      <c r="D218" s="69">
        <v>5</v>
      </c>
    </row>
    <row r="219" spans="1:4">
      <c r="A219">
        <v>2001</v>
      </c>
      <c r="B219" t="s">
        <v>92</v>
      </c>
      <c r="C219">
        <v>35</v>
      </c>
      <c r="D219" s="69">
        <v>5</v>
      </c>
    </row>
    <row r="220" spans="1:4">
      <c r="A220">
        <v>2001</v>
      </c>
      <c r="B220" t="s">
        <v>92</v>
      </c>
      <c r="C220">
        <v>40</v>
      </c>
      <c r="D220" s="69">
        <v>7</v>
      </c>
    </row>
    <row r="221" spans="1:4">
      <c r="A221">
        <v>2001</v>
      </c>
      <c r="B221" t="s">
        <v>92</v>
      </c>
      <c r="C221">
        <v>45</v>
      </c>
      <c r="D221" s="69">
        <v>5</v>
      </c>
    </row>
    <row r="222" spans="1:4">
      <c r="A222">
        <v>2001</v>
      </c>
      <c r="B222" t="s">
        <v>92</v>
      </c>
      <c r="C222">
        <v>50</v>
      </c>
      <c r="D222" s="69">
        <v>3</v>
      </c>
    </row>
    <row r="223" spans="1:4">
      <c r="A223">
        <v>2001</v>
      </c>
      <c r="B223" t="s">
        <v>92</v>
      </c>
      <c r="C223">
        <v>55</v>
      </c>
      <c r="D223" s="69">
        <v>2</v>
      </c>
    </row>
    <row r="224" spans="1:4">
      <c r="A224">
        <v>2001</v>
      </c>
      <c r="B224" t="s">
        <v>92</v>
      </c>
      <c r="C224">
        <v>60</v>
      </c>
      <c r="D224" s="69">
        <v>0</v>
      </c>
    </row>
    <row r="225" spans="1:4">
      <c r="A225">
        <v>2001</v>
      </c>
      <c r="B225" t="s">
        <v>92</v>
      </c>
      <c r="C225">
        <v>65</v>
      </c>
      <c r="D225" s="69">
        <v>0</v>
      </c>
    </row>
    <row r="226" spans="1:4">
      <c r="A226">
        <v>2001</v>
      </c>
      <c r="B226" t="s">
        <v>92</v>
      </c>
      <c r="C226">
        <v>70</v>
      </c>
      <c r="D226" s="69">
        <v>0</v>
      </c>
    </row>
    <row r="227" spans="1:4">
      <c r="A227">
        <v>2001</v>
      </c>
      <c r="B227" t="s">
        <v>92</v>
      </c>
      <c r="C227">
        <v>75</v>
      </c>
      <c r="D227" s="69">
        <v>1</v>
      </c>
    </row>
    <row r="228" spans="1:4">
      <c r="A228">
        <v>2001</v>
      </c>
      <c r="B228" t="s">
        <v>92</v>
      </c>
      <c r="C228">
        <v>80</v>
      </c>
      <c r="D228" s="69">
        <v>1</v>
      </c>
    </row>
    <row r="229" spans="1:4">
      <c r="A229">
        <v>2001</v>
      </c>
      <c r="B229" t="s">
        <v>92</v>
      </c>
      <c r="C229">
        <v>85</v>
      </c>
      <c r="D229" s="69">
        <v>0</v>
      </c>
    </row>
    <row r="230" spans="1:4">
      <c r="A230">
        <v>2002</v>
      </c>
      <c r="B230" t="s">
        <v>92</v>
      </c>
      <c r="C230">
        <v>0</v>
      </c>
      <c r="D230" s="69">
        <v>0</v>
      </c>
    </row>
    <row r="231" spans="1:4">
      <c r="A231">
        <v>2002</v>
      </c>
      <c r="B231" t="s">
        <v>92</v>
      </c>
      <c r="C231">
        <v>1</v>
      </c>
      <c r="D231" s="69">
        <v>0</v>
      </c>
    </row>
    <row r="232" spans="1:4">
      <c r="A232">
        <v>2002</v>
      </c>
      <c r="B232" t="s">
        <v>92</v>
      </c>
      <c r="C232">
        <v>5</v>
      </c>
      <c r="D232" s="69">
        <v>0</v>
      </c>
    </row>
    <row r="233" spans="1:4">
      <c r="A233">
        <v>2002</v>
      </c>
      <c r="B233" t="s">
        <v>92</v>
      </c>
      <c r="C233">
        <v>10</v>
      </c>
      <c r="D233" s="69">
        <v>1</v>
      </c>
    </row>
    <row r="234" spans="1:4">
      <c r="A234">
        <v>2002</v>
      </c>
      <c r="B234" t="s">
        <v>92</v>
      </c>
      <c r="C234">
        <v>15</v>
      </c>
      <c r="D234" s="69">
        <v>2</v>
      </c>
    </row>
    <row r="235" spans="1:4">
      <c r="A235">
        <v>2002</v>
      </c>
      <c r="B235" t="s">
        <v>92</v>
      </c>
      <c r="C235">
        <v>20</v>
      </c>
      <c r="D235" s="69">
        <v>4</v>
      </c>
    </row>
    <row r="236" spans="1:4">
      <c r="A236">
        <v>2002</v>
      </c>
      <c r="B236" t="s">
        <v>92</v>
      </c>
      <c r="C236">
        <v>25</v>
      </c>
      <c r="D236" s="69">
        <v>5</v>
      </c>
    </row>
    <row r="237" spans="1:4">
      <c r="A237">
        <v>2002</v>
      </c>
      <c r="B237" t="s">
        <v>92</v>
      </c>
      <c r="C237">
        <v>30</v>
      </c>
      <c r="D237" s="69">
        <v>8</v>
      </c>
    </row>
    <row r="238" spans="1:4">
      <c r="A238">
        <v>2002</v>
      </c>
      <c r="B238" t="s">
        <v>92</v>
      </c>
      <c r="C238">
        <v>35</v>
      </c>
      <c r="D238" s="69">
        <v>3</v>
      </c>
    </row>
    <row r="239" spans="1:4">
      <c r="A239">
        <v>2002</v>
      </c>
      <c r="B239" t="s">
        <v>92</v>
      </c>
      <c r="C239">
        <v>40</v>
      </c>
      <c r="D239" s="69">
        <v>5</v>
      </c>
    </row>
    <row r="240" spans="1:4">
      <c r="A240">
        <v>2002</v>
      </c>
      <c r="B240" t="s">
        <v>92</v>
      </c>
      <c r="C240">
        <v>45</v>
      </c>
      <c r="D240" s="69">
        <v>3</v>
      </c>
    </row>
    <row r="241" spans="1:4">
      <c r="A241">
        <v>2002</v>
      </c>
      <c r="B241" t="s">
        <v>92</v>
      </c>
      <c r="C241">
        <v>50</v>
      </c>
      <c r="D241" s="69">
        <v>2</v>
      </c>
    </row>
    <row r="242" spans="1:4">
      <c r="A242">
        <v>2002</v>
      </c>
      <c r="B242" t="s">
        <v>92</v>
      </c>
      <c r="C242">
        <v>55</v>
      </c>
      <c r="D242" s="69">
        <v>0</v>
      </c>
    </row>
    <row r="243" spans="1:4">
      <c r="A243">
        <v>2002</v>
      </c>
      <c r="B243" t="s">
        <v>92</v>
      </c>
      <c r="C243">
        <v>60</v>
      </c>
      <c r="D243" s="69">
        <v>2</v>
      </c>
    </row>
    <row r="244" spans="1:4">
      <c r="A244">
        <v>2002</v>
      </c>
      <c r="B244" t="s">
        <v>92</v>
      </c>
      <c r="C244">
        <v>65</v>
      </c>
      <c r="D244" s="69">
        <v>0</v>
      </c>
    </row>
    <row r="245" spans="1:4">
      <c r="A245">
        <v>2002</v>
      </c>
      <c r="B245" t="s">
        <v>92</v>
      </c>
      <c r="C245">
        <v>70</v>
      </c>
      <c r="D245" s="69">
        <v>0</v>
      </c>
    </row>
    <row r="246" spans="1:4">
      <c r="A246">
        <v>2002</v>
      </c>
      <c r="B246" t="s">
        <v>92</v>
      </c>
      <c r="C246">
        <v>75</v>
      </c>
      <c r="D246" s="69">
        <v>2</v>
      </c>
    </row>
    <row r="247" spans="1:4">
      <c r="A247">
        <v>2002</v>
      </c>
      <c r="B247" t="s">
        <v>92</v>
      </c>
      <c r="C247">
        <v>80</v>
      </c>
      <c r="D247" s="69">
        <v>0</v>
      </c>
    </row>
    <row r="248" spans="1:4">
      <c r="A248">
        <v>2002</v>
      </c>
      <c r="B248" t="s">
        <v>92</v>
      </c>
      <c r="C248">
        <v>85</v>
      </c>
      <c r="D248" s="69">
        <v>0</v>
      </c>
    </row>
    <row r="249" spans="1:4">
      <c r="A249">
        <v>2003</v>
      </c>
      <c r="B249" t="s">
        <v>92</v>
      </c>
      <c r="C249">
        <v>0</v>
      </c>
      <c r="D249" s="69">
        <v>0</v>
      </c>
    </row>
    <row r="250" spans="1:4">
      <c r="A250">
        <v>2003</v>
      </c>
      <c r="B250" t="s">
        <v>92</v>
      </c>
      <c r="C250">
        <v>1</v>
      </c>
      <c r="D250" s="69">
        <v>0</v>
      </c>
    </row>
    <row r="251" spans="1:4">
      <c r="A251">
        <v>2003</v>
      </c>
      <c r="B251" t="s">
        <v>92</v>
      </c>
      <c r="C251">
        <v>5</v>
      </c>
      <c r="D251" s="69">
        <v>0</v>
      </c>
    </row>
    <row r="252" spans="1:4">
      <c r="A252">
        <v>2003</v>
      </c>
      <c r="B252" t="s">
        <v>92</v>
      </c>
      <c r="C252">
        <v>10</v>
      </c>
      <c r="D252" s="69">
        <v>0</v>
      </c>
    </row>
    <row r="253" spans="1:4">
      <c r="A253">
        <v>2003</v>
      </c>
      <c r="B253" t="s">
        <v>92</v>
      </c>
      <c r="C253">
        <v>15</v>
      </c>
      <c r="D253" s="69">
        <v>3</v>
      </c>
    </row>
    <row r="254" spans="1:4">
      <c r="A254">
        <v>2003</v>
      </c>
      <c r="B254" t="s">
        <v>92</v>
      </c>
      <c r="C254">
        <v>20</v>
      </c>
      <c r="D254" s="69">
        <v>3</v>
      </c>
    </row>
    <row r="255" spans="1:4">
      <c r="A255">
        <v>2003</v>
      </c>
      <c r="B255" t="s">
        <v>92</v>
      </c>
      <c r="C255">
        <v>25</v>
      </c>
      <c r="D255" s="69">
        <v>7</v>
      </c>
    </row>
    <row r="256" spans="1:4">
      <c r="A256">
        <v>2003</v>
      </c>
      <c r="B256" t="s">
        <v>92</v>
      </c>
      <c r="C256">
        <v>30</v>
      </c>
      <c r="D256" s="69">
        <v>6</v>
      </c>
    </row>
    <row r="257" spans="1:4">
      <c r="A257">
        <v>2003</v>
      </c>
      <c r="B257" t="s">
        <v>92</v>
      </c>
      <c r="C257">
        <v>35</v>
      </c>
      <c r="D257" s="69">
        <v>3</v>
      </c>
    </row>
    <row r="258" spans="1:4">
      <c r="A258">
        <v>2003</v>
      </c>
      <c r="B258" t="s">
        <v>92</v>
      </c>
      <c r="C258">
        <v>40</v>
      </c>
      <c r="D258" s="69">
        <v>3</v>
      </c>
    </row>
    <row r="259" spans="1:4">
      <c r="A259">
        <v>2003</v>
      </c>
      <c r="B259" t="s">
        <v>92</v>
      </c>
      <c r="C259">
        <v>45</v>
      </c>
      <c r="D259" s="69">
        <v>0</v>
      </c>
    </row>
    <row r="260" spans="1:4">
      <c r="A260">
        <v>2003</v>
      </c>
      <c r="B260" t="s">
        <v>92</v>
      </c>
      <c r="C260">
        <v>50</v>
      </c>
      <c r="D260" s="69">
        <v>3</v>
      </c>
    </row>
    <row r="261" spans="1:4">
      <c r="A261">
        <v>2003</v>
      </c>
      <c r="B261" t="s">
        <v>92</v>
      </c>
      <c r="C261">
        <v>55</v>
      </c>
      <c r="D261" s="69">
        <v>2</v>
      </c>
    </row>
    <row r="262" spans="1:4">
      <c r="A262">
        <v>2003</v>
      </c>
      <c r="B262" t="s">
        <v>92</v>
      </c>
      <c r="C262">
        <v>60</v>
      </c>
      <c r="D262" s="69">
        <v>1</v>
      </c>
    </row>
    <row r="263" spans="1:4">
      <c r="A263">
        <v>2003</v>
      </c>
      <c r="B263" t="s">
        <v>92</v>
      </c>
      <c r="C263">
        <v>65</v>
      </c>
      <c r="D263" s="69">
        <v>0</v>
      </c>
    </row>
    <row r="264" spans="1:4">
      <c r="A264">
        <v>2003</v>
      </c>
      <c r="B264" t="s">
        <v>92</v>
      </c>
      <c r="C264">
        <v>70</v>
      </c>
      <c r="D264" s="69">
        <v>0</v>
      </c>
    </row>
    <row r="265" spans="1:4">
      <c r="A265">
        <v>2003</v>
      </c>
      <c r="B265" t="s">
        <v>92</v>
      </c>
      <c r="C265">
        <v>75</v>
      </c>
      <c r="D265" s="69">
        <v>0</v>
      </c>
    </row>
    <row r="266" spans="1:4">
      <c r="A266">
        <v>2003</v>
      </c>
      <c r="B266" t="s">
        <v>92</v>
      </c>
      <c r="C266">
        <v>80</v>
      </c>
      <c r="D266" s="69">
        <v>0</v>
      </c>
    </row>
    <row r="267" spans="1:4">
      <c r="A267">
        <v>2003</v>
      </c>
      <c r="B267" t="s">
        <v>92</v>
      </c>
      <c r="C267">
        <v>85</v>
      </c>
      <c r="D267" s="69">
        <v>0</v>
      </c>
    </row>
    <row r="268" spans="1:4">
      <c r="A268">
        <v>2004</v>
      </c>
      <c r="B268" t="s">
        <v>92</v>
      </c>
      <c r="C268">
        <v>0</v>
      </c>
      <c r="D268" s="69">
        <v>0</v>
      </c>
    </row>
    <row r="269" spans="1:4">
      <c r="A269">
        <v>2004</v>
      </c>
      <c r="B269" t="s">
        <v>92</v>
      </c>
      <c r="C269">
        <v>1</v>
      </c>
      <c r="D269" s="69">
        <v>1</v>
      </c>
    </row>
    <row r="270" spans="1:4">
      <c r="A270">
        <v>2004</v>
      </c>
      <c r="B270" t="s">
        <v>92</v>
      </c>
      <c r="C270">
        <v>5</v>
      </c>
      <c r="D270" s="69">
        <v>0</v>
      </c>
    </row>
    <row r="271" spans="1:4">
      <c r="A271">
        <v>2004</v>
      </c>
      <c r="B271" t="s">
        <v>92</v>
      </c>
      <c r="C271">
        <v>10</v>
      </c>
      <c r="D271" s="69">
        <v>1</v>
      </c>
    </row>
    <row r="272" spans="1:4">
      <c r="A272">
        <v>2004</v>
      </c>
      <c r="B272" t="s">
        <v>92</v>
      </c>
      <c r="C272">
        <v>15</v>
      </c>
      <c r="D272" s="69">
        <v>1</v>
      </c>
    </row>
    <row r="273" spans="1:4">
      <c r="A273">
        <v>2004</v>
      </c>
      <c r="B273" t="s">
        <v>92</v>
      </c>
      <c r="C273">
        <v>20</v>
      </c>
      <c r="D273" s="69">
        <v>3</v>
      </c>
    </row>
    <row r="274" spans="1:4">
      <c r="A274">
        <v>2004</v>
      </c>
      <c r="B274" t="s">
        <v>92</v>
      </c>
      <c r="C274">
        <v>25</v>
      </c>
      <c r="D274" s="69">
        <v>3</v>
      </c>
    </row>
    <row r="275" spans="1:4">
      <c r="A275">
        <v>2004</v>
      </c>
      <c r="B275" t="s">
        <v>92</v>
      </c>
      <c r="C275">
        <v>30</v>
      </c>
      <c r="D275" s="69">
        <v>4</v>
      </c>
    </row>
    <row r="276" spans="1:4">
      <c r="A276">
        <v>2004</v>
      </c>
      <c r="B276" t="s">
        <v>92</v>
      </c>
      <c r="C276">
        <v>35</v>
      </c>
      <c r="D276" s="69">
        <v>8</v>
      </c>
    </row>
    <row r="277" spans="1:4">
      <c r="A277">
        <v>2004</v>
      </c>
      <c r="B277" t="s">
        <v>92</v>
      </c>
      <c r="C277">
        <v>40</v>
      </c>
      <c r="D277" s="69">
        <v>10</v>
      </c>
    </row>
    <row r="278" spans="1:4">
      <c r="A278">
        <v>2004</v>
      </c>
      <c r="B278" t="s">
        <v>92</v>
      </c>
      <c r="C278">
        <v>45</v>
      </c>
      <c r="D278" s="69">
        <v>6</v>
      </c>
    </row>
    <row r="279" spans="1:4">
      <c r="A279">
        <v>2004</v>
      </c>
      <c r="B279" t="s">
        <v>92</v>
      </c>
      <c r="C279">
        <v>50</v>
      </c>
      <c r="D279" s="69">
        <v>1</v>
      </c>
    </row>
    <row r="280" spans="1:4">
      <c r="A280">
        <v>2004</v>
      </c>
      <c r="B280" t="s">
        <v>92</v>
      </c>
      <c r="C280">
        <v>55</v>
      </c>
      <c r="D280" s="69">
        <v>3</v>
      </c>
    </row>
    <row r="281" spans="1:4">
      <c r="A281">
        <v>2004</v>
      </c>
      <c r="B281" t="s">
        <v>92</v>
      </c>
      <c r="C281">
        <v>60</v>
      </c>
      <c r="D281" s="69">
        <v>1</v>
      </c>
    </row>
    <row r="282" spans="1:4">
      <c r="A282">
        <v>2004</v>
      </c>
      <c r="B282" t="s">
        <v>92</v>
      </c>
      <c r="C282">
        <v>65</v>
      </c>
      <c r="D282" s="69">
        <v>0</v>
      </c>
    </row>
    <row r="283" spans="1:4">
      <c r="A283">
        <v>2004</v>
      </c>
      <c r="B283" t="s">
        <v>92</v>
      </c>
      <c r="C283">
        <v>70</v>
      </c>
      <c r="D283" s="69">
        <v>0</v>
      </c>
    </row>
    <row r="284" spans="1:4">
      <c r="A284">
        <v>2004</v>
      </c>
      <c r="B284" t="s">
        <v>92</v>
      </c>
      <c r="C284">
        <v>75</v>
      </c>
      <c r="D284" s="69">
        <v>1</v>
      </c>
    </row>
    <row r="285" spans="1:4">
      <c r="A285">
        <v>2004</v>
      </c>
      <c r="B285" t="s">
        <v>92</v>
      </c>
      <c r="C285">
        <v>80</v>
      </c>
      <c r="D285" s="69">
        <v>1</v>
      </c>
    </row>
    <row r="286" spans="1:4">
      <c r="A286">
        <v>2004</v>
      </c>
      <c r="B286" t="s">
        <v>92</v>
      </c>
      <c r="C286">
        <v>85</v>
      </c>
      <c r="D286" s="69">
        <v>0</v>
      </c>
    </row>
    <row r="287" spans="1:4">
      <c r="A287">
        <v>2005</v>
      </c>
      <c r="B287" t="s">
        <v>92</v>
      </c>
      <c r="C287">
        <v>0</v>
      </c>
      <c r="D287" s="69">
        <v>0</v>
      </c>
    </row>
    <row r="288" spans="1:4">
      <c r="A288">
        <v>2005</v>
      </c>
      <c r="B288" t="s">
        <v>92</v>
      </c>
      <c r="C288">
        <v>1</v>
      </c>
      <c r="D288" s="69">
        <v>2</v>
      </c>
    </row>
    <row r="289" spans="1:4">
      <c r="A289">
        <v>2005</v>
      </c>
      <c r="B289" t="s">
        <v>92</v>
      </c>
      <c r="C289">
        <v>5</v>
      </c>
      <c r="D289" s="69">
        <v>0</v>
      </c>
    </row>
    <row r="290" spans="1:4">
      <c r="A290">
        <v>2005</v>
      </c>
      <c r="B290" t="s">
        <v>92</v>
      </c>
      <c r="C290">
        <v>10</v>
      </c>
      <c r="D290" s="69">
        <v>0</v>
      </c>
    </row>
    <row r="291" spans="1:4">
      <c r="A291">
        <v>2005</v>
      </c>
      <c r="B291" t="s">
        <v>92</v>
      </c>
      <c r="C291">
        <v>15</v>
      </c>
      <c r="D291" s="69">
        <v>0</v>
      </c>
    </row>
    <row r="292" spans="1:4">
      <c r="A292">
        <v>2005</v>
      </c>
      <c r="B292" t="s">
        <v>92</v>
      </c>
      <c r="C292">
        <v>20</v>
      </c>
      <c r="D292" s="69">
        <v>1</v>
      </c>
    </row>
    <row r="293" spans="1:4">
      <c r="A293">
        <v>2005</v>
      </c>
      <c r="B293" t="s">
        <v>92</v>
      </c>
      <c r="C293">
        <v>25</v>
      </c>
      <c r="D293" s="69">
        <v>4</v>
      </c>
    </row>
    <row r="294" spans="1:4">
      <c r="A294">
        <v>2005</v>
      </c>
      <c r="B294" t="s">
        <v>92</v>
      </c>
      <c r="C294">
        <v>30</v>
      </c>
      <c r="D294" s="69">
        <v>6</v>
      </c>
    </row>
    <row r="295" spans="1:4">
      <c r="A295">
        <v>2005</v>
      </c>
      <c r="B295" t="s">
        <v>92</v>
      </c>
      <c r="C295">
        <v>35</v>
      </c>
      <c r="D295" s="69">
        <v>5</v>
      </c>
    </row>
    <row r="296" spans="1:4">
      <c r="A296">
        <v>2005</v>
      </c>
      <c r="B296" t="s">
        <v>92</v>
      </c>
      <c r="C296">
        <v>40</v>
      </c>
      <c r="D296" s="69">
        <v>4</v>
      </c>
    </row>
    <row r="297" spans="1:4">
      <c r="A297">
        <v>2005</v>
      </c>
      <c r="B297" t="s">
        <v>92</v>
      </c>
      <c r="C297">
        <v>45</v>
      </c>
      <c r="D297" s="69">
        <v>6</v>
      </c>
    </row>
    <row r="298" spans="1:4">
      <c r="A298">
        <v>2005</v>
      </c>
      <c r="B298" t="s">
        <v>92</v>
      </c>
      <c r="C298">
        <v>50</v>
      </c>
      <c r="D298" s="69">
        <v>1</v>
      </c>
    </row>
    <row r="299" spans="1:4">
      <c r="A299">
        <v>2005</v>
      </c>
      <c r="B299" t="s">
        <v>92</v>
      </c>
      <c r="C299">
        <v>55</v>
      </c>
      <c r="D299" s="69">
        <v>2</v>
      </c>
    </row>
    <row r="300" spans="1:4">
      <c r="A300">
        <v>2005</v>
      </c>
      <c r="B300" t="s">
        <v>92</v>
      </c>
      <c r="C300">
        <v>60</v>
      </c>
      <c r="D300" s="69">
        <v>3</v>
      </c>
    </row>
    <row r="301" spans="1:4">
      <c r="A301">
        <v>2005</v>
      </c>
      <c r="B301" t="s">
        <v>92</v>
      </c>
      <c r="C301">
        <v>65</v>
      </c>
      <c r="D301" s="69">
        <v>0</v>
      </c>
    </row>
    <row r="302" spans="1:4">
      <c r="A302">
        <v>2005</v>
      </c>
      <c r="B302" t="s">
        <v>92</v>
      </c>
      <c r="C302">
        <v>70</v>
      </c>
      <c r="D302" s="69">
        <v>0</v>
      </c>
    </row>
    <row r="303" spans="1:4">
      <c r="A303">
        <v>2005</v>
      </c>
      <c r="B303" t="s">
        <v>92</v>
      </c>
      <c r="C303">
        <v>75</v>
      </c>
      <c r="D303" s="69">
        <v>0</v>
      </c>
    </row>
    <row r="304" spans="1:4">
      <c r="A304">
        <v>2005</v>
      </c>
      <c r="B304" t="s">
        <v>92</v>
      </c>
      <c r="C304">
        <v>80</v>
      </c>
      <c r="D304" s="69">
        <v>0</v>
      </c>
    </row>
    <row r="305" spans="1:4">
      <c r="A305">
        <v>2005</v>
      </c>
      <c r="B305" t="s">
        <v>92</v>
      </c>
      <c r="C305">
        <v>85</v>
      </c>
      <c r="D305" s="69">
        <v>0</v>
      </c>
    </row>
    <row r="306" spans="1:4">
      <c r="A306">
        <v>2006</v>
      </c>
      <c r="B306" t="s">
        <v>92</v>
      </c>
      <c r="C306">
        <v>0</v>
      </c>
      <c r="D306" s="69">
        <v>0</v>
      </c>
    </row>
    <row r="307" spans="1:4">
      <c r="A307">
        <v>2006</v>
      </c>
      <c r="B307" t="s">
        <v>92</v>
      </c>
      <c r="C307">
        <v>1</v>
      </c>
      <c r="D307" s="69">
        <v>1</v>
      </c>
    </row>
    <row r="308" spans="1:4">
      <c r="A308">
        <v>2006</v>
      </c>
      <c r="B308" t="s">
        <v>92</v>
      </c>
      <c r="C308">
        <v>5</v>
      </c>
      <c r="D308" s="69">
        <v>0</v>
      </c>
    </row>
    <row r="309" spans="1:4">
      <c r="A309">
        <v>2006</v>
      </c>
      <c r="B309" t="s">
        <v>92</v>
      </c>
      <c r="C309">
        <v>10</v>
      </c>
      <c r="D309" s="69">
        <v>1</v>
      </c>
    </row>
    <row r="310" spans="1:4">
      <c r="A310">
        <v>2006</v>
      </c>
      <c r="B310" t="s">
        <v>92</v>
      </c>
      <c r="C310">
        <v>15</v>
      </c>
      <c r="D310" s="69">
        <v>2</v>
      </c>
    </row>
    <row r="311" spans="1:4">
      <c r="A311">
        <v>2006</v>
      </c>
      <c r="B311" t="s">
        <v>92</v>
      </c>
      <c r="C311">
        <v>20</v>
      </c>
      <c r="D311" s="69">
        <v>1</v>
      </c>
    </row>
    <row r="312" spans="1:4">
      <c r="A312">
        <v>2006</v>
      </c>
      <c r="B312" t="s">
        <v>92</v>
      </c>
      <c r="C312">
        <v>25</v>
      </c>
      <c r="D312" s="69">
        <v>7</v>
      </c>
    </row>
    <row r="313" spans="1:4">
      <c r="A313">
        <v>2006</v>
      </c>
      <c r="B313" t="s">
        <v>92</v>
      </c>
      <c r="C313">
        <v>30</v>
      </c>
      <c r="D313" s="69">
        <v>5</v>
      </c>
    </row>
    <row r="314" spans="1:4">
      <c r="A314">
        <v>2006</v>
      </c>
      <c r="B314" t="s">
        <v>92</v>
      </c>
      <c r="C314">
        <v>35</v>
      </c>
      <c r="D314" s="69">
        <v>2</v>
      </c>
    </row>
    <row r="315" spans="1:4">
      <c r="A315">
        <v>2006</v>
      </c>
      <c r="B315" t="s">
        <v>92</v>
      </c>
      <c r="C315">
        <v>40</v>
      </c>
      <c r="D315" s="69">
        <v>4</v>
      </c>
    </row>
    <row r="316" spans="1:4">
      <c r="A316">
        <v>2006</v>
      </c>
      <c r="B316" t="s">
        <v>92</v>
      </c>
      <c r="C316">
        <v>45</v>
      </c>
      <c r="D316" s="69">
        <v>2</v>
      </c>
    </row>
    <row r="317" spans="1:4">
      <c r="A317">
        <v>2006</v>
      </c>
      <c r="B317" t="s">
        <v>92</v>
      </c>
      <c r="C317">
        <v>50</v>
      </c>
      <c r="D317" s="69">
        <v>5</v>
      </c>
    </row>
    <row r="318" spans="1:4">
      <c r="A318">
        <v>2006</v>
      </c>
      <c r="B318" t="s">
        <v>92</v>
      </c>
      <c r="C318">
        <v>55</v>
      </c>
      <c r="D318" s="69">
        <v>3</v>
      </c>
    </row>
    <row r="319" spans="1:4">
      <c r="A319">
        <v>2006</v>
      </c>
      <c r="B319" t="s">
        <v>92</v>
      </c>
      <c r="C319">
        <v>60</v>
      </c>
      <c r="D319" s="69">
        <v>1</v>
      </c>
    </row>
    <row r="320" spans="1:4">
      <c r="A320">
        <v>2006</v>
      </c>
      <c r="B320" t="s">
        <v>92</v>
      </c>
      <c r="C320">
        <v>65</v>
      </c>
      <c r="D320" s="69">
        <v>0</v>
      </c>
    </row>
    <row r="321" spans="1:4">
      <c r="A321">
        <v>2006</v>
      </c>
      <c r="B321" t="s">
        <v>92</v>
      </c>
      <c r="C321">
        <v>70</v>
      </c>
      <c r="D321" s="69">
        <v>0</v>
      </c>
    </row>
    <row r="322" spans="1:4">
      <c r="A322">
        <v>2006</v>
      </c>
      <c r="B322" t="s">
        <v>92</v>
      </c>
      <c r="C322">
        <v>75</v>
      </c>
      <c r="D322" s="69">
        <v>0</v>
      </c>
    </row>
    <row r="323" spans="1:4">
      <c r="A323">
        <v>2006</v>
      </c>
      <c r="B323" t="s">
        <v>92</v>
      </c>
      <c r="C323">
        <v>80</v>
      </c>
      <c r="D323" s="69">
        <v>0</v>
      </c>
    </row>
    <row r="324" spans="1:4">
      <c r="A324">
        <v>2006</v>
      </c>
      <c r="B324" t="s">
        <v>92</v>
      </c>
      <c r="C324">
        <v>85</v>
      </c>
      <c r="D324" s="69">
        <v>2</v>
      </c>
    </row>
    <row r="325" spans="1:4">
      <c r="A325">
        <v>2007</v>
      </c>
      <c r="B325" t="s">
        <v>92</v>
      </c>
      <c r="C325">
        <v>0</v>
      </c>
      <c r="D325" s="69">
        <v>0</v>
      </c>
    </row>
    <row r="326" spans="1:4">
      <c r="A326">
        <v>2007</v>
      </c>
      <c r="B326" t="s">
        <v>92</v>
      </c>
      <c r="C326">
        <v>1</v>
      </c>
      <c r="D326" s="69">
        <v>0</v>
      </c>
    </row>
    <row r="327" spans="1:4">
      <c r="A327">
        <v>2007</v>
      </c>
      <c r="B327" t="s">
        <v>92</v>
      </c>
      <c r="C327">
        <v>5</v>
      </c>
      <c r="D327" s="69">
        <v>1</v>
      </c>
    </row>
    <row r="328" spans="1:4">
      <c r="A328">
        <v>2007</v>
      </c>
      <c r="B328" t="s">
        <v>92</v>
      </c>
      <c r="C328">
        <v>10</v>
      </c>
      <c r="D328" s="69">
        <v>0</v>
      </c>
    </row>
    <row r="329" spans="1:4">
      <c r="A329">
        <v>2007</v>
      </c>
      <c r="B329" t="s">
        <v>92</v>
      </c>
      <c r="C329">
        <v>15</v>
      </c>
      <c r="D329" s="69">
        <v>2</v>
      </c>
    </row>
    <row r="330" spans="1:4">
      <c r="A330">
        <v>2007</v>
      </c>
      <c r="B330" t="s">
        <v>92</v>
      </c>
      <c r="C330">
        <v>20</v>
      </c>
      <c r="D330" s="69">
        <v>2</v>
      </c>
    </row>
    <row r="331" spans="1:4">
      <c r="A331">
        <v>2007</v>
      </c>
      <c r="B331" t="s">
        <v>92</v>
      </c>
      <c r="C331">
        <v>25</v>
      </c>
      <c r="D331" s="69">
        <v>7</v>
      </c>
    </row>
    <row r="332" spans="1:4">
      <c r="A332">
        <v>2007</v>
      </c>
      <c r="B332" t="s">
        <v>92</v>
      </c>
      <c r="C332">
        <v>30</v>
      </c>
      <c r="D332" s="69">
        <v>9</v>
      </c>
    </row>
    <row r="333" spans="1:4">
      <c r="A333">
        <v>2007</v>
      </c>
      <c r="B333" t="s">
        <v>92</v>
      </c>
      <c r="C333">
        <v>35</v>
      </c>
      <c r="D333" s="69">
        <v>3</v>
      </c>
    </row>
    <row r="334" spans="1:4">
      <c r="A334">
        <v>2007</v>
      </c>
      <c r="B334" t="s">
        <v>92</v>
      </c>
      <c r="C334">
        <v>40</v>
      </c>
      <c r="D334" s="69">
        <v>1</v>
      </c>
    </row>
    <row r="335" spans="1:4">
      <c r="A335">
        <v>2007</v>
      </c>
      <c r="B335" t="s">
        <v>92</v>
      </c>
      <c r="C335">
        <v>45</v>
      </c>
      <c r="D335" s="69">
        <v>5</v>
      </c>
    </row>
    <row r="336" spans="1:4">
      <c r="A336">
        <v>2007</v>
      </c>
      <c r="B336" t="s">
        <v>92</v>
      </c>
      <c r="C336">
        <v>50</v>
      </c>
      <c r="D336" s="69">
        <v>0</v>
      </c>
    </row>
    <row r="337" spans="1:4">
      <c r="A337">
        <v>2007</v>
      </c>
      <c r="B337" t="s">
        <v>92</v>
      </c>
      <c r="C337">
        <v>55</v>
      </c>
      <c r="D337" s="69">
        <v>0</v>
      </c>
    </row>
    <row r="338" spans="1:4">
      <c r="A338">
        <v>2007</v>
      </c>
      <c r="B338" t="s">
        <v>92</v>
      </c>
      <c r="C338">
        <v>60</v>
      </c>
      <c r="D338" s="69">
        <v>4</v>
      </c>
    </row>
    <row r="339" spans="1:4">
      <c r="A339">
        <v>2007</v>
      </c>
      <c r="B339" t="s">
        <v>92</v>
      </c>
      <c r="C339">
        <v>65</v>
      </c>
      <c r="D339" s="69">
        <v>0</v>
      </c>
    </row>
    <row r="340" spans="1:4">
      <c r="A340">
        <v>2007</v>
      </c>
      <c r="B340" t="s">
        <v>92</v>
      </c>
      <c r="C340">
        <v>70</v>
      </c>
      <c r="D340" s="69">
        <v>0</v>
      </c>
    </row>
    <row r="341" spans="1:4">
      <c r="A341">
        <v>2007</v>
      </c>
      <c r="B341" t="s">
        <v>92</v>
      </c>
      <c r="C341">
        <v>75</v>
      </c>
      <c r="D341" s="69">
        <v>1</v>
      </c>
    </row>
    <row r="342" spans="1:4">
      <c r="A342">
        <v>2007</v>
      </c>
      <c r="B342" t="s">
        <v>92</v>
      </c>
      <c r="C342">
        <v>80</v>
      </c>
      <c r="D342" s="69">
        <v>0</v>
      </c>
    </row>
    <row r="343" spans="1:4">
      <c r="A343">
        <v>2007</v>
      </c>
      <c r="B343" t="s">
        <v>92</v>
      </c>
      <c r="C343">
        <v>85</v>
      </c>
      <c r="D343" s="69">
        <v>0</v>
      </c>
    </row>
    <row r="344" spans="1:4">
      <c r="A344">
        <v>2008</v>
      </c>
      <c r="B344" t="s">
        <v>92</v>
      </c>
      <c r="C344">
        <v>0</v>
      </c>
      <c r="D344" s="69">
        <v>2</v>
      </c>
    </row>
    <row r="345" spans="1:4">
      <c r="A345">
        <v>2008</v>
      </c>
      <c r="B345" t="s">
        <v>92</v>
      </c>
      <c r="C345">
        <v>1</v>
      </c>
      <c r="D345" s="69">
        <v>0</v>
      </c>
    </row>
    <row r="346" spans="1:4">
      <c r="A346">
        <v>2008</v>
      </c>
      <c r="B346" t="s">
        <v>92</v>
      </c>
      <c r="C346">
        <v>5</v>
      </c>
      <c r="D346" s="69">
        <v>0</v>
      </c>
    </row>
    <row r="347" spans="1:4">
      <c r="A347">
        <v>2008</v>
      </c>
      <c r="B347" t="s">
        <v>92</v>
      </c>
      <c r="C347">
        <v>10</v>
      </c>
      <c r="D347" s="69">
        <v>1</v>
      </c>
    </row>
    <row r="348" spans="1:4">
      <c r="A348">
        <v>2008</v>
      </c>
      <c r="B348" t="s">
        <v>92</v>
      </c>
      <c r="C348">
        <v>15</v>
      </c>
      <c r="D348" s="69">
        <v>1</v>
      </c>
    </row>
    <row r="349" spans="1:4">
      <c r="A349">
        <v>2008</v>
      </c>
      <c r="B349" t="s">
        <v>92</v>
      </c>
      <c r="C349">
        <v>20</v>
      </c>
      <c r="D349" s="69">
        <v>4</v>
      </c>
    </row>
    <row r="350" spans="1:4">
      <c r="A350">
        <v>2008</v>
      </c>
      <c r="B350" t="s">
        <v>92</v>
      </c>
      <c r="C350">
        <v>25</v>
      </c>
      <c r="D350" s="69">
        <v>7</v>
      </c>
    </row>
    <row r="351" spans="1:4">
      <c r="A351">
        <v>2008</v>
      </c>
      <c r="B351" t="s">
        <v>92</v>
      </c>
      <c r="C351">
        <v>30</v>
      </c>
      <c r="D351" s="69">
        <v>8</v>
      </c>
    </row>
    <row r="352" spans="1:4">
      <c r="A352">
        <v>2008</v>
      </c>
      <c r="B352" t="s">
        <v>92</v>
      </c>
      <c r="C352">
        <v>35</v>
      </c>
      <c r="D352" s="69">
        <v>1</v>
      </c>
    </row>
    <row r="353" spans="1:4">
      <c r="A353">
        <v>2008</v>
      </c>
      <c r="B353" t="s">
        <v>92</v>
      </c>
      <c r="C353">
        <v>40</v>
      </c>
      <c r="D353" s="69">
        <v>6</v>
      </c>
    </row>
    <row r="354" spans="1:4">
      <c r="A354">
        <v>2008</v>
      </c>
      <c r="B354" t="s">
        <v>92</v>
      </c>
      <c r="C354">
        <v>45</v>
      </c>
      <c r="D354" s="69">
        <v>6</v>
      </c>
    </row>
    <row r="355" spans="1:4">
      <c r="A355">
        <v>2008</v>
      </c>
      <c r="B355" t="s">
        <v>92</v>
      </c>
      <c r="C355">
        <v>50</v>
      </c>
      <c r="D355" s="69">
        <v>2</v>
      </c>
    </row>
    <row r="356" spans="1:4">
      <c r="A356">
        <v>2008</v>
      </c>
      <c r="B356" t="s">
        <v>92</v>
      </c>
      <c r="C356">
        <v>55</v>
      </c>
      <c r="D356" s="69">
        <v>1</v>
      </c>
    </row>
    <row r="357" spans="1:4">
      <c r="A357">
        <v>2008</v>
      </c>
      <c r="B357" t="s">
        <v>92</v>
      </c>
      <c r="C357">
        <v>60</v>
      </c>
      <c r="D357" s="69">
        <v>5</v>
      </c>
    </row>
    <row r="358" spans="1:4">
      <c r="A358">
        <v>2008</v>
      </c>
      <c r="B358" t="s">
        <v>92</v>
      </c>
      <c r="C358">
        <v>65</v>
      </c>
      <c r="D358" s="69">
        <v>0</v>
      </c>
    </row>
    <row r="359" spans="1:4">
      <c r="A359">
        <v>2008</v>
      </c>
      <c r="B359" t="s">
        <v>92</v>
      </c>
      <c r="C359">
        <v>70</v>
      </c>
      <c r="D359" s="69">
        <v>0</v>
      </c>
    </row>
    <row r="360" spans="1:4">
      <c r="A360">
        <v>2008</v>
      </c>
      <c r="B360" t="s">
        <v>92</v>
      </c>
      <c r="C360">
        <v>75</v>
      </c>
      <c r="D360" s="69">
        <v>0</v>
      </c>
    </row>
    <row r="361" spans="1:4">
      <c r="A361">
        <v>2008</v>
      </c>
      <c r="B361" t="s">
        <v>92</v>
      </c>
      <c r="C361">
        <v>80</v>
      </c>
      <c r="D361" s="69">
        <v>0</v>
      </c>
    </row>
    <row r="362" spans="1:4">
      <c r="A362">
        <v>2008</v>
      </c>
      <c r="B362" t="s">
        <v>92</v>
      </c>
      <c r="C362">
        <v>85</v>
      </c>
      <c r="D362" s="69">
        <v>0</v>
      </c>
    </row>
    <row r="363" spans="1:4">
      <c r="A363">
        <v>2009</v>
      </c>
      <c r="B363" t="s">
        <v>92</v>
      </c>
      <c r="C363">
        <v>0</v>
      </c>
      <c r="D363" s="69">
        <v>1</v>
      </c>
    </row>
    <row r="364" spans="1:4">
      <c r="A364">
        <v>2009</v>
      </c>
      <c r="B364" t="s">
        <v>92</v>
      </c>
      <c r="C364">
        <v>1</v>
      </c>
      <c r="D364" s="69">
        <v>0</v>
      </c>
    </row>
    <row r="365" spans="1:4">
      <c r="A365">
        <v>2009</v>
      </c>
      <c r="B365" t="s">
        <v>92</v>
      </c>
      <c r="C365">
        <v>5</v>
      </c>
      <c r="D365" s="69">
        <v>1</v>
      </c>
    </row>
    <row r="366" spans="1:4">
      <c r="A366">
        <v>2009</v>
      </c>
      <c r="B366" t="s">
        <v>92</v>
      </c>
      <c r="C366">
        <v>10</v>
      </c>
      <c r="D366" s="69">
        <v>0</v>
      </c>
    </row>
    <row r="367" spans="1:4">
      <c r="A367">
        <v>2009</v>
      </c>
      <c r="B367" t="s">
        <v>92</v>
      </c>
      <c r="C367">
        <v>15</v>
      </c>
      <c r="D367" s="69">
        <v>2</v>
      </c>
    </row>
    <row r="368" spans="1:4">
      <c r="A368">
        <v>2009</v>
      </c>
      <c r="B368" t="s">
        <v>92</v>
      </c>
      <c r="C368">
        <v>20</v>
      </c>
      <c r="D368" s="69">
        <v>4</v>
      </c>
    </row>
    <row r="369" spans="1:4">
      <c r="A369">
        <v>2009</v>
      </c>
      <c r="B369" t="s">
        <v>92</v>
      </c>
      <c r="C369">
        <v>25</v>
      </c>
      <c r="D369" s="69">
        <v>9</v>
      </c>
    </row>
    <row r="370" spans="1:4">
      <c r="A370">
        <v>2009</v>
      </c>
      <c r="B370" t="s">
        <v>92</v>
      </c>
      <c r="C370">
        <v>30</v>
      </c>
      <c r="D370" s="69">
        <v>6</v>
      </c>
    </row>
    <row r="371" spans="1:4">
      <c r="A371">
        <v>2009</v>
      </c>
      <c r="B371" t="s">
        <v>92</v>
      </c>
      <c r="C371">
        <v>35</v>
      </c>
      <c r="D371" s="69">
        <v>6</v>
      </c>
    </row>
    <row r="372" spans="1:4">
      <c r="A372">
        <v>2009</v>
      </c>
      <c r="B372" t="s">
        <v>92</v>
      </c>
      <c r="C372">
        <v>40</v>
      </c>
      <c r="D372" s="69">
        <v>5</v>
      </c>
    </row>
    <row r="373" spans="1:4">
      <c r="A373">
        <v>2009</v>
      </c>
      <c r="B373" t="s">
        <v>92</v>
      </c>
      <c r="C373">
        <v>45</v>
      </c>
      <c r="D373" s="69">
        <v>3</v>
      </c>
    </row>
    <row r="374" spans="1:4">
      <c r="A374">
        <v>2009</v>
      </c>
      <c r="B374" t="s">
        <v>92</v>
      </c>
      <c r="C374">
        <v>50</v>
      </c>
      <c r="D374" s="69">
        <v>1</v>
      </c>
    </row>
    <row r="375" spans="1:4">
      <c r="A375">
        <v>2009</v>
      </c>
      <c r="B375" t="s">
        <v>92</v>
      </c>
      <c r="C375">
        <v>55</v>
      </c>
      <c r="D375" s="69">
        <v>5</v>
      </c>
    </row>
    <row r="376" spans="1:4">
      <c r="A376">
        <v>2009</v>
      </c>
      <c r="B376" t="s">
        <v>92</v>
      </c>
      <c r="C376">
        <v>60</v>
      </c>
      <c r="D376" s="69">
        <v>2</v>
      </c>
    </row>
    <row r="377" spans="1:4">
      <c r="A377">
        <v>2009</v>
      </c>
      <c r="B377" t="s">
        <v>92</v>
      </c>
      <c r="C377">
        <v>65</v>
      </c>
      <c r="D377" s="69">
        <v>0</v>
      </c>
    </row>
    <row r="378" spans="1:4">
      <c r="A378">
        <v>2009</v>
      </c>
      <c r="B378" t="s">
        <v>92</v>
      </c>
      <c r="C378">
        <v>70</v>
      </c>
      <c r="D378" s="69">
        <v>0</v>
      </c>
    </row>
    <row r="379" spans="1:4">
      <c r="A379">
        <v>2009</v>
      </c>
      <c r="B379" t="s">
        <v>92</v>
      </c>
      <c r="C379">
        <v>75</v>
      </c>
      <c r="D379" s="69">
        <v>2</v>
      </c>
    </row>
    <row r="380" spans="1:4">
      <c r="A380">
        <v>2009</v>
      </c>
      <c r="B380" t="s">
        <v>92</v>
      </c>
      <c r="C380">
        <v>80</v>
      </c>
      <c r="D380" s="69">
        <v>0</v>
      </c>
    </row>
    <row r="381" spans="1:4">
      <c r="A381">
        <v>2009</v>
      </c>
      <c r="B381" t="s">
        <v>92</v>
      </c>
      <c r="C381">
        <v>85</v>
      </c>
      <c r="D381" s="69">
        <v>0</v>
      </c>
    </row>
    <row r="382" spans="1:4">
      <c r="A382" s="72">
        <v>2010</v>
      </c>
      <c r="B382" s="72" t="s">
        <v>92</v>
      </c>
      <c r="C382" s="72">
        <v>0</v>
      </c>
      <c r="D382" s="75">
        <v>0</v>
      </c>
    </row>
    <row r="383" spans="1:4">
      <c r="A383" s="72">
        <v>2010</v>
      </c>
      <c r="B383" s="72" t="s">
        <v>92</v>
      </c>
      <c r="C383" s="72">
        <v>1</v>
      </c>
      <c r="D383" s="75">
        <v>1</v>
      </c>
    </row>
    <row r="384" spans="1:4">
      <c r="A384" s="72">
        <v>2010</v>
      </c>
      <c r="B384" s="72" t="s">
        <v>92</v>
      </c>
      <c r="C384" s="72">
        <v>5</v>
      </c>
      <c r="D384" s="75">
        <v>0</v>
      </c>
    </row>
    <row r="385" spans="1:4">
      <c r="A385" s="72">
        <v>2010</v>
      </c>
      <c r="B385" s="72" t="s">
        <v>92</v>
      </c>
      <c r="C385" s="72">
        <v>10</v>
      </c>
      <c r="D385" s="75">
        <v>1</v>
      </c>
    </row>
    <row r="386" spans="1:4">
      <c r="A386" s="72">
        <v>2010</v>
      </c>
      <c r="B386" s="72" t="s">
        <v>92</v>
      </c>
      <c r="C386" s="72">
        <v>15</v>
      </c>
      <c r="D386" s="75">
        <v>5</v>
      </c>
    </row>
    <row r="387" spans="1:4">
      <c r="A387" s="72">
        <v>2010</v>
      </c>
      <c r="B387" s="72" t="s">
        <v>92</v>
      </c>
      <c r="C387" s="72">
        <v>20</v>
      </c>
      <c r="D387" s="75">
        <v>14</v>
      </c>
    </row>
    <row r="388" spans="1:4">
      <c r="A388" s="72">
        <v>2010</v>
      </c>
      <c r="B388" s="72" t="s">
        <v>92</v>
      </c>
      <c r="C388" s="72">
        <v>25</v>
      </c>
      <c r="D388" s="75">
        <v>15</v>
      </c>
    </row>
    <row r="389" spans="1:4">
      <c r="A389" s="72">
        <v>2010</v>
      </c>
      <c r="B389" s="72" t="s">
        <v>92</v>
      </c>
      <c r="C389" s="72">
        <v>30</v>
      </c>
      <c r="D389" s="75">
        <v>17</v>
      </c>
    </row>
    <row r="390" spans="1:4">
      <c r="A390" s="72">
        <v>2010</v>
      </c>
      <c r="B390" s="72" t="s">
        <v>92</v>
      </c>
      <c r="C390" s="72">
        <v>35</v>
      </c>
      <c r="D390" s="75">
        <v>23</v>
      </c>
    </row>
    <row r="391" spans="1:4">
      <c r="A391" s="72">
        <v>2010</v>
      </c>
      <c r="B391" s="72" t="s">
        <v>92</v>
      </c>
      <c r="C391" s="72">
        <v>40</v>
      </c>
      <c r="D391" s="75">
        <v>14</v>
      </c>
    </row>
    <row r="392" spans="1:4">
      <c r="A392" s="72">
        <v>2010</v>
      </c>
      <c r="B392" s="72" t="s">
        <v>92</v>
      </c>
      <c r="C392" s="72">
        <v>45</v>
      </c>
      <c r="D392" s="75">
        <v>13</v>
      </c>
    </row>
    <row r="393" spans="1:4">
      <c r="A393" s="72">
        <v>2010</v>
      </c>
      <c r="B393" s="72" t="s">
        <v>92</v>
      </c>
      <c r="C393" s="72">
        <v>50</v>
      </c>
      <c r="D393" s="75">
        <v>3</v>
      </c>
    </row>
    <row r="394" spans="1:4">
      <c r="A394" s="72">
        <v>2010</v>
      </c>
      <c r="B394" s="72" t="s">
        <v>92</v>
      </c>
      <c r="C394" s="72">
        <v>55</v>
      </c>
      <c r="D394" s="75">
        <v>3</v>
      </c>
    </row>
    <row r="395" spans="1:4">
      <c r="A395" s="72">
        <v>2010</v>
      </c>
      <c r="B395" s="72" t="s">
        <v>92</v>
      </c>
      <c r="C395" s="72">
        <v>60</v>
      </c>
      <c r="D395" s="75">
        <v>6</v>
      </c>
    </row>
    <row r="396" spans="1:4">
      <c r="A396" s="72">
        <v>2010</v>
      </c>
      <c r="B396" s="72" t="s">
        <v>92</v>
      </c>
      <c r="C396" s="72">
        <v>65</v>
      </c>
      <c r="D396" s="75">
        <v>0</v>
      </c>
    </row>
    <row r="397" spans="1:4">
      <c r="A397" s="72">
        <v>2010</v>
      </c>
      <c r="B397" s="72" t="s">
        <v>92</v>
      </c>
      <c r="C397" s="72">
        <v>70</v>
      </c>
      <c r="D397" s="75">
        <v>0</v>
      </c>
    </row>
    <row r="398" spans="1:4">
      <c r="A398" s="72">
        <v>2010</v>
      </c>
      <c r="B398" s="72" t="s">
        <v>92</v>
      </c>
      <c r="C398" s="72">
        <v>75</v>
      </c>
      <c r="D398" s="75">
        <v>0</v>
      </c>
    </row>
    <row r="399" spans="1:4">
      <c r="A399" s="72">
        <v>2010</v>
      </c>
      <c r="B399" s="72" t="s">
        <v>92</v>
      </c>
      <c r="C399" s="72">
        <v>80</v>
      </c>
      <c r="D399" s="75">
        <v>0</v>
      </c>
    </row>
    <row r="400" spans="1:4">
      <c r="A400" s="72">
        <v>2010</v>
      </c>
      <c r="B400" s="72" t="s">
        <v>92</v>
      </c>
      <c r="C400" s="72">
        <v>85</v>
      </c>
      <c r="D400" s="75">
        <v>0</v>
      </c>
    </row>
    <row r="401" spans="1:4">
      <c r="A401">
        <v>2011</v>
      </c>
      <c r="B401" t="s">
        <v>92</v>
      </c>
      <c r="C401">
        <v>0</v>
      </c>
      <c r="D401" s="69">
        <v>0</v>
      </c>
    </row>
    <row r="402" spans="1:4">
      <c r="A402">
        <v>2011</v>
      </c>
      <c r="B402" t="s">
        <v>92</v>
      </c>
      <c r="C402">
        <v>1</v>
      </c>
      <c r="D402" s="69">
        <v>1</v>
      </c>
    </row>
    <row r="403" spans="1:4">
      <c r="A403">
        <v>2011</v>
      </c>
      <c r="B403" t="s">
        <v>92</v>
      </c>
      <c r="C403">
        <v>5</v>
      </c>
      <c r="D403" s="69">
        <v>0</v>
      </c>
    </row>
    <row r="404" spans="1:4">
      <c r="A404">
        <v>2011</v>
      </c>
      <c r="B404" t="s">
        <v>92</v>
      </c>
      <c r="C404">
        <v>10</v>
      </c>
      <c r="D404" s="69">
        <v>0</v>
      </c>
    </row>
    <row r="405" spans="1:4">
      <c r="A405">
        <v>2011</v>
      </c>
      <c r="B405" t="s">
        <v>92</v>
      </c>
      <c r="C405">
        <v>15</v>
      </c>
      <c r="D405" s="69">
        <v>9</v>
      </c>
    </row>
    <row r="406" spans="1:4">
      <c r="A406">
        <v>2011</v>
      </c>
      <c r="B406" t="s">
        <v>92</v>
      </c>
      <c r="C406">
        <v>20</v>
      </c>
      <c r="D406" s="69">
        <v>14</v>
      </c>
    </row>
    <row r="407" spans="1:4">
      <c r="A407">
        <v>2011</v>
      </c>
      <c r="B407" t="s">
        <v>92</v>
      </c>
      <c r="C407">
        <v>25</v>
      </c>
      <c r="D407" s="69">
        <v>18</v>
      </c>
    </row>
    <row r="408" spans="1:4">
      <c r="A408">
        <v>2011</v>
      </c>
      <c r="B408" t="s">
        <v>92</v>
      </c>
      <c r="C408">
        <v>30</v>
      </c>
      <c r="D408" s="69">
        <v>20</v>
      </c>
    </row>
    <row r="409" spans="1:4">
      <c r="A409">
        <v>2011</v>
      </c>
      <c r="B409" t="s">
        <v>92</v>
      </c>
      <c r="C409">
        <v>35</v>
      </c>
      <c r="D409" s="69">
        <v>30</v>
      </c>
    </row>
    <row r="410" spans="1:4">
      <c r="A410">
        <v>2011</v>
      </c>
      <c r="B410" t="s">
        <v>92</v>
      </c>
      <c r="C410">
        <v>40</v>
      </c>
      <c r="D410" s="69">
        <v>21</v>
      </c>
    </row>
    <row r="411" spans="1:4">
      <c r="A411">
        <v>2011</v>
      </c>
      <c r="B411" t="s">
        <v>92</v>
      </c>
      <c r="C411">
        <v>45</v>
      </c>
      <c r="D411" s="69">
        <v>13</v>
      </c>
    </row>
    <row r="412" spans="1:4">
      <c r="A412">
        <v>2011</v>
      </c>
      <c r="B412" t="s">
        <v>92</v>
      </c>
      <c r="C412">
        <v>50</v>
      </c>
      <c r="D412" s="69">
        <v>5</v>
      </c>
    </row>
    <row r="413" spans="1:4">
      <c r="A413">
        <v>2011</v>
      </c>
      <c r="B413" t="s">
        <v>92</v>
      </c>
      <c r="C413">
        <v>55</v>
      </c>
      <c r="D413" s="69">
        <v>4</v>
      </c>
    </row>
    <row r="414" spans="1:4">
      <c r="A414">
        <v>2011</v>
      </c>
      <c r="B414" t="s">
        <v>92</v>
      </c>
      <c r="C414">
        <v>60</v>
      </c>
      <c r="D414" s="69">
        <v>4</v>
      </c>
    </row>
    <row r="415" spans="1:4">
      <c r="A415">
        <v>2011</v>
      </c>
      <c r="B415" t="s">
        <v>92</v>
      </c>
      <c r="C415">
        <v>65</v>
      </c>
      <c r="D415" s="69">
        <v>0</v>
      </c>
    </row>
    <row r="416" spans="1:4">
      <c r="A416">
        <v>2011</v>
      </c>
      <c r="B416" t="s">
        <v>92</v>
      </c>
      <c r="C416">
        <v>70</v>
      </c>
      <c r="D416" s="69">
        <v>0</v>
      </c>
    </row>
    <row r="417" spans="1:4">
      <c r="A417">
        <v>2011</v>
      </c>
      <c r="B417" t="s">
        <v>92</v>
      </c>
      <c r="C417">
        <v>75</v>
      </c>
      <c r="D417" s="69">
        <v>0</v>
      </c>
    </row>
    <row r="418" spans="1:4">
      <c r="A418">
        <v>2011</v>
      </c>
      <c r="B418" t="s">
        <v>92</v>
      </c>
      <c r="C418">
        <v>80</v>
      </c>
      <c r="D418" s="69">
        <v>0</v>
      </c>
    </row>
    <row r="419" spans="1:4">
      <c r="A419">
        <v>2011</v>
      </c>
      <c r="B419" t="s">
        <v>92</v>
      </c>
      <c r="C419">
        <v>85</v>
      </c>
      <c r="D419" s="69">
        <v>0</v>
      </c>
    </row>
    <row r="420" spans="1:4">
      <c r="A420">
        <v>2012</v>
      </c>
      <c r="B420" t="s">
        <v>92</v>
      </c>
      <c r="C420">
        <v>0</v>
      </c>
      <c r="D420" s="69">
        <v>0</v>
      </c>
    </row>
    <row r="421" spans="1:4">
      <c r="A421">
        <v>2012</v>
      </c>
      <c r="B421" t="s">
        <v>92</v>
      </c>
      <c r="C421">
        <v>1</v>
      </c>
      <c r="D421" s="69">
        <v>0</v>
      </c>
    </row>
    <row r="422" spans="1:4">
      <c r="A422">
        <v>2012</v>
      </c>
      <c r="B422" t="s">
        <v>92</v>
      </c>
      <c r="C422">
        <v>5</v>
      </c>
      <c r="D422" s="69">
        <v>0</v>
      </c>
    </row>
    <row r="423" spans="1:4">
      <c r="A423">
        <v>2012</v>
      </c>
      <c r="B423" t="s">
        <v>92</v>
      </c>
      <c r="C423">
        <v>10</v>
      </c>
      <c r="D423" s="69">
        <v>0</v>
      </c>
    </row>
    <row r="424" spans="1:4">
      <c r="A424">
        <v>2012</v>
      </c>
      <c r="B424" t="s">
        <v>92</v>
      </c>
      <c r="C424">
        <v>15</v>
      </c>
      <c r="D424" s="69">
        <v>10</v>
      </c>
    </row>
    <row r="425" spans="1:4">
      <c r="A425">
        <v>2012</v>
      </c>
      <c r="B425" t="s">
        <v>92</v>
      </c>
      <c r="C425">
        <v>20</v>
      </c>
      <c r="D425" s="69">
        <v>32</v>
      </c>
    </row>
    <row r="426" spans="1:4">
      <c r="A426">
        <v>2012</v>
      </c>
      <c r="B426" t="s">
        <v>92</v>
      </c>
      <c r="C426">
        <v>25</v>
      </c>
      <c r="D426" s="69">
        <v>41</v>
      </c>
    </row>
    <row r="427" spans="1:4">
      <c r="A427">
        <v>2012</v>
      </c>
      <c r="B427" t="s">
        <v>92</v>
      </c>
      <c r="C427">
        <v>30</v>
      </c>
      <c r="D427" s="69">
        <v>39</v>
      </c>
    </row>
    <row r="428" spans="1:4">
      <c r="A428">
        <v>2012</v>
      </c>
      <c r="B428" t="s">
        <v>92</v>
      </c>
      <c r="C428">
        <v>35</v>
      </c>
      <c r="D428" s="69">
        <v>40</v>
      </c>
    </row>
    <row r="429" spans="1:4">
      <c r="A429">
        <v>2012</v>
      </c>
      <c r="B429" t="s">
        <v>92</v>
      </c>
      <c r="C429">
        <v>40</v>
      </c>
      <c r="D429" s="69">
        <v>26</v>
      </c>
    </row>
    <row r="430" spans="1:4">
      <c r="A430">
        <v>2012</v>
      </c>
      <c r="B430" t="s">
        <v>92</v>
      </c>
      <c r="C430">
        <v>45</v>
      </c>
      <c r="D430" s="69">
        <v>14</v>
      </c>
    </row>
    <row r="431" spans="1:4">
      <c r="A431">
        <v>2012</v>
      </c>
      <c r="B431" t="s">
        <v>92</v>
      </c>
      <c r="C431">
        <v>50</v>
      </c>
      <c r="D431" s="69">
        <v>16</v>
      </c>
    </row>
    <row r="432" spans="1:4">
      <c r="A432">
        <v>2012</v>
      </c>
      <c r="B432" t="s">
        <v>92</v>
      </c>
      <c r="C432">
        <v>55</v>
      </c>
      <c r="D432" s="69">
        <v>7</v>
      </c>
    </row>
    <row r="433" spans="1:4">
      <c r="A433">
        <v>2012</v>
      </c>
      <c r="B433" t="s">
        <v>92</v>
      </c>
      <c r="C433">
        <v>60</v>
      </c>
      <c r="D433" s="69">
        <v>4</v>
      </c>
    </row>
    <row r="434" spans="1:4">
      <c r="A434">
        <v>2012</v>
      </c>
      <c r="B434" t="s">
        <v>92</v>
      </c>
      <c r="C434">
        <v>65</v>
      </c>
      <c r="D434" s="69">
        <v>0</v>
      </c>
    </row>
    <row r="435" spans="1:4">
      <c r="A435">
        <v>2012</v>
      </c>
      <c r="B435" t="s">
        <v>92</v>
      </c>
      <c r="C435">
        <v>70</v>
      </c>
      <c r="D435" s="69">
        <v>0</v>
      </c>
    </row>
    <row r="436" spans="1:4">
      <c r="A436">
        <v>2012</v>
      </c>
      <c r="B436" t="s">
        <v>92</v>
      </c>
      <c r="C436">
        <v>75</v>
      </c>
      <c r="D436" s="69">
        <v>3</v>
      </c>
    </row>
    <row r="437" spans="1:4">
      <c r="A437">
        <v>2012</v>
      </c>
      <c r="B437" t="s">
        <v>92</v>
      </c>
      <c r="C437">
        <v>80</v>
      </c>
      <c r="D437" s="69">
        <v>0</v>
      </c>
    </row>
    <row r="438" spans="1:4">
      <c r="A438">
        <v>2012</v>
      </c>
      <c r="B438" t="s">
        <v>92</v>
      </c>
      <c r="C438">
        <v>85</v>
      </c>
      <c r="D438" s="69">
        <v>0</v>
      </c>
    </row>
    <row r="439" spans="1:4">
      <c r="A439">
        <v>2013</v>
      </c>
      <c r="B439" t="s">
        <v>92</v>
      </c>
      <c r="C439">
        <v>0</v>
      </c>
      <c r="D439" s="69">
        <v>0</v>
      </c>
    </row>
    <row r="440" spans="1:4">
      <c r="A440">
        <v>2013</v>
      </c>
      <c r="B440" t="s">
        <v>92</v>
      </c>
      <c r="C440">
        <v>1</v>
      </c>
      <c r="D440" s="69">
        <v>0</v>
      </c>
    </row>
    <row r="441" spans="1:4">
      <c r="A441">
        <v>2013</v>
      </c>
      <c r="B441" t="s">
        <v>92</v>
      </c>
      <c r="C441">
        <v>5</v>
      </c>
      <c r="D441" s="69">
        <v>0</v>
      </c>
    </row>
    <row r="442" spans="1:4">
      <c r="A442">
        <v>2013</v>
      </c>
      <c r="B442" t="s">
        <v>92</v>
      </c>
      <c r="C442">
        <v>10</v>
      </c>
      <c r="D442" s="69">
        <v>2</v>
      </c>
    </row>
    <row r="443" spans="1:4">
      <c r="A443">
        <v>2013</v>
      </c>
      <c r="B443" t="s">
        <v>92</v>
      </c>
      <c r="C443">
        <v>15</v>
      </c>
      <c r="D443" s="69">
        <v>10</v>
      </c>
    </row>
    <row r="444" spans="1:4">
      <c r="A444">
        <v>2013</v>
      </c>
      <c r="B444" t="s">
        <v>92</v>
      </c>
      <c r="C444">
        <v>20</v>
      </c>
      <c r="D444" s="69">
        <v>22</v>
      </c>
    </row>
    <row r="445" spans="1:4">
      <c r="A445">
        <v>2013</v>
      </c>
      <c r="B445" t="s">
        <v>92</v>
      </c>
      <c r="C445">
        <v>25</v>
      </c>
      <c r="D445" s="69">
        <v>34</v>
      </c>
    </row>
    <row r="446" spans="1:4">
      <c r="A446">
        <v>2013</v>
      </c>
      <c r="B446" t="s">
        <v>92</v>
      </c>
      <c r="C446">
        <v>30</v>
      </c>
      <c r="D446" s="69">
        <v>24</v>
      </c>
    </row>
    <row r="447" spans="1:4">
      <c r="A447">
        <v>2013</v>
      </c>
      <c r="B447" t="s">
        <v>92</v>
      </c>
      <c r="C447">
        <v>35</v>
      </c>
      <c r="D447" s="69">
        <v>30</v>
      </c>
    </row>
    <row r="448" spans="1:4">
      <c r="A448">
        <v>2013</v>
      </c>
      <c r="B448" t="s">
        <v>92</v>
      </c>
      <c r="C448">
        <v>40</v>
      </c>
      <c r="D448" s="69">
        <v>25</v>
      </c>
    </row>
    <row r="449" spans="1:4">
      <c r="A449">
        <v>2013</v>
      </c>
      <c r="B449" t="s">
        <v>92</v>
      </c>
      <c r="C449">
        <v>45</v>
      </c>
      <c r="D449" s="69">
        <v>20</v>
      </c>
    </row>
    <row r="450" spans="1:4">
      <c r="A450">
        <v>2013</v>
      </c>
      <c r="B450" t="s">
        <v>92</v>
      </c>
      <c r="C450">
        <v>50</v>
      </c>
      <c r="D450" s="69">
        <v>9</v>
      </c>
    </row>
    <row r="451" spans="1:4">
      <c r="A451">
        <v>2013</v>
      </c>
      <c r="B451" t="s">
        <v>92</v>
      </c>
      <c r="C451">
        <v>55</v>
      </c>
      <c r="D451" s="69">
        <v>10</v>
      </c>
    </row>
    <row r="452" spans="1:4">
      <c r="A452">
        <v>2013</v>
      </c>
      <c r="B452" t="s">
        <v>92</v>
      </c>
      <c r="C452">
        <v>60</v>
      </c>
      <c r="D452" s="69">
        <v>1</v>
      </c>
    </row>
    <row r="453" spans="1:4">
      <c r="A453">
        <v>2013</v>
      </c>
      <c r="B453" t="s">
        <v>92</v>
      </c>
      <c r="C453">
        <v>65</v>
      </c>
      <c r="D453" s="69">
        <v>0</v>
      </c>
    </row>
    <row r="454" spans="1:4">
      <c r="A454">
        <v>2013</v>
      </c>
      <c r="B454" t="s">
        <v>92</v>
      </c>
      <c r="C454">
        <v>70</v>
      </c>
      <c r="D454" s="69">
        <v>0</v>
      </c>
    </row>
    <row r="455" spans="1:4">
      <c r="A455">
        <v>2013</v>
      </c>
      <c r="B455" t="s">
        <v>92</v>
      </c>
      <c r="C455">
        <v>75</v>
      </c>
      <c r="D455" s="69">
        <v>1</v>
      </c>
    </row>
    <row r="456" spans="1:4">
      <c r="A456">
        <v>2013</v>
      </c>
      <c r="B456" t="s">
        <v>92</v>
      </c>
      <c r="C456">
        <v>80</v>
      </c>
      <c r="D456" s="69">
        <v>3</v>
      </c>
    </row>
    <row r="457" spans="1:4">
      <c r="A457">
        <v>2013</v>
      </c>
      <c r="B457" t="s">
        <v>92</v>
      </c>
      <c r="C457">
        <v>85</v>
      </c>
      <c r="D457" s="69">
        <v>0</v>
      </c>
    </row>
    <row r="458" spans="1:4">
      <c r="A458">
        <v>2014</v>
      </c>
      <c r="B458" t="s">
        <v>92</v>
      </c>
      <c r="C458">
        <v>0</v>
      </c>
      <c r="D458" s="69">
        <v>1</v>
      </c>
    </row>
    <row r="459" spans="1:4">
      <c r="A459">
        <v>2014</v>
      </c>
      <c r="B459" t="s">
        <v>92</v>
      </c>
      <c r="C459">
        <v>1</v>
      </c>
      <c r="D459" s="69">
        <v>0</v>
      </c>
    </row>
    <row r="460" spans="1:4">
      <c r="A460">
        <v>2014</v>
      </c>
      <c r="B460" t="s">
        <v>92</v>
      </c>
      <c r="C460">
        <v>5</v>
      </c>
      <c r="D460" s="69">
        <v>0</v>
      </c>
    </row>
    <row r="461" spans="1:4">
      <c r="A461">
        <v>2014</v>
      </c>
      <c r="B461" t="s">
        <v>92</v>
      </c>
      <c r="C461">
        <v>10</v>
      </c>
      <c r="D461" s="69">
        <v>0</v>
      </c>
    </row>
    <row r="462" spans="1:4">
      <c r="A462">
        <v>2014</v>
      </c>
      <c r="B462" t="s">
        <v>92</v>
      </c>
      <c r="C462">
        <v>15</v>
      </c>
      <c r="D462" s="69">
        <v>6</v>
      </c>
    </row>
    <row r="463" spans="1:4">
      <c r="A463">
        <v>2014</v>
      </c>
      <c r="B463" t="s">
        <v>92</v>
      </c>
      <c r="C463">
        <v>20</v>
      </c>
      <c r="D463" s="69">
        <v>18</v>
      </c>
    </row>
    <row r="464" spans="1:4">
      <c r="A464">
        <v>2014</v>
      </c>
      <c r="B464" t="s">
        <v>92</v>
      </c>
      <c r="C464">
        <v>25</v>
      </c>
      <c r="D464" s="69">
        <v>13</v>
      </c>
    </row>
    <row r="465" spans="1:4">
      <c r="A465">
        <v>2014</v>
      </c>
      <c r="B465" t="s">
        <v>92</v>
      </c>
      <c r="C465">
        <v>30</v>
      </c>
      <c r="D465" s="69">
        <v>14</v>
      </c>
    </row>
    <row r="466" spans="1:4">
      <c r="A466">
        <v>2014</v>
      </c>
      <c r="B466" t="s">
        <v>92</v>
      </c>
      <c r="C466">
        <v>35</v>
      </c>
      <c r="D466" s="69">
        <v>16</v>
      </c>
    </row>
    <row r="467" spans="1:4">
      <c r="A467">
        <v>2014</v>
      </c>
      <c r="B467" t="s">
        <v>92</v>
      </c>
      <c r="C467">
        <v>40</v>
      </c>
      <c r="D467" s="69">
        <v>10</v>
      </c>
    </row>
    <row r="468" spans="1:4">
      <c r="A468">
        <v>2014</v>
      </c>
      <c r="B468" t="s">
        <v>92</v>
      </c>
      <c r="C468">
        <v>45</v>
      </c>
      <c r="D468" s="69">
        <v>13</v>
      </c>
    </row>
    <row r="469" spans="1:4">
      <c r="A469">
        <v>2014</v>
      </c>
      <c r="B469" t="s">
        <v>92</v>
      </c>
      <c r="C469">
        <v>50</v>
      </c>
      <c r="D469" s="69">
        <v>5</v>
      </c>
    </row>
    <row r="470" spans="1:4">
      <c r="A470">
        <v>2014</v>
      </c>
      <c r="B470" t="s">
        <v>92</v>
      </c>
      <c r="C470">
        <v>55</v>
      </c>
      <c r="D470" s="69">
        <v>6</v>
      </c>
    </row>
    <row r="471" spans="1:4">
      <c r="A471">
        <v>2014</v>
      </c>
      <c r="B471" t="s">
        <v>92</v>
      </c>
      <c r="C471">
        <v>60</v>
      </c>
      <c r="D471" s="69">
        <v>2</v>
      </c>
    </row>
    <row r="472" spans="1:4">
      <c r="A472">
        <v>2014</v>
      </c>
      <c r="B472" t="s">
        <v>92</v>
      </c>
      <c r="C472">
        <v>65</v>
      </c>
      <c r="D472" s="69">
        <v>0</v>
      </c>
    </row>
    <row r="473" spans="1:4">
      <c r="A473">
        <v>2014</v>
      </c>
      <c r="B473" t="s">
        <v>92</v>
      </c>
      <c r="C473">
        <v>70</v>
      </c>
      <c r="D473" s="69">
        <v>0</v>
      </c>
    </row>
    <row r="474" spans="1:4">
      <c r="A474">
        <v>2014</v>
      </c>
      <c r="B474" t="s">
        <v>92</v>
      </c>
      <c r="C474">
        <v>75</v>
      </c>
      <c r="D474" s="69">
        <v>0</v>
      </c>
    </row>
    <row r="475" spans="1:4">
      <c r="A475">
        <v>2014</v>
      </c>
      <c r="B475" t="s">
        <v>92</v>
      </c>
      <c r="C475">
        <v>80</v>
      </c>
      <c r="D475" s="69">
        <v>1</v>
      </c>
    </row>
    <row r="476" spans="1:4">
      <c r="A476">
        <v>2014</v>
      </c>
      <c r="B476" t="s">
        <v>92</v>
      </c>
      <c r="C476">
        <v>85</v>
      </c>
      <c r="D476" s="69">
        <v>0</v>
      </c>
    </row>
    <row r="477" spans="1:4">
      <c r="A477">
        <v>2015</v>
      </c>
      <c r="B477" t="s">
        <v>92</v>
      </c>
      <c r="C477">
        <v>0</v>
      </c>
      <c r="D477" s="69">
        <v>0</v>
      </c>
    </row>
    <row r="478" spans="1:4">
      <c r="A478">
        <v>2015</v>
      </c>
      <c r="B478" t="s">
        <v>92</v>
      </c>
      <c r="C478">
        <v>1</v>
      </c>
      <c r="D478" s="69">
        <v>1</v>
      </c>
    </row>
    <row r="479" spans="1:4">
      <c r="A479">
        <v>2015</v>
      </c>
      <c r="B479" t="s">
        <v>92</v>
      </c>
      <c r="C479">
        <v>5</v>
      </c>
      <c r="D479" s="69">
        <v>0</v>
      </c>
    </row>
    <row r="480" spans="1:4">
      <c r="A480">
        <v>2015</v>
      </c>
      <c r="B480" t="s">
        <v>92</v>
      </c>
      <c r="C480">
        <v>10</v>
      </c>
      <c r="D480" s="69">
        <v>1</v>
      </c>
    </row>
    <row r="481" spans="1:4">
      <c r="A481">
        <v>2015</v>
      </c>
      <c r="B481" t="s">
        <v>92</v>
      </c>
      <c r="C481">
        <v>15</v>
      </c>
      <c r="D481" s="69">
        <v>12</v>
      </c>
    </row>
    <row r="482" spans="1:4">
      <c r="A482">
        <v>2015</v>
      </c>
      <c r="B482" t="s">
        <v>92</v>
      </c>
      <c r="C482">
        <v>20</v>
      </c>
      <c r="D482" s="69">
        <v>14</v>
      </c>
    </row>
    <row r="483" spans="1:4">
      <c r="A483">
        <v>2015</v>
      </c>
      <c r="B483" t="s">
        <v>92</v>
      </c>
      <c r="C483">
        <v>25</v>
      </c>
      <c r="D483" s="69">
        <v>31</v>
      </c>
    </row>
    <row r="484" spans="1:4">
      <c r="A484">
        <v>2015</v>
      </c>
      <c r="B484" t="s">
        <v>92</v>
      </c>
      <c r="C484">
        <v>30</v>
      </c>
      <c r="D484" s="69">
        <v>32</v>
      </c>
    </row>
    <row r="485" spans="1:4">
      <c r="A485">
        <v>2015</v>
      </c>
      <c r="B485" t="s">
        <v>92</v>
      </c>
      <c r="C485">
        <v>35</v>
      </c>
      <c r="D485" s="69">
        <v>37</v>
      </c>
    </row>
    <row r="486" spans="1:4">
      <c r="A486">
        <v>2015</v>
      </c>
      <c r="B486" t="s">
        <v>92</v>
      </c>
      <c r="C486">
        <v>40</v>
      </c>
      <c r="D486" s="69">
        <v>23</v>
      </c>
    </row>
    <row r="487" spans="1:4">
      <c r="A487">
        <v>2015</v>
      </c>
      <c r="B487" t="s">
        <v>92</v>
      </c>
      <c r="C487">
        <v>45</v>
      </c>
      <c r="D487" s="69">
        <v>17</v>
      </c>
    </row>
    <row r="488" spans="1:4">
      <c r="A488">
        <v>2015</v>
      </c>
      <c r="B488" t="s">
        <v>92</v>
      </c>
      <c r="C488">
        <v>50</v>
      </c>
      <c r="D488" s="69">
        <v>8</v>
      </c>
    </row>
    <row r="489" spans="1:4">
      <c r="A489">
        <v>2015</v>
      </c>
      <c r="B489" t="s">
        <v>92</v>
      </c>
      <c r="C489">
        <v>55</v>
      </c>
      <c r="D489" s="69">
        <v>6</v>
      </c>
    </row>
    <row r="490" spans="1:4">
      <c r="A490">
        <v>2015</v>
      </c>
      <c r="B490" t="s">
        <v>92</v>
      </c>
      <c r="C490">
        <v>60</v>
      </c>
      <c r="D490" s="69">
        <v>3</v>
      </c>
    </row>
    <row r="491" spans="1:4">
      <c r="A491">
        <v>2015</v>
      </c>
      <c r="B491" t="s">
        <v>92</v>
      </c>
      <c r="C491">
        <v>65</v>
      </c>
      <c r="D491" s="69">
        <v>0</v>
      </c>
    </row>
    <row r="492" spans="1:4">
      <c r="A492">
        <v>2015</v>
      </c>
      <c r="B492" t="s">
        <v>92</v>
      </c>
      <c r="C492">
        <v>70</v>
      </c>
      <c r="D492" s="69">
        <v>0</v>
      </c>
    </row>
    <row r="493" spans="1:4">
      <c r="A493">
        <v>2015</v>
      </c>
      <c r="B493" t="s">
        <v>92</v>
      </c>
      <c r="C493">
        <v>75</v>
      </c>
      <c r="D493" s="69">
        <v>0</v>
      </c>
    </row>
    <row r="494" spans="1:4">
      <c r="A494">
        <v>2015</v>
      </c>
      <c r="B494" t="s">
        <v>92</v>
      </c>
      <c r="C494">
        <v>80</v>
      </c>
      <c r="D494" s="69">
        <v>0</v>
      </c>
    </row>
    <row r="495" spans="1:4">
      <c r="A495">
        <v>2015</v>
      </c>
      <c r="B495" t="s">
        <v>92</v>
      </c>
      <c r="C495">
        <v>85</v>
      </c>
      <c r="D495" s="69">
        <v>1</v>
      </c>
    </row>
    <row r="496" spans="1:4">
      <c r="A496">
        <v>2016</v>
      </c>
      <c r="B496" t="s">
        <v>92</v>
      </c>
      <c r="C496">
        <v>0</v>
      </c>
      <c r="D496" s="69">
        <v>0</v>
      </c>
    </row>
    <row r="497" spans="1:4">
      <c r="A497">
        <v>2016</v>
      </c>
      <c r="B497" t="s">
        <v>92</v>
      </c>
      <c r="C497">
        <v>1</v>
      </c>
      <c r="D497" s="69">
        <v>0</v>
      </c>
    </row>
    <row r="498" spans="1:4">
      <c r="A498">
        <v>2016</v>
      </c>
      <c r="B498" t="s">
        <v>92</v>
      </c>
      <c r="C498">
        <v>5</v>
      </c>
      <c r="D498" s="69">
        <v>4</v>
      </c>
    </row>
    <row r="499" spans="1:4">
      <c r="A499">
        <v>2016</v>
      </c>
      <c r="B499" t="s">
        <v>92</v>
      </c>
      <c r="C499">
        <v>10</v>
      </c>
      <c r="D499" s="69">
        <v>4</v>
      </c>
    </row>
    <row r="500" spans="1:4">
      <c r="A500">
        <v>2016</v>
      </c>
      <c r="B500" t="s">
        <v>92</v>
      </c>
      <c r="C500">
        <v>15</v>
      </c>
      <c r="D500" s="69">
        <v>31</v>
      </c>
    </row>
    <row r="501" spans="1:4">
      <c r="A501">
        <v>2016</v>
      </c>
      <c r="B501" t="s">
        <v>92</v>
      </c>
      <c r="C501">
        <v>20</v>
      </c>
      <c r="D501" s="69">
        <v>71</v>
      </c>
    </row>
    <row r="502" spans="1:4">
      <c r="A502">
        <v>2016</v>
      </c>
      <c r="B502" t="s">
        <v>92</v>
      </c>
      <c r="C502">
        <v>25</v>
      </c>
      <c r="D502" s="69">
        <v>93</v>
      </c>
    </row>
    <row r="503" spans="1:4">
      <c r="A503">
        <v>2016</v>
      </c>
      <c r="B503" t="s">
        <v>92</v>
      </c>
      <c r="C503">
        <v>30</v>
      </c>
      <c r="D503" s="69">
        <v>84</v>
      </c>
    </row>
    <row r="504" spans="1:4">
      <c r="A504">
        <v>2016</v>
      </c>
      <c r="B504" t="s">
        <v>92</v>
      </c>
      <c r="C504">
        <v>35</v>
      </c>
      <c r="D504" s="69">
        <v>64</v>
      </c>
    </row>
    <row r="505" spans="1:4">
      <c r="A505">
        <v>2016</v>
      </c>
      <c r="B505" t="s">
        <v>92</v>
      </c>
      <c r="C505">
        <v>40</v>
      </c>
      <c r="D505" s="69">
        <v>57</v>
      </c>
    </row>
    <row r="506" spans="1:4">
      <c r="A506">
        <v>2016</v>
      </c>
      <c r="B506" t="s">
        <v>92</v>
      </c>
      <c r="C506">
        <v>45</v>
      </c>
      <c r="D506" s="69">
        <v>31</v>
      </c>
    </row>
    <row r="507" spans="1:4">
      <c r="A507">
        <v>2016</v>
      </c>
      <c r="B507" t="s">
        <v>92</v>
      </c>
      <c r="C507">
        <v>50</v>
      </c>
      <c r="D507" s="69">
        <v>20</v>
      </c>
    </row>
    <row r="508" spans="1:4">
      <c r="A508">
        <v>2016</v>
      </c>
      <c r="B508" t="s">
        <v>92</v>
      </c>
      <c r="C508">
        <v>55</v>
      </c>
      <c r="D508" s="69">
        <v>17</v>
      </c>
    </row>
    <row r="509" spans="1:4">
      <c r="A509">
        <v>2016</v>
      </c>
      <c r="B509" t="s">
        <v>92</v>
      </c>
      <c r="C509">
        <v>60</v>
      </c>
      <c r="D509" s="69">
        <v>11</v>
      </c>
    </row>
    <row r="510" spans="1:4">
      <c r="A510">
        <v>2016</v>
      </c>
      <c r="B510" t="s">
        <v>92</v>
      </c>
      <c r="C510">
        <v>65</v>
      </c>
      <c r="D510" s="69">
        <v>0</v>
      </c>
    </row>
    <row r="511" spans="1:4">
      <c r="A511">
        <v>2016</v>
      </c>
      <c r="B511" t="s">
        <v>92</v>
      </c>
      <c r="C511">
        <v>70</v>
      </c>
      <c r="D511" s="69">
        <v>0</v>
      </c>
    </row>
    <row r="512" spans="1:4">
      <c r="A512">
        <v>2016</v>
      </c>
      <c r="B512" t="s">
        <v>92</v>
      </c>
      <c r="C512">
        <v>75</v>
      </c>
      <c r="D512" s="69">
        <v>3</v>
      </c>
    </row>
    <row r="513" spans="1:4">
      <c r="A513">
        <v>2016</v>
      </c>
      <c r="B513" t="s">
        <v>92</v>
      </c>
      <c r="C513">
        <v>80</v>
      </c>
      <c r="D513" s="69">
        <v>1</v>
      </c>
    </row>
    <row r="514" spans="1:4">
      <c r="A514">
        <v>2016</v>
      </c>
      <c r="B514" t="s">
        <v>92</v>
      </c>
      <c r="C514">
        <v>85</v>
      </c>
      <c r="D514" s="69">
        <v>0</v>
      </c>
    </row>
    <row r="515" spans="1:4">
      <c r="A515">
        <v>2017</v>
      </c>
      <c r="B515" t="s">
        <v>92</v>
      </c>
      <c r="C515">
        <v>0</v>
      </c>
      <c r="D515" s="69">
        <v>0</v>
      </c>
    </row>
    <row r="516" spans="1:4">
      <c r="A516">
        <v>2017</v>
      </c>
      <c r="B516" t="s">
        <v>92</v>
      </c>
      <c r="C516">
        <v>1</v>
      </c>
      <c r="D516" s="69">
        <v>2</v>
      </c>
    </row>
    <row r="517" spans="1:4">
      <c r="A517">
        <v>2017</v>
      </c>
      <c r="B517" t="s">
        <v>92</v>
      </c>
      <c r="C517">
        <v>5</v>
      </c>
      <c r="D517" s="69">
        <v>0</v>
      </c>
    </row>
    <row r="518" spans="1:4">
      <c r="A518">
        <v>2017</v>
      </c>
      <c r="B518" t="s">
        <v>92</v>
      </c>
      <c r="C518">
        <v>10</v>
      </c>
      <c r="D518" s="69">
        <v>2</v>
      </c>
    </row>
    <row r="519" spans="1:4">
      <c r="A519">
        <v>2017</v>
      </c>
      <c r="B519" t="s">
        <v>92</v>
      </c>
      <c r="C519">
        <v>15</v>
      </c>
      <c r="D519" s="69">
        <v>47</v>
      </c>
    </row>
    <row r="520" spans="1:4">
      <c r="A520">
        <v>2017</v>
      </c>
      <c r="B520" t="s">
        <v>92</v>
      </c>
      <c r="C520">
        <v>20</v>
      </c>
      <c r="D520" s="69">
        <v>84</v>
      </c>
    </row>
    <row r="521" spans="1:4">
      <c r="A521">
        <v>2017</v>
      </c>
      <c r="B521" t="s">
        <v>92</v>
      </c>
      <c r="C521">
        <v>25</v>
      </c>
      <c r="D521" s="69">
        <v>104</v>
      </c>
    </row>
    <row r="522" spans="1:4">
      <c r="A522">
        <v>2017</v>
      </c>
      <c r="B522" t="s">
        <v>92</v>
      </c>
      <c r="C522">
        <v>30</v>
      </c>
      <c r="D522" s="69">
        <v>121</v>
      </c>
    </row>
    <row r="523" spans="1:4">
      <c r="A523">
        <v>2017</v>
      </c>
      <c r="B523" t="s">
        <v>92</v>
      </c>
      <c r="C523">
        <v>35</v>
      </c>
      <c r="D523" s="69">
        <v>115</v>
      </c>
    </row>
    <row r="524" spans="1:4">
      <c r="A524">
        <v>2017</v>
      </c>
      <c r="B524" t="s">
        <v>92</v>
      </c>
      <c r="C524">
        <v>40</v>
      </c>
      <c r="D524" s="69">
        <v>91</v>
      </c>
    </row>
    <row r="525" spans="1:4">
      <c r="A525">
        <v>2017</v>
      </c>
      <c r="B525" t="s">
        <v>92</v>
      </c>
      <c r="C525">
        <v>45</v>
      </c>
      <c r="D525" s="69">
        <v>47</v>
      </c>
    </row>
    <row r="526" spans="1:4">
      <c r="A526">
        <v>2017</v>
      </c>
      <c r="B526" t="s">
        <v>92</v>
      </c>
      <c r="C526">
        <v>50</v>
      </c>
      <c r="D526" s="69">
        <v>30</v>
      </c>
    </row>
    <row r="527" spans="1:4">
      <c r="A527">
        <v>2017</v>
      </c>
      <c r="B527" t="s">
        <v>92</v>
      </c>
      <c r="C527">
        <v>55</v>
      </c>
      <c r="D527" s="69">
        <v>15</v>
      </c>
    </row>
    <row r="528" spans="1:4">
      <c r="A528">
        <v>2017</v>
      </c>
      <c r="B528" t="s">
        <v>92</v>
      </c>
      <c r="C528">
        <v>60</v>
      </c>
      <c r="D528" s="69">
        <v>10</v>
      </c>
    </row>
    <row r="529" spans="1:4">
      <c r="A529">
        <v>2017</v>
      </c>
      <c r="B529" t="s">
        <v>92</v>
      </c>
      <c r="C529">
        <v>65</v>
      </c>
      <c r="D529" s="69">
        <v>0</v>
      </c>
    </row>
    <row r="530" spans="1:4">
      <c r="A530">
        <v>2017</v>
      </c>
      <c r="B530" t="s">
        <v>92</v>
      </c>
      <c r="C530">
        <v>70</v>
      </c>
      <c r="D530" s="69">
        <v>0</v>
      </c>
    </row>
    <row r="531" spans="1:4">
      <c r="A531">
        <v>2017</v>
      </c>
      <c r="B531" t="s">
        <v>92</v>
      </c>
      <c r="C531">
        <v>75</v>
      </c>
      <c r="D531" s="69">
        <v>1</v>
      </c>
    </row>
    <row r="532" spans="1:4">
      <c r="A532">
        <v>2017</v>
      </c>
      <c r="B532" t="s">
        <v>92</v>
      </c>
      <c r="C532">
        <v>80</v>
      </c>
      <c r="D532" s="69">
        <v>0</v>
      </c>
    </row>
    <row r="533" spans="1:4">
      <c r="A533">
        <v>2017</v>
      </c>
      <c r="B533" t="s">
        <v>92</v>
      </c>
      <c r="C533">
        <v>85</v>
      </c>
      <c r="D533" s="69">
        <v>0</v>
      </c>
    </row>
    <row r="534" spans="1:4">
      <c r="A534">
        <v>2018</v>
      </c>
      <c r="B534" t="s">
        <v>92</v>
      </c>
      <c r="C534">
        <v>0</v>
      </c>
      <c r="D534" s="69">
        <v>0</v>
      </c>
    </row>
    <row r="535" spans="1:4">
      <c r="A535">
        <v>2018</v>
      </c>
      <c r="B535" t="s">
        <v>92</v>
      </c>
      <c r="C535">
        <v>1</v>
      </c>
      <c r="D535" s="69">
        <v>0</v>
      </c>
    </row>
    <row r="536" spans="1:4">
      <c r="A536">
        <v>2018</v>
      </c>
      <c r="B536" t="s">
        <v>92</v>
      </c>
      <c r="C536">
        <v>5</v>
      </c>
      <c r="D536" s="69">
        <v>1</v>
      </c>
    </row>
    <row r="537" spans="1:4">
      <c r="A537">
        <v>2018</v>
      </c>
      <c r="B537" t="s">
        <v>92</v>
      </c>
      <c r="C537">
        <v>10</v>
      </c>
      <c r="D537" s="69">
        <v>2</v>
      </c>
    </row>
    <row r="538" spans="1:4">
      <c r="A538">
        <v>2018</v>
      </c>
      <c r="B538" t="s">
        <v>92</v>
      </c>
      <c r="C538">
        <v>15</v>
      </c>
      <c r="D538" s="69">
        <v>28</v>
      </c>
    </row>
    <row r="539" spans="1:4">
      <c r="A539">
        <v>2018</v>
      </c>
      <c r="B539" t="s">
        <v>92</v>
      </c>
      <c r="C539">
        <v>20</v>
      </c>
      <c r="D539" s="69">
        <v>74</v>
      </c>
    </row>
    <row r="540" spans="1:4">
      <c r="A540">
        <v>2018</v>
      </c>
      <c r="B540" t="s">
        <v>92</v>
      </c>
      <c r="C540">
        <v>25</v>
      </c>
      <c r="D540" s="69">
        <v>96</v>
      </c>
    </row>
    <row r="541" spans="1:4">
      <c r="A541">
        <v>2018</v>
      </c>
      <c r="B541" t="s">
        <v>92</v>
      </c>
      <c r="C541">
        <v>30</v>
      </c>
      <c r="D541" s="69">
        <v>96</v>
      </c>
    </row>
    <row r="542" spans="1:4">
      <c r="A542">
        <v>2018</v>
      </c>
      <c r="B542" t="s">
        <v>92</v>
      </c>
      <c r="C542">
        <v>35</v>
      </c>
      <c r="D542" s="69">
        <v>81</v>
      </c>
    </row>
    <row r="543" spans="1:4">
      <c r="A543">
        <v>2018</v>
      </c>
      <c r="B543" t="s">
        <v>92</v>
      </c>
      <c r="C543">
        <v>40</v>
      </c>
      <c r="D543" s="69">
        <v>57</v>
      </c>
    </row>
    <row r="544" spans="1:4">
      <c r="A544">
        <v>2018</v>
      </c>
      <c r="B544" t="s">
        <v>92</v>
      </c>
      <c r="C544">
        <v>45</v>
      </c>
      <c r="D544" s="69">
        <v>49</v>
      </c>
    </row>
    <row r="545" spans="1:4">
      <c r="A545">
        <v>2018</v>
      </c>
      <c r="B545" t="s">
        <v>92</v>
      </c>
      <c r="C545">
        <v>50</v>
      </c>
      <c r="D545" s="69">
        <v>34</v>
      </c>
    </row>
    <row r="546" spans="1:4">
      <c r="A546">
        <v>2018</v>
      </c>
      <c r="B546" t="s">
        <v>92</v>
      </c>
      <c r="C546">
        <v>55</v>
      </c>
      <c r="D546" s="69">
        <v>16</v>
      </c>
    </row>
    <row r="547" spans="1:4">
      <c r="A547">
        <v>2018</v>
      </c>
      <c r="B547" t="s">
        <v>92</v>
      </c>
      <c r="C547">
        <v>60</v>
      </c>
      <c r="D547" s="69">
        <v>13</v>
      </c>
    </row>
    <row r="548" spans="1:4">
      <c r="A548">
        <v>2018</v>
      </c>
      <c r="B548" t="s">
        <v>92</v>
      </c>
      <c r="C548">
        <v>65</v>
      </c>
      <c r="D548" s="69">
        <v>0</v>
      </c>
    </row>
    <row r="549" spans="1:4">
      <c r="A549">
        <v>2018</v>
      </c>
      <c r="B549" t="s">
        <v>92</v>
      </c>
      <c r="C549">
        <v>70</v>
      </c>
      <c r="D549" s="69">
        <v>0</v>
      </c>
    </row>
    <row r="550" spans="1:4">
      <c r="A550">
        <v>2018</v>
      </c>
      <c r="B550" t="s">
        <v>92</v>
      </c>
      <c r="C550">
        <v>75</v>
      </c>
      <c r="D550" s="69">
        <v>0</v>
      </c>
    </row>
    <row r="551" spans="1:4">
      <c r="A551">
        <v>2018</v>
      </c>
      <c r="B551" t="s">
        <v>92</v>
      </c>
      <c r="C551">
        <v>80</v>
      </c>
      <c r="D551" s="69">
        <v>0</v>
      </c>
    </row>
    <row r="552" spans="1:4">
      <c r="A552">
        <v>2018</v>
      </c>
      <c r="B552" t="s">
        <v>92</v>
      </c>
      <c r="C552">
        <v>85</v>
      </c>
      <c r="D552" s="69">
        <v>0</v>
      </c>
    </row>
    <row r="553" spans="1:4">
      <c r="A553" s="5">
        <v>2019</v>
      </c>
      <c r="B553" s="5" t="s">
        <v>92</v>
      </c>
      <c r="C553" s="5">
        <v>0</v>
      </c>
      <c r="D553" s="74">
        <v>0</v>
      </c>
    </row>
    <row r="554" spans="1:4">
      <c r="A554" s="5">
        <v>2019</v>
      </c>
      <c r="B554" s="5" t="s">
        <v>92</v>
      </c>
      <c r="C554" s="5">
        <v>1</v>
      </c>
      <c r="D554" s="74">
        <v>0</v>
      </c>
    </row>
    <row r="555" spans="1:4">
      <c r="A555" s="5">
        <v>2019</v>
      </c>
      <c r="B555" s="5" t="s">
        <v>92</v>
      </c>
      <c r="C555" s="5">
        <v>5</v>
      </c>
      <c r="D555" s="74">
        <v>0</v>
      </c>
    </row>
    <row r="556" spans="1:4">
      <c r="A556" s="5">
        <v>2019</v>
      </c>
      <c r="B556" s="5" t="s">
        <v>92</v>
      </c>
      <c r="C556" s="5">
        <v>10</v>
      </c>
      <c r="D556" s="74">
        <v>1</v>
      </c>
    </row>
    <row r="557" spans="1:4">
      <c r="A557" s="5">
        <v>2019</v>
      </c>
      <c r="B557" s="5" t="s">
        <v>92</v>
      </c>
      <c r="C557" s="5">
        <v>15</v>
      </c>
      <c r="D557" s="74">
        <v>28</v>
      </c>
    </row>
    <row r="558" spans="1:4">
      <c r="A558" s="5">
        <v>2019</v>
      </c>
      <c r="B558" s="5" t="s">
        <v>92</v>
      </c>
      <c r="C558" s="5">
        <v>20</v>
      </c>
      <c r="D558" s="74">
        <v>83</v>
      </c>
    </row>
    <row r="559" spans="1:4">
      <c r="A559" s="5">
        <v>2019</v>
      </c>
      <c r="B559" s="5" t="s">
        <v>92</v>
      </c>
      <c r="C559" s="5">
        <v>25</v>
      </c>
      <c r="D559" s="74">
        <v>102</v>
      </c>
    </row>
    <row r="560" spans="1:4">
      <c r="A560" s="5">
        <v>2019</v>
      </c>
      <c r="B560" s="5" t="s">
        <v>92</v>
      </c>
      <c r="C560" s="5">
        <v>30</v>
      </c>
      <c r="D560" s="74">
        <v>93</v>
      </c>
    </row>
    <row r="561" spans="1:4">
      <c r="A561" s="5">
        <v>2019</v>
      </c>
      <c r="B561" s="5" t="s">
        <v>92</v>
      </c>
      <c r="C561" s="5">
        <v>35</v>
      </c>
      <c r="D561" s="74">
        <v>68</v>
      </c>
    </row>
    <row r="562" spans="1:4">
      <c r="A562" s="5">
        <v>2019</v>
      </c>
      <c r="B562" s="5" t="s">
        <v>92</v>
      </c>
      <c r="C562" s="5">
        <v>40</v>
      </c>
      <c r="D562" s="74">
        <v>70</v>
      </c>
    </row>
    <row r="563" spans="1:4">
      <c r="A563" s="5">
        <v>2019</v>
      </c>
      <c r="B563" s="5" t="s">
        <v>92</v>
      </c>
      <c r="C563" s="5">
        <v>45</v>
      </c>
      <c r="D563" s="74">
        <v>46</v>
      </c>
    </row>
    <row r="564" spans="1:4">
      <c r="A564" s="5">
        <v>2019</v>
      </c>
      <c r="B564" s="5" t="s">
        <v>92</v>
      </c>
      <c r="C564" s="5">
        <v>50</v>
      </c>
      <c r="D564" s="74">
        <v>22</v>
      </c>
    </row>
    <row r="565" spans="1:4">
      <c r="A565" s="5">
        <v>2019</v>
      </c>
      <c r="B565" s="5" t="s">
        <v>92</v>
      </c>
      <c r="C565" s="5">
        <v>55</v>
      </c>
      <c r="D565" s="74">
        <v>23</v>
      </c>
    </row>
    <row r="566" spans="1:4">
      <c r="A566" s="5">
        <v>2019</v>
      </c>
      <c r="B566" s="5" t="s">
        <v>92</v>
      </c>
      <c r="C566" s="5">
        <v>60</v>
      </c>
      <c r="D566" s="74">
        <v>15</v>
      </c>
    </row>
    <row r="567" spans="1:4">
      <c r="A567" s="5">
        <v>2019</v>
      </c>
      <c r="B567" s="5" t="s">
        <v>92</v>
      </c>
      <c r="C567" s="5">
        <v>65</v>
      </c>
      <c r="D567" s="74">
        <v>0</v>
      </c>
    </row>
    <row r="568" spans="1:4">
      <c r="A568" s="5">
        <v>2019</v>
      </c>
      <c r="B568" s="5" t="s">
        <v>92</v>
      </c>
      <c r="C568" s="5">
        <v>70</v>
      </c>
      <c r="D568" s="74">
        <v>0</v>
      </c>
    </row>
    <row r="569" spans="1:4">
      <c r="A569" s="5">
        <v>2019</v>
      </c>
      <c r="B569" s="5" t="s">
        <v>92</v>
      </c>
      <c r="C569" s="5">
        <v>75</v>
      </c>
      <c r="D569" s="74">
        <v>1</v>
      </c>
    </row>
    <row r="570" spans="1:4">
      <c r="A570" s="5">
        <v>2019</v>
      </c>
      <c r="B570" s="5" t="s">
        <v>92</v>
      </c>
      <c r="C570" s="5">
        <v>80</v>
      </c>
      <c r="D570" s="74">
        <v>1</v>
      </c>
    </row>
    <row r="571" spans="1:4">
      <c r="A571" s="5">
        <v>2019</v>
      </c>
      <c r="B571" s="5" t="s">
        <v>92</v>
      </c>
      <c r="C571" s="5">
        <v>85</v>
      </c>
      <c r="D571" s="74">
        <v>0</v>
      </c>
    </row>
    <row r="572" spans="1:4">
      <c r="A572">
        <v>2020</v>
      </c>
      <c r="B572" t="s">
        <v>92</v>
      </c>
      <c r="C572">
        <v>0</v>
      </c>
      <c r="D572" s="69">
        <v>1</v>
      </c>
    </row>
    <row r="573" spans="1:4">
      <c r="A573">
        <v>2020</v>
      </c>
      <c r="B573" t="s">
        <v>92</v>
      </c>
      <c r="C573">
        <v>1</v>
      </c>
      <c r="D573" s="69">
        <v>0</v>
      </c>
    </row>
    <row r="574" spans="1:4">
      <c r="A574">
        <v>2020</v>
      </c>
      <c r="B574" t="s">
        <v>92</v>
      </c>
      <c r="C574">
        <v>5</v>
      </c>
      <c r="D574" s="69">
        <v>0</v>
      </c>
    </row>
    <row r="575" spans="1:4">
      <c r="A575">
        <v>2020</v>
      </c>
      <c r="B575" t="s">
        <v>92</v>
      </c>
      <c r="C575">
        <v>10</v>
      </c>
      <c r="D575" s="69">
        <v>0</v>
      </c>
    </row>
    <row r="576" spans="1:4">
      <c r="A576">
        <v>2020</v>
      </c>
      <c r="B576" t="s">
        <v>92</v>
      </c>
      <c r="C576">
        <v>15</v>
      </c>
      <c r="D576" s="69">
        <v>22</v>
      </c>
    </row>
    <row r="577" spans="1:4">
      <c r="A577">
        <v>2020</v>
      </c>
      <c r="B577" t="s">
        <v>92</v>
      </c>
      <c r="C577">
        <v>20</v>
      </c>
      <c r="D577" s="69">
        <v>58</v>
      </c>
    </row>
    <row r="578" spans="1:4">
      <c r="A578">
        <v>2020</v>
      </c>
      <c r="B578" t="s">
        <v>92</v>
      </c>
      <c r="C578">
        <v>25</v>
      </c>
      <c r="D578" s="69">
        <v>87</v>
      </c>
    </row>
    <row r="579" spans="1:4">
      <c r="A579">
        <v>2020</v>
      </c>
      <c r="B579" t="s">
        <v>92</v>
      </c>
      <c r="C579">
        <v>30</v>
      </c>
      <c r="D579" s="69">
        <v>70</v>
      </c>
    </row>
    <row r="580" spans="1:4">
      <c r="A580">
        <v>2020</v>
      </c>
      <c r="B580" t="s">
        <v>92</v>
      </c>
      <c r="C580">
        <v>35</v>
      </c>
      <c r="D580" s="69">
        <v>64</v>
      </c>
    </row>
    <row r="581" spans="1:4">
      <c r="A581">
        <v>2020</v>
      </c>
      <c r="B581" t="s">
        <v>92</v>
      </c>
      <c r="C581">
        <v>40</v>
      </c>
      <c r="D581" s="69">
        <v>62</v>
      </c>
    </row>
    <row r="582" spans="1:4">
      <c r="A582">
        <v>2020</v>
      </c>
      <c r="B582" t="s">
        <v>92</v>
      </c>
      <c r="C582">
        <v>45</v>
      </c>
      <c r="D582" s="69">
        <v>43</v>
      </c>
    </row>
    <row r="583" spans="1:4">
      <c r="A583">
        <v>2020</v>
      </c>
      <c r="B583" t="s">
        <v>92</v>
      </c>
      <c r="C583">
        <v>50</v>
      </c>
      <c r="D583" s="69">
        <v>29</v>
      </c>
    </row>
    <row r="584" spans="1:4">
      <c r="A584">
        <v>2020</v>
      </c>
      <c r="B584" t="s">
        <v>92</v>
      </c>
      <c r="C584">
        <v>55</v>
      </c>
      <c r="D584" s="69">
        <v>15</v>
      </c>
    </row>
    <row r="585" spans="1:4">
      <c r="A585">
        <v>2020</v>
      </c>
      <c r="B585" t="s">
        <v>92</v>
      </c>
      <c r="C585">
        <v>60</v>
      </c>
      <c r="D585" s="69">
        <v>15</v>
      </c>
    </row>
    <row r="586" spans="1:4">
      <c r="A586">
        <v>2020</v>
      </c>
      <c r="B586" t="s">
        <v>92</v>
      </c>
      <c r="C586">
        <v>65</v>
      </c>
      <c r="D586" s="69">
        <v>0</v>
      </c>
    </row>
    <row r="587" spans="1:4">
      <c r="A587">
        <v>2020</v>
      </c>
      <c r="B587" t="s">
        <v>92</v>
      </c>
      <c r="C587">
        <v>70</v>
      </c>
      <c r="D587" s="69">
        <v>0</v>
      </c>
    </row>
    <row r="588" spans="1:4">
      <c r="A588">
        <v>2020</v>
      </c>
      <c r="B588" t="s">
        <v>92</v>
      </c>
      <c r="C588">
        <v>75</v>
      </c>
      <c r="D588" s="69">
        <v>1</v>
      </c>
    </row>
    <row r="589" spans="1:4">
      <c r="A589">
        <v>2020</v>
      </c>
      <c r="B589" t="s">
        <v>92</v>
      </c>
      <c r="C589">
        <v>80</v>
      </c>
      <c r="D589" s="69">
        <v>1</v>
      </c>
    </row>
    <row r="590" spans="1:4">
      <c r="A590">
        <v>2020</v>
      </c>
      <c r="B590" t="s">
        <v>92</v>
      </c>
      <c r="C590">
        <v>85</v>
      </c>
      <c r="D590" s="69">
        <v>0</v>
      </c>
    </row>
    <row r="591" spans="1:4">
      <c r="A591" s="72">
        <v>2021</v>
      </c>
      <c r="B591" s="72" t="s">
        <v>92</v>
      </c>
      <c r="C591" s="72">
        <v>0</v>
      </c>
      <c r="D591" s="69">
        <v>0</v>
      </c>
    </row>
    <row r="592" spans="1:4">
      <c r="A592" s="72">
        <v>2021</v>
      </c>
      <c r="B592" s="72" t="s">
        <v>92</v>
      </c>
      <c r="C592" s="72">
        <v>1</v>
      </c>
      <c r="D592" s="69">
        <v>1</v>
      </c>
    </row>
    <row r="593" spans="1:4">
      <c r="A593" s="72">
        <v>2021</v>
      </c>
      <c r="B593" s="72" t="s">
        <v>92</v>
      </c>
      <c r="C593" s="72">
        <v>5</v>
      </c>
      <c r="D593" s="69">
        <v>0</v>
      </c>
    </row>
    <row r="594" spans="1:4">
      <c r="A594" s="72">
        <v>2021</v>
      </c>
      <c r="B594" s="72" t="s">
        <v>92</v>
      </c>
      <c r="C594" s="72">
        <v>10</v>
      </c>
      <c r="D594" s="69">
        <v>0</v>
      </c>
    </row>
    <row r="595" spans="1:4">
      <c r="A595" s="72">
        <v>2021</v>
      </c>
      <c r="B595" s="72" t="s">
        <v>92</v>
      </c>
      <c r="C595" s="72">
        <v>15</v>
      </c>
      <c r="D595" s="69">
        <v>17</v>
      </c>
    </row>
    <row r="596" spans="1:4">
      <c r="A596" s="72">
        <v>2021</v>
      </c>
      <c r="B596" s="72" t="s">
        <v>92</v>
      </c>
      <c r="C596" s="72">
        <v>20</v>
      </c>
      <c r="D596" s="69">
        <v>73</v>
      </c>
    </row>
    <row r="597" spans="1:4">
      <c r="A597" s="72">
        <v>2021</v>
      </c>
      <c r="B597" s="72" t="s">
        <v>92</v>
      </c>
      <c r="C597" s="72">
        <v>25</v>
      </c>
      <c r="D597" s="69">
        <v>83</v>
      </c>
    </row>
    <row r="598" spans="1:4">
      <c r="A598" s="72">
        <v>2021</v>
      </c>
      <c r="B598" s="72" t="s">
        <v>92</v>
      </c>
      <c r="C598" s="72">
        <v>30</v>
      </c>
      <c r="D598" s="69">
        <v>61</v>
      </c>
    </row>
    <row r="599" spans="1:4">
      <c r="A599" s="72">
        <v>2021</v>
      </c>
      <c r="B599" s="72" t="s">
        <v>92</v>
      </c>
      <c r="C599" s="72">
        <v>35</v>
      </c>
      <c r="D599" s="69">
        <v>74</v>
      </c>
    </row>
    <row r="600" spans="1:4">
      <c r="A600" s="72">
        <v>2021</v>
      </c>
      <c r="B600" s="72" t="s">
        <v>92</v>
      </c>
      <c r="C600" s="72">
        <v>40</v>
      </c>
      <c r="D600" s="69">
        <v>57</v>
      </c>
    </row>
    <row r="601" spans="1:4">
      <c r="A601" s="72">
        <v>2021</v>
      </c>
      <c r="B601" s="72" t="s">
        <v>92</v>
      </c>
      <c r="C601" s="72">
        <v>45</v>
      </c>
      <c r="D601">
        <v>31</v>
      </c>
    </row>
    <row r="602" spans="1:4">
      <c r="A602" s="72">
        <v>2021</v>
      </c>
      <c r="B602" s="72" t="s">
        <v>92</v>
      </c>
      <c r="C602" s="72">
        <v>50</v>
      </c>
      <c r="D602" s="69">
        <v>26</v>
      </c>
    </row>
    <row r="603" spans="1:4">
      <c r="A603" s="72">
        <v>2021</v>
      </c>
      <c r="B603" s="72" t="s">
        <v>92</v>
      </c>
      <c r="C603" s="72">
        <v>55</v>
      </c>
      <c r="D603" s="69">
        <v>19</v>
      </c>
    </row>
    <row r="604" spans="1:4">
      <c r="A604" s="72">
        <v>2021</v>
      </c>
      <c r="B604" s="72" t="s">
        <v>92</v>
      </c>
      <c r="C604" s="72">
        <v>60</v>
      </c>
      <c r="D604" s="69">
        <v>10</v>
      </c>
    </row>
    <row r="605" spans="1:4">
      <c r="A605" s="72">
        <v>2021</v>
      </c>
      <c r="B605" s="72" t="s">
        <v>92</v>
      </c>
      <c r="C605" s="72">
        <v>65</v>
      </c>
      <c r="D605" s="69">
        <v>0</v>
      </c>
    </row>
    <row r="606" spans="1:4">
      <c r="A606" s="72">
        <v>2021</v>
      </c>
      <c r="B606" s="72" t="s">
        <v>92</v>
      </c>
      <c r="C606" s="72">
        <v>70</v>
      </c>
      <c r="D606" s="69">
        <v>0</v>
      </c>
    </row>
    <row r="607" spans="1:4">
      <c r="A607" s="72">
        <v>2021</v>
      </c>
      <c r="B607" s="72" t="s">
        <v>92</v>
      </c>
      <c r="C607" s="72">
        <v>75</v>
      </c>
      <c r="D607" s="69">
        <v>0</v>
      </c>
    </row>
    <row r="608" spans="1:4">
      <c r="A608" s="72">
        <v>2021</v>
      </c>
      <c r="B608" s="72" t="s">
        <v>92</v>
      </c>
      <c r="C608" s="72">
        <v>80</v>
      </c>
      <c r="D608" s="69">
        <v>1</v>
      </c>
    </row>
    <row r="609" spans="1:4">
      <c r="A609" s="72">
        <v>2021</v>
      </c>
      <c r="B609" s="72" t="s">
        <v>92</v>
      </c>
      <c r="C609" s="72">
        <v>85</v>
      </c>
      <c r="D609" s="69">
        <v>0</v>
      </c>
    </row>
    <row r="610" spans="1:4">
      <c r="A610">
        <v>2022</v>
      </c>
      <c r="B610" t="s">
        <v>92</v>
      </c>
      <c r="C610">
        <v>0</v>
      </c>
      <c r="D610" s="69">
        <v>0</v>
      </c>
    </row>
    <row r="611" spans="1:4">
      <c r="A611">
        <v>2022</v>
      </c>
      <c r="B611" t="s">
        <v>92</v>
      </c>
      <c r="C611">
        <v>1</v>
      </c>
      <c r="D611" s="69">
        <v>0</v>
      </c>
    </row>
    <row r="612" spans="1:4">
      <c r="A612">
        <v>2022</v>
      </c>
      <c r="B612" t="s">
        <v>92</v>
      </c>
      <c r="C612">
        <v>5</v>
      </c>
      <c r="D612" s="69">
        <v>1</v>
      </c>
    </row>
    <row r="613" spans="1:4">
      <c r="A613">
        <v>2022</v>
      </c>
      <c r="B613" t="s">
        <v>92</v>
      </c>
      <c r="C613">
        <v>10</v>
      </c>
      <c r="D613" s="69">
        <v>2</v>
      </c>
    </row>
    <row r="614" spans="1:4">
      <c r="A614">
        <v>2022</v>
      </c>
      <c r="B614" t="s">
        <v>92</v>
      </c>
      <c r="C614">
        <v>15</v>
      </c>
      <c r="D614" s="69">
        <v>49</v>
      </c>
    </row>
    <row r="615" spans="1:4">
      <c r="A615">
        <v>2022</v>
      </c>
      <c r="B615" t="s">
        <v>92</v>
      </c>
      <c r="C615">
        <v>20</v>
      </c>
      <c r="D615" s="69">
        <v>90</v>
      </c>
    </row>
    <row r="616" spans="1:4">
      <c r="A616">
        <v>2022</v>
      </c>
      <c r="B616" t="s">
        <v>92</v>
      </c>
      <c r="C616">
        <v>25</v>
      </c>
      <c r="D616" s="69">
        <v>130</v>
      </c>
    </row>
    <row r="617" spans="1:4">
      <c r="A617">
        <v>2022</v>
      </c>
      <c r="B617" t="s">
        <v>92</v>
      </c>
      <c r="C617">
        <v>30</v>
      </c>
      <c r="D617" s="69">
        <v>112</v>
      </c>
    </row>
    <row r="618" spans="1:4">
      <c r="A618">
        <v>2022</v>
      </c>
      <c r="B618" t="s">
        <v>92</v>
      </c>
      <c r="C618">
        <v>35</v>
      </c>
      <c r="D618" s="69">
        <v>85</v>
      </c>
    </row>
    <row r="619" spans="1:4">
      <c r="A619">
        <v>2022</v>
      </c>
      <c r="B619" t="s">
        <v>92</v>
      </c>
      <c r="C619">
        <v>40</v>
      </c>
      <c r="D619" s="69">
        <v>80</v>
      </c>
    </row>
    <row r="620" spans="1:4">
      <c r="A620">
        <v>2022</v>
      </c>
      <c r="B620" t="s">
        <v>92</v>
      </c>
      <c r="C620">
        <v>45</v>
      </c>
      <c r="D620" s="69">
        <v>72</v>
      </c>
    </row>
    <row r="621" spans="1:4">
      <c r="A621">
        <v>2022</v>
      </c>
      <c r="B621" t="s">
        <v>92</v>
      </c>
      <c r="C621">
        <v>50</v>
      </c>
      <c r="D621" s="69">
        <v>41</v>
      </c>
    </row>
    <row r="622" spans="1:4">
      <c r="A622">
        <v>2022</v>
      </c>
      <c r="B622" t="s">
        <v>92</v>
      </c>
      <c r="C622">
        <v>55</v>
      </c>
      <c r="D622" s="69">
        <v>25</v>
      </c>
    </row>
    <row r="623" spans="1:4">
      <c r="A623">
        <v>2022</v>
      </c>
      <c r="B623" t="s">
        <v>92</v>
      </c>
      <c r="C623">
        <v>60</v>
      </c>
      <c r="D623" s="69">
        <v>15</v>
      </c>
    </row>
    <row r="624" spans="1:4">
      <c r="A624">
        <v>2022</v>
      </c>
      <c r="B624" t="s">
        <v>92</v>
      </c>
      <c r="C624">
        <v>65</v>
      </c>
      <c r="D624" s="69">
        <v>0</v>
      </c>
    </row>
    <row r="625" spans="1:4">
      <c r="A625">
        <v>2022</v>
      </c>
      <c r="B625" t="s">
        <v>92</v>
      </c>
      <c r="C625">
        <v>70</v>
      </c>
      <c r="D625" s="69">
        <v>0</v>
      </c>
    </row>
    <row r="626" spans="1:4">
      <c r="A626">
        <v>2022</v>
      </c>
      <c r="B626" t="s">
        <v>92</v>
      </c>
      <c r="C626">
        <v>75</v>
      </c>
      <c r="D626" s="69">
        <v>1</v>
      </c>
    </row>
    <row r="627" spans="1:4">
      <c r="A627">
        <v>2022</v>
      </c>
      <c r="B627" t="s">
        <v>92</v>
      </c>
      <c r="C627">
        <v>80</v>
      </c>
      <c r="D627" s="69">
        <v>2</v>
      </c>
    </row>
    <row r="628" spans="1:4">
      <c r="A628">
        <v>2022</v>
      </c>
      <c r="B628" t="s">
        <v>92</v>
      </c>
      <c r="C628">
        <v>85</v>
      </c>
      <c r="D628" s="69">
        <v>0</v>
      </c>
    </row>
    <row r="629" spans="1:4">
      <c r="A629">
        <v>2023</v>
      </c>
      <c r="B629" t="s">
        <v>92</v>
      </c>
      <c r="C629">
        <v>0</v>
      </c>
      <c r="D629" s="69">
        <v>0</v>
      </c>
    </row>
    <row r="630" spans="1:4">
      <c r="A630">
        <v>2023</v>
      </c>
      <c r="B630" t="s">
        <v>92</v>
      </c>
      <c r="C630">
        <v>1</v>
      </c>
      <c r="D630" s="69">
        <v>0</v>
      </c>
    </row>
    <row r="631" spans="1:4">
      <c r="A631">
        <v>2023</v>
      </c>
      <c r="B631" t="s">
        <v>92</v>
      </c>
      <c r="C631">
        <v>5</v>
      </c>
      <c r="D631" s="69">
        <v>0</v>
      </c>
    </row>
    <row r="632" spans="1:4">
      <c r="A632">
        <v>2023</v>
      </c>
      <c r="B632" t="s">
        <v>92</v>
      </c>
      <c r="C632">
        <v>10</v>
      </c>
      <c r="D632" s="69">
        <v>1</v>
      </c>
    </row>
    <row r="633" spans="1:4">
      <c r="A633">
        <v>2023</v>
      </c>
      <c r="B633" t="s">
        <v>92</v>
      </c>
      <c r="C633">
        <v>15</v>
      </c>
      <c r="D633" s="69">
        <v>40</v>
      </c>
    </row>
    <row r="634" spans="1:4">
      <c r="A634">
        <v>2023</v>
      </c>
      <c r="B634" t="s">
        <v>92</v>
      </c>
      <c r="C634">
        <v>20</v>
      </c>
      <c r="D634" s="69">
        <v>92</v>
      </c>
    </row>
    <row r="635" spans="1:4">
      <c r="A635">
        <v>2023</v>
      </c>
      <c r="B635" t="s">
        <v>92</v>
      </c>
      <c r="C635">
        <v>25</v>
      </c>
      <c r="D635" s="69">
        <v>107</v>
      </c>
    </row>
    <row r="636" spans="1:4">
      <c r="A636">
        <v>2023</v>
      </c>
      <c r="B636" t="s">
        <v>92</v>
      </c>
      <c r="C636">
        <v>30</v>
      </c>
      <c r="D636" s="69">
        <v>126</v>
      </c>
    </row>
    <row r="637" spans="1:4">
      <c r="A637">
        <v>2023</v>
      </c>
      <c r="B637" t="s">
        <v>92</v>
      </c>
      <c r="C637">
        <v>35</v>
      </c>
      <c r="D637" s="69">
        <v>88</v>
      </c>
    </row>
    <row r="638" spans="1:4">
      <c r="A638">
        <v>2023</v>
      </c>
      <c r="B638" t="s">
        <v>92</v>
      </c>
      <c r="C638">
        <v>40</v>
      </c>
      <c r="D638" s="69">
        <v>84</v>
      </c>
    </row>
    <row r="639" spans="1:4">
      <c r="A639">
        <v>2023</v>
      </c>
      <c r="B639" t="s">
        <v>92</v>
      </c>
      <c r="C639">
        <v>45</v>
      </c>
      <c r="D639" s="69">
        <v>65</v>
      </c>
    </row>
    <row r="640" spans="1:4">
      <c r="A640">
        <v>2023</v>
      </c>
      <c r="B640" t="s">
        <v>92</v>
      </c>
      <c r="C640">
        <v>50</v>
      </c>
      <c r="D640" s="69">
        <v>39</v>
      </c>
    </row>
    <row r="641" spans="1:4">
      <c r="A641">
        <v>2023</v>
      </c>
      <c r="B641" t="s">
        <v>92</v>
      </c>
      <c r="C641">
        <v>55</v>
      </c>
      <c r="D641" s="69">
        <v>24</v>
      </c>
    </row>
    <row r="642" spans="1:4">
      <c r="A642">
        <v>2023</v>
      </c>
      <c r="B642" t="s">
        <v>92</v>
      </c>
      <c r="C642">
        <v>60</v>
      </c>
      <c r="D642" s="69">
        <v>17</v>
      </c>
    </row>
    <row r="643" spans="1:4">
      <c r="A643">
        <v>2023</v>
      </c>
      <c r="B643" t="s">
        <v>92</v>
      </c>
      <c r="C643">
        <v>65</v>
      </c>
      <c r="D643" s="69">
        <v>0</v>
      </c>
    </row>
    <row r="644" spans="1:4">
      <c r="A644">
        <v>2023</v>
      </c>
      <c r="B644" t="s">
        <v>92</v>
      </c>
      <c r="C644">
        <v>70</v>
      </c>
      <c r="D644" s="69">
        <v>0</v>
      </c>
    </row>
    <row r="645" spans="1:4">
      <c r="A645">
        <v>2023</v>
      </c>
      <c r="B645" t="s">
        <v>92</v>
      </c>
      <c r="C645">
        <v>75</v>
      </c>
      <c r="D645" s="69">
        <v>3</v>
      </c>
    </row>
    <row r="646" spans="1:4">
      <c r="A646">
        <v>2023</v>
      </c>
      <c r="B646" t="s">
        <v>92</v>
      </c>
      <c r="C646">
        <v>80</v>
      </c>
      <c r="D646" s="69">
        <v>1</v>
      </c>
    </row>
    <row r="647" spans="1:4">
      <c r="A647">
        <v>2023</v>
      </c>
      <c r="B647" t="s">
        <v>92</v>
      </c>
      <c r="C647">
        <v>85</v>
      </c>
      <c r="D647" s="69">
        <v>0</v>
      </c>
    </row>
    <row r="648" spans="1:4">
      <c r="A648">
        <v>2024</v>
      </c>
      <c r="B648" t="s">
        <v>92</v>
      </c>
      <c r="C648">
        <v>0</v>
      </c>
      <c r="D648" s="69">
        <v>0</v>
      </c>
    </row>
    <row r="649" spans="1:4">
      <c r="A649">
        <v>2024</v>
      </c>
      <c r="B649" t="s">
        <v>92</v>
      </c>
      <c r="C649">
        <v>1</v>
      </c>
      <c r="D649" s="69">
        <v>0</v>
      </c>
    </row>
    <row r="650" spans="1:4">
      <c r="A650">
        <v>2024</v>
      </c>
      <c r="B650" t="s">
        <v>92</v>
      </c>
      <c r="C650">
        <v>5</v>
      </c>
      <c r="D650" s="69">
        <v>0</v>
      </c>
    </row>
    <row r="651" spans="1:4">
      <c r="A651">
        <v>2024</v>
      </c>
      <c r="B651" t="s">
        <v>92</v>
      </c>
      <c r="C651">
        <v>10</v>
      </c>
      <c r="D651" s="69">
        <v>4</v>
      </c>
    </row>
    <row r="652" spans="1:4">
      <c r="A652">
        <v>2024</v>
      </c>
      <c r="B652" t="s">
        <v>92</v>
      </c>
      <c r="C652">
        <v>15</v>
      </c>
      <c r="D652" s="69">
        <v>52</v>
      </c>
    </row>
    <row r="653" spans="1:4">
      <c r="A653">
        <v>2024</v>
      </c>
      <c r="B653" t="s">
        <v>92</v>
      </c>
      <c r="C653">
        <v>20</v>
      </c>
      <c r="D653" s="69">
        <v>77</v>
      </c>
    </row>
    <row r="654" spans="1:4">
      <c r="A654">
        <v>2024</v>
      </c>
      <c r="B654" t="s">
        <v>92</v>
      </c>
      <c r="C654">
        <v>25</v>
      </c>
      <c r="D654" s="69">
        <v>119</v>
      </c>
    </row>
    <row r="655" spans="1:4">
      <c r="A655">
        <v>2024</v>
      </c>
      <c r="B655" t="s">
        <v>92</v>
      </c>
      <c r="C655">
        <v>30</v>
      </c>
      <c r="D655" s="69">
        <v>117</v>
      </c>
    </row>
    <row r="656" spans="1:4">
      <c r="A656">
        <v>2024</v>
      </c>
      <c r="B656" t="s">
        <v>92</v>
      </c>
      <c r="C656">
        <v>35</v>
      </c>
      <c r="D656" s="69">
        <v>75</v>
      </c>
    </row>
    <row r="657" spans="1:4">
      <c r="A657">
        <v>2024</v>
      </c>
      <c r="B657" t="s">
        <v>92</v>
      </c>
      <c r="C657">
        <v>40</v>
      </c>
      <c r="D657" s="69">
        <v>86</v>
      </c>
    </row>
    <row r="658" spans="1:4">
      <c r="A658">
        <v>2024</v>
      </c>
      <c r="B658" t="s">
        <v>92</v>
      </c>
      <c r="C658">
        <v>45</v>
      </c>
      <c r="D658" s="69">
        <v>73</v>
      </c>
    </row>
    <row r="659" spans="1:4">
      <c r="A659">
        <v>2024</v>
      </c>
      <c r="B659" t="s">
        <v>92</v>
      </c>
      <c r="C659">
        <v>50</v>
      </c>
      <c r="D659" s="69">
        <v>48</v>
      </c>
    </row>
    <row r="660" spans="1:4">
      <c r="A660">
        <v>2024</v>
      </c>
      <c r="B660" t="s">
        <v>92</v>
      </c>
      <c r="C660">
        <v>55</v>
      </c>
      <c r="D660" s="69">
        <v>30</v>
      </c>
    </row>
    <row r="661" spans="1:4">
      <c r="A661">
        <v>2024</v>
      </c>
      <c r="B661" t="s">
        <v>92</v>
      </c>
      <c r="C661">
        <v>60</v>
      </c>
      <c r="D661" s="69">
        <v>19</v>
      </c>
    </row>
    <row r="662" spans="1:4">
      <c r="A662">
        <v>2024</v>
      </c>
      <c r="B662" t="s">
        <v>92</v>
      </c>
      <c r="C662">
        <v>65</v>
      </c>
      <c r="D662" s="69">
        <v>0</v>
      </c>
    </row>
    <row r="663" spans="1:4">
      <c r="A663">
        <v>2024</v>
      </c>
      <c r="B663" t="s">
        <v>92</v>
      </c>
      <c r="C663">
        <v>70</v>
      </c>
      <c r="D663" s="69">
        <v>0</v>
      </c>
    </row>
    <row r="664" spans="1:4">
      <c r="A664">
        <v>2024</v>
      </c>
      <c r="B664" t="s">
        <v>92</v>
      </c>
      <c r="C664">
        <v>75</v>
      </c>
      <c r="D664" s="69">
        <v>6</v>
      </c>
    </row>
    <row r="665" spans="1:4">
      <c r="A665">
        <v>2024</v>
      </c>
      <c r="B665" t="s">
        <v>92</v>
      </c>
      <c r="C665">
        <v>80</v>
      </c>
      <c r="D665" s="69">
        <v>0</v>
      </c>
    </row>
    <row r="666" spans="1:4">
      <c r="A666">
        <v>2024</v>
      </c>
      <c r="B666" t="s">
        <v>92</v>
      </c>
      <c r="C666">
        <v>85</v>
      </c>
      <c r="D666" s="69">
        <v>0</v>
      </c>
    </row>
    <row r="667" spans="1:4">
      <c r="A667" s="67">
        <v>1990</v>
      </c>
      <c r="B667" s="67" t="s">
        <v>93</v>
      </c>
      <c r="C667" s="67">
        <v>0</v>
      </c>
      <c r="D667" s="68">
        <v>0</v>
      </c>
    </row>
    <row r="668" spans="1:4">
      <c r="A668">
        <v>1990</v>
      </c>
      <c r="B668" t="s">
        <v>93</v>
      </c>
      <c r="C668">
        <v>1</v>
      </c>
      <c r="D668" s="66">
        <v>1</v>
      </c>
    </row>
    <row r="669" spans="1:4">
      <c r="A669">
        <v>1990</v>
      </c>
      <c r="B669" t="s">
        <v>93</v>
      </c>
      <c r="C669">
        <v>5</v>
      </c>
      <c r="D669" s="69">
        <v>0</v>
      </c>
    </row>
    <row r="670" spans="1:4">
      <c r="A670">
        <v>1990</v>
      </c>
      <c r="B670" t="s">
        <v>93</v>
      </c>
      <c r="C670">
        <v>10</v>
      </c>
      <c r="D670" s="69">
        <v>0</v>
      </c>
    </row>
    <row r="671" spans="1:4">
      <c r="A671">
        <v>1990</v>
      </c>
      <c r="B671" t="s">
        <v>93</v>
      </c>
      <c r="C671">
        <v>15</v>
      </c>
      <c r="D671" s="66">
        <v>1</v>
      </c>
    </row>
    <row r="672" spans="1:4">
      <c r="A672">
        <v>1990</v>
      </c>
      <c r="B672" t="s">
        <v>93</v>
      </c>
      <c r="C672">
        <v>20</v>
      </c>
      <c r="D672" s="69">
        <v>0</v>
      </c>
    </row>
    <row r="673" spans="1:4">
      <c r="A673">
        <v>1990</v>
      </c>
      <c r="B673" t="s">
        <v>93</v>
      </c>
      <c r="C673">
        <v>25</v>
      </c>
      <c r="D673" s="69">
        <v>0</v>
      </c>
    </row>
    <row r="674" spans="1:4">
      <c r="A674">
        <v>1990</v>
      </c>
      <c r="B674" t="s">
        <v>93</v>
      </c>
      <c r="C674">
        <v>30</v>
      </c>
      <c r="D674" s="69">
        <v>0</v>
      </c>
    </row>
    <row r="675" spans="1:4">
      <c r="A675">
        <v>1990</v>
      </c>
      <c r="B675" t="s">
        <v>93</v>
      </c>
      <c r="C675">
        <v>35</v>
      </c>
      <c r="D675" s="69">
        <v>0</v>
      </c>
    </row>
    <row r="676" spans="1:4">
      <c r="A676">
        <v>1990</v>
      </c>
      <c r="B676" t="s">
        <v>93</v>
      </c>
      <c r="C676">
        <v>40</v>
      </c>
      <c r="D676" s="69">
        <v>0</v>
      </c>
    </row>
    <row r="677" spans="1:4">
      <c r="A677">
        <v>1990</v>
      </c>
      <c r="B677" t="s">
        <v>93</v>
      </c>
      <c r="C677">
        <v>45</v>
      </c>
      <c r="D677" s="69">
        <v>0</v>
      </c>
    </row>
    <row r="678" spans="1:4">
      <c r="A678">
        <v>1990</v>
      </c>
      <c r="B678" t="s">
        <v>93</v>
      </c>
      <c r="C678">
        <v>50</v>
      </c>
      <c r="D678" s="69">
        <v>0</v>
      </c>
    </row>
    <row r="679" spans="1:4">
      <c r="A679">
        <v>1990</v>
      </c>
      <c r="B679" t="s">
        <v>93</v>
      </c>
      <c r="C679">
        <v>55</v>
      </c>
      <c r="D679" s="69">
        <v>0</v>
      </c>
    </row>
    <row r="680" spans="1:4">
      <c r="A680">
        <v>1990</v>
      </c>
      <c r="B680" t="s">
        <v>93</v>
      </c>
      <c r="C680">
        <v>60</v>
      </c>
      <c r="D680" s="69">
        <v>0</v>
      </c>
    </row>
    <row r="681" spans="1:4">
      <c r="A681">
        <v>1990</v>
      </c>
      <c r="B681" t="s">
        <v>93</v>
      </c>
      <c r="C681">
        <v>65</v>
      </c>
      <c r="D681" s="69">
        <v>0</v>
      </c>
    </row>
    <row r="682" spans="1:4">
      <c r="A682">
        <v>1990</v>
      </c>
      <c r="B682" t="s">
        <v>93</v>
      </c>
      <c r="C682">
        <v>70</v>
      </c>
      <c r="D682" s="69">
        <v>0</v>
      </c>
    </row>
    <row r="683" spans="1:4">
      <c r="A683">
        <v>1990</v>
      </c>
      <c r="B683" t="s">
        <v>93</v>
      </c>
      <c r="C683">
        <v>75</v>
      </c>
      <c r="D683" s="69">
        <v>0</v>
      </c>
    </row>
    <row r="684" spans="1:4">
      <c r="A684">
        <v>1990</v>
      </c>
      <c r="B684" t="s">
        <v>93</v>
      </c>
      <c r="C684">
        <v>80</v>
      </c>
      <c r="D684" s="69">
        <v>0</v>
      </c>
    </row>
    <row r="685" spans="1:4">
      <c r="A685">
        <v>1990</v>
      </c>
      <c r="B685" t="s">
        <v>93</v>
      </c>
      <c r="C685">
        <v>85</v>
      </c>
      <c r="D685" s="69">
        <v>0</v>
      </c>
    </row>
    <row r="686" spans="1:4">
      <c r="A686">
        <v>1991</v>
      </c>
      <c r="B686" t="s">
        <v>93</v>
      </c>
      <c r="C686">
        <v>0</v>
      </c>
      <c r="D686" s="68">
        <v>0</v>
      </c>
    </row>
    <row r="687" spans="1:4">
      <c r="A687">
        <v>1991</v>
      </c>
      <c r="B687" t="s">
        <v>93</v>
      </c>
      <c r="C687">
        <v>1</v>
      </c>
      <c r="D687" s="68">
        <v>0</v>
      </c>
    </row>
    <row r="688" spans="1:4">
      <c r="A688">
        <v>1991</v>
      </c>
      <c r="B688" t="s">
        <v>93</v>
      </c>
      <c r="C688">
        <v>5</v>
      </c>
      <c r="D688" s="69">
        <v>0</v>
      </c>
    </row>
    <row r="689" spans="1:4">
      <c r="A689">
        <v>1991</v>
      </c>
      <c r="B689" t="s">
        <v>93</v>
      </c>
      <c r="C689">
        <v>10</v>
      </c>
      <c r="D689" s="69">
        <v>0</v>
      </c>
    </row>
    <row r="690" spans="1:4">
      <c r="A690">
        <v>1991</v>
      </c>
      <c r="B690" t="s">
        <v>93</v>
      </c>
      <c r="C690">
        <v>15</v>
      </c>
      <c r="D690" s="69">
        <v>4</v>
      </c>
    </row>
    <row r="691" spans="1:4">
      <c r="A691">
        <v>1991</v>
      </c>
      <c r="B691" t="s">
        <v>93</v>
      </c>
      <c r="C691">
        <v>20</v>
      </c>
      <c r="D691" s="69">
        <v>0</v>
      </c>
    </row>
    <row r="692" spans="1:4">
      <c r="A692">
        <v>1991</v>
      </c>
      <c r="B692" t="s">
        <v>93</v>
      </c>
      <c r="C692">
        <v>25</v>
      </c>
      <c r="D692" s="69">
        <v>1</v>
      </c>
    </row>
    <row r="693" spans="1:4">
      <c r="A693">
        <v>1991</v>
      </c>
      <c r="B693" t="s">
        <v>93</v>
      </c>
      <c r="C693">
        <v>30</v>
      </c>
      <c r="D693" s="69">
        <v>1</v>
      </c>
    </row>
    <row r="694" spans="1:4">
      <c r="A694">
        <v>1991</v>
      </c>
      <c r="B694" t="s">
        <v>93</v>
      </c>
      <c r="C694">
        <v>35</v>
      </c>
      <c r="D694" s="69">
        <v>1</v>
      </c>
    </row>
    <row r="695" spans="1:4">
      <c r="A695">
        <v>1991</v>
      </c>
      <c r="B695" t="s">
        <v>93</v>
      </c>
      <c r="C695">
        <v>40</v>
      </c>
      <c r="D695" s="69">
        <v>2</v>
      </c>
    </row>
    <row r="696" spans="1:4">
      <c r="A696">
        <v>1991</v>
      </c>
      <c r="B696" t="s">
        <v>93</v>
      </c>
      <c r="C696">
        <v>45</v>
      </c>
      <c r="D696" s="69">
        <v>1</v>
      </c>
    </row>
    <row r="697" spans="1:4">
      <c r="A697">
        <v>1991</v>
      </c>
      <c r="B697" t="s">
        <v>93</v>
      </c>
      <c r="C697">
        <v>50</v>
      </c>
      <c r="D697" s="69">
        <v>0</v>
      </c>
    </row>
    <row r="698" spans="1:4">
      <c r="A698">
        <v>1991</v>
      </c>
      <c r="B698" t="s">
        <v>93</v>
      </c>
      <c r="C698">
        <v>55</v>
      </c>
      <c r="D698" s="69">
        <v>0</v>
      </c>
    </row>
    <row r="699" spans="1:4">
      <c r="A699">
        <v>1991</v>
      </c>
      <c r="B699" t="s">
        <v>93</v>
      </c>
      <c r="C699">
        <v>60</v>
      </c>
      <c r="D699" s="69">
        <v>0</v>
      </c>
    </row>
    <row r="700" spans="1:4">
      <c r="A700">
        <v>1991</v>
      </c>
      <c r="B700" t="s">
        <v>93</v>
      </c>
      <c r="C700">
        <v>65</v>
      </c>
      <c r="D700" s="69">
        <v>0</v>
      </c>
    </row>
    <row r="701" spans="1:4">
      <c r="A701">
        <v>1991</v>
      </c>
      <c r="B701" t="s">
        <v>93</v>
      </c>
      <c r="C701">
        <v>70</v>
      </c>
      <c r="D701" s="69">
        <v>0</v>
      </c>
    </row>
    <row r="702" spans="1:4">
      <c r="A702">
        <v>1991</v>
      </c>
      <c r="B702" t="s">
        <v>93</v>
      </c>
      <c r="C702">
        <v>75</v>
      </c>
      <c r="D702" s="69">
        <v>0</v>
      </c>
    </row>
    <row r="703" spans="1:4">
      <c r="A703">
        <v>1991</v>
      </c>
      <c r="B703" t="s">
        <v>93</v>
      </c>
      <c r="C703">
        <v>80</v>
      </c>
      <c r="D703" s="69">
        <v>0</v>
      </c>
    </row>
    <row r="704" spans="1:4">
      <c r="A704">
        <v>1991</v>
      </c>
      <c r="B704" t="s">
        <v>93</v>
      </c>
      <c r="C704">
        <v>85</v>
      </c>
      <c r="D704" s="69">
        <v>0</v>
      </c>
    </row>
    <row r="705" spans="1:4">
      <c r="A705">
        <v>1992</v>
      </c>
      <c r="B705" t="s">
        <v>93</v>
      </c>
      <c r="C705">
        <v>0</v>
      </c>
      <c r="D705" s="69">
        <v>1</v>
      </c>
    </row>
    <row r="706" spans="1:4">
      <c r="A706">
        <v>1992</v>
      </c>
      <c r="B706" t="s">
        <v>93</v>
      </c>
      <c r="C706">
        <v>1</v>
      </c>
      <c r="D706" s="69">
        <v>0</v>
      </c>
    </row>
    <row r="707" spans="1:4">
      <c r="A707">
        <v>1992</v>
      </c>
      <c r="B707" t="s">
        <v>93</v>
      </c>
      <c r="C707">
        <v>5</v>
      </c>
      <c r="D707" s="69">
        <v>0</v>
      </c>
    </row>
    <row r="708" spans="1:4">
      <c r="A708">
        <v>1992</v>
      </c>
      <c r="B708" t="s">
        <v>93</v>
      </c>
      <c r="C708">
        <v>10</v>
      </c>
      <c r="D708" s="69">
        <v>0</v>
      </c>
    </row>
    <row r="709" spans="1:4">
      <c r="A709">
        <v>1992</v>
      </c>
      <c r="B709" t="s">
        <v>93</v>
      </c>
      <c r="C709">
        <v>15</v>
      </c>
      <c r="D709" s="69">
        <v>2</v>
      </c>
    </row>
    <row r="710" spans="1:4">
      <c r="A710">
        <v>1992</v>
      </c>
      <c r="B710" t="s">
        <v>93</v>
      </c>
      <c r="C710">
        <v>20</v>
      </c>
      <c r="D710" s="69">
        <v>2</v>
      </c>
    </row>
    <row r="711" spans="1:4">
      <c r="A711">
        <v>1992</v>
      </c>
      <c r="B711" t="s">
        <v>93</v>
      </c>
      <c r="C711">
        <v>25</v>
      </c>
      <c r="D711" s="69">
        <v>0</v>
      </c>
    </row>
    <row r="712" spans="1:4">
      <c r="A712">
        <v>1992</v>
      </c>
      <c r="B712" t="s">
        <v>93</v>
      </c>
      <c r="C712">
        <v>30</v>
      </c>
      <c r="D712" s="69">
        <v>2</v>
      </c>
    </row>
    <row r="713" spans="1:4">
      <c r="A713">
        <v>1992</v>
      </c>
      <c r="B713" t="s">
        <v>93</v>
      </c>
      <c r="C713">
        <v>35</v>
      </c>
      <c r="D713" s="69">
        <v>1</v>
      </c>
    </row>
    <row r="714" spans="1:4">
      <c r="A714">
        <v>1992</v>
      </c>
      <c r="B714" t="s">
        <v>93</v>
      </c>
      <c r="C714">
        <v>40</v>
      </c>
      <c r="D714" s="69">
        <v>0</v>
      </c>
    </row>
    <row r="715" spans="1:4">
      <c r="A715">
        <v>1992</v>
      </c>
      <c r="B715" t="s">
        <v>93</v>
      </c>
      <c r="C715">
        <v>45</v>
      </c>
      <c r="D715" s="69">
        <v>0</v>
      </c>
    </row>
    <row r="716" spans="1:4">
      <c r="A716">
        <v>1992</v>
      </c>
      <c r="B716" t="s">
        <v>93</v>
      </c>
      <c r="C716">
        <v>50</v>
      </c>
      <c r="D716" s="69">
        <v>0</v>
      </c>
    </row>
    <row r="717" spans="1:4">
      <c r="A717">
        <v>1992</v>
      </c>
      <c r="B717" t="s">
        <v>93</v>
      </c>
      <c r="C717">
        <v>55</v>
      </c>
      <c r="D717" s="69">
        <v>1</v>
      </c>
    </row>
    <row r="718" spans="1:4">
      <c r="A718">
        <v>1992</v>
      </c>
      <c r="B718" t="s">
        <v>93</v>
      </c>
      <c r="C718">
        <v>60</v>
      </c>
      <c r="D718" s="69">
        <v>0</v>
      </c>
    </row>
    <row r="719" spans="1:4">
      <c r="A719">
        <v>1992</v>
      </c>
      <c r="B719" t="s">
        <v>93</v>
      </c>
      <c r="C719">
        <v>65</v>
      </c>
      <c r="D719" s="69">
        <v>0</v>
      </c>
    </row>
    <row r="720" spans="1:4">
      <c r="A720">
        <v>1992</v>
      </c>
      <c r="B720" t="s">
        <v>93</v>
      </c>
      <c r="C720">
        <v>70</v>
      </c>
      <c r="D720" s="69">
        <v>0</v>
      </c>
    </row>
    <row r="721" spans="1:4">
      <c r="A721">
        <v>1992</v>
      </c>
      <c r="B721" t="s">
        <v>93</v>
      </c>
      <c r="C721">
        <v>75</v>
      </c>
      <c r="D721" s="69">
        <v>0</v>
      </c>
    </row>
    <row r="722" spans="1:4">
      <c r="A722">
        <v>1992</v>
      </c>
      <c r="B722" t="s">
        <v>93</v>
      </c>
      <c r="C722">
        <v>80</v>
      </c>
      <c r="D722" s="69">
        <v>0</v>
      </c>
    </row>
    <row r="723" spans="1:4">
      <c r="A723">
        <v>1992</v>
      </c>
      <c r="B723" t="s">
        <v>93</v>
      </c>
      <c r="C723">
        <v>85</v>
      </c>
      <c r="D723" s="69">
        <v>0</v>
      </c>
    </row>
    <row r="724" spans="1:4">
      <c r="A724">
        <v>1993</v>
      </c>
      <c r="B724" t="s">
        <v>93</v>
      </c>
      <c r="C724">
        <v>0</v>
      </c>
      <c r="D724" s="69">
        <v>0</v>
      </c>
    </row>
    <row r="725" spans="1:4">
      <c r="A725">
        <v>1993</v>
      </c>
      <c r="B725" t="s">
        <v>93</v>
      </c>
      <c r="C725">
        <v>1</v>
      </c>
      <c r="D725" s="69">
        <v>0</v>
      </c>
    </row>
    <row r="726" spans="1:4">
      <c r="A726">
        <v>1993</v>
      </c>
      <c r="B726" t="s">
        <v>93</v>
      </c>
      <c r="C726">
        <v>5</v>
      </c>
      <c r="D726" s="69">
        <v>0</v>
      </c>
    </row>
    <row r="727" spans="1:4">
      <c r="A727">
        <v>1993</v>
      </c>
      <c r="B727" t="s">
        <v>93</v>
      </c>
      <c r="C727">
        <v>10</v>
      </c>
      <c r="D727" s="69">
        <v>0</v>
      </c>
    </row>
    <row r="728" spans="1:4">
      <c r="A728">
        <v>1993</v>
      </c>
      <c r="B728" t="s">
        <v>93</v>
      </c>
      <c r="C728">
        <v>15</v>
      </c>
      <c r="D728" s="69">
        <v>0</v>
      </c>
    </row>
    <row r="729" spans="1:4">
      <c r="A729">
        <v>1993</v>
      </c>
      <c r="B729" t="s">
        <v>93</v>
      </c>
      <c r="C729">
        <v>20</v>
      </c>
      <c r="D729" s="69">
        <v>0</v>
      </c>
    </row>
    <row r="730" spans="1:4">
      <c r="A730">
        <v>1993</v>
      </c>
      <c r="B730" t="s">
        <v>93</v>
      </c>
      <c r="C730">
        <v>25</v>
      </c>
      <c r="D730" s="69">
        <v>1</v>
      </c>
    </row>
    <row r="731" spans="1:4">
      <c r="A731">
        <v>1993</v>
      </c>
      <c r="B731" t="s">
        <v>93</v>
      </c>
      <c r="C731">
        <v>30</v>
      </c>
      <c r="D731" s="69">
        <v>1</v>
      </c>
    </row>
    <row r="732" spans="1:4">
      <c r="A732">
        <v>1993</v>
      </c>
      <c r="B732" t="s">
        <v>93</v>
      </c>
      <c r="C732">
        <v>35</v>
      </c>
      <c r="D732" s="69">
        <v>0</v>
      </c>
    </row>
    <row r="733" spans="1:4">
      <c r="A733">
        <v>1993</v>
      </c>
      <c r="B733" t="s">
        <v>93</v>
      </c>
      <c r="C733">
        <v>40</v>
      </c>
      <c r="D733" s="69">
        <v>1</v>
      </c>
    </row>
    <row r="734" spans="1:4">
      <c r="A734">
        <v>1993</v>
      </c>
      <c r="B734" t="s">
        <v>93</v>
      </c>
      <c r="C734">
        <v>45</v>
      </c>
      <c r="D734" s="69">
        <v>0</v>
      </c>
    </row>
    <row r="735" spans="1:4">
      <c r="A735">
        <v>1993</v>
      </c>
      <c r="B735" t="s">
        <v>93</v>
      </c>
      <c r="C735">
        <v>50</v>
      </c>
      <c r="D735" s="69">
        <v>1</v>
      </c>
    </row>
    <row r="736" spans="1:4">
      <c r="A736">
        <v>1993</v>
      </c>
      <c r="B736" t="s">
        <v>93</v>
      </c>
      <c r="C736">
        <v>55</v>
      </c>
      <c r="D736" s="69">
        <v>2</v>
      </c>
    </row>
    <row r="737" spans="1:4">
      <c r="A737">
        <v>1993</v>
      </c>
      <c r="B737" t="s">
        <v>93</v>
      </c>
      <c r="C737">
        <v>60</v>
      </c>
      <c r="D737" s="69">
        <v>0</v>
      </c>
    </row>
    <row r="738" spans="1:4">
      <c r="A738">
        <v>1993</v>
      </c>
      <c r="B738" t="s">
        <v>93</v>
      </c>
      <c r="C738">
        <v>65</v>
      </c>
      <c r="D738" s="69">
        <v>0</v>
      </c>
    </row>
    <row r="739" spans="1:4">
      <c r="A739">
        <v>1993</v>
      </c>
      <c r="B739" t="s">
        <v>93</v>
      </c>
      <c r="C739">
        <v>70</v>
      </c>
      <c r="D739" s="69">
        <v>0</v>
      </c>
    </row>
    <row r="740" spans="1:4">
      <c r="A740">
        <v>1993</v>
      </c>
      <c r="B740" t="s">
        <v>93</v>
      </c>
      <c r="C740">
        <v>75</v>
      </c>
      <c r="D740" s="69">
        <v>0</v>
      </c>
    </row>
    <row r="741" spans="1:4">
      <c r="A741">
        <v>1993</v>
      </c>
      <c r="B741" t="s">
        <v>93</v>
      </c>
      <c r="C741">
        <v>80</v>
      </c>
      <c r="D741" s="69">
        <v>0</v>
      </c>
    </row>
    <row r="742" spans="1:4">
      <c r="A742">
        <v>1993</v>
      </c>
      <c r="B742" t="s">
        <v>93</v>
      </c>
      <c r="C742">
        <v>85</v>
      </c>
      <c r="D742" s="69">
        <v>0</v>
      </c>
    </row>
    <row r="743" spans="1:4">
      <c r="A743">
        <v>1994</v>
      </c>
      <c r="B743" t="s">
        <v>93</v>
      </c>
      <c r="C743">
        <v>0</v>
      </c>
      <c r="D743" s="69">
        <v>0</v>
      </c>
    </row>
    <row r="744" spans="1:4">
      <c r="A744">
        <v>1994</v>
      </c>
      <c r="B744" t="s">
        <v>93</v>
      </c>
      <c r="C744">
        <v>1</v>
      </c>
      <c r="D744" s="69">
        <v>0</v>
      </c>
    </row>
    <row r="745" spans="1:4">
      <c r="A745">
        <v>1994</v>
      </c>
      <c r="B745" t="s">
        <v>93</v>
      </c>
      <c r="C745">
        <v>5</v>
      </c>
      <c r="D745" s="69">
        <v>2</v>
      </c>
    </row>
    <row r="746" spans="1:4">
      <c r="A746">
        <v>1994</v>
      </c>
      <c r="B746" t="s">
        <v>93</v>
      </c>
      <c r="C746">
        <v>10</v>
      </c>
      <c r="D746" s="69">
        <v>0</v>
      </c>
    </row>
    <row r="747" spans="1:4">
      <c r="A747">
        <v>1994</v>
      </c>
      <c r="B747" t="s">
        <v>93</v>
      </c>
      <c r="C747">
        <v>15</v>
      </c>
      <c r="D747" s="69">
        <v>0</v>
      </c>
    </row>
    <row r="748" spans="1:4">
      <c r="A748">
        <v>1994</v>
      </c>
      <c r="B748" t="s">
        <v>93</v>
      </c>
      <c r="C748">
        <v>20</v>
      </c>
      <c r="D748" s="69">
        <v>0</v>
      </c>
    </row>
    <row r="749" spans="1:4">
      <c r="A749">
        <v>1994</v>
      </c>
      <c r="B749" t="s">
        <v>93</v>
      </c>
      <c r="C749">
        <v>25</v>
      </c>
      <c r="D749" s="69">
        <v>1</v>
      </c>
    </row>
    <row r="750" spans="1:4">
      <c r="A750">
        <v>1994</v>
      </c>
      <c r="B750" t="s">
        <v>93</v>
      </c>
      <c r="C750">
        <v>30</v>
      </c>
      <c r="D750" s="69">
        <v>2</v>
      </c>
    </row>
    <row r="751" spans="1:4">
      <c r="A751">
        <v>1994</v>
      </c>
      <c r="B751" t="s">
        <v>93</v>
      </c>
      <c r="C751">
        <v>35</v>
      </c>
      <c r="D751" s="69">
        <v>2</v>
      </c>
    </row>
    <row r="752" spans="1:4">
      <c r="A752">
        <v>1994</v>
      </c>
      <c r="B752" t="s">
        <v>93</v>
      </c>
      <c r="C752">
        <v>40</v>
      </c>
      <c r="D752" s="69">
        <v>0</v>
      </c>
    </row>
    <row r="753" spans="1:4">
      <c r="A753">
        <v>1994</v>
      </c>
      <c r="B753" t="s">
        <v>93</v>
      </c>
      <c r="C753">
        <v>45</v>
      </c>
      <c r="D753" s="69">
        <v>0</v>
      </c>
    </row>
    <row r="754" spans="1:4">
      <c r="A754">
        <v>1994</v>
      </c>
      <c r="B754" t="s">
        <v>93</v>
      </c>
      <c r="C754">
        <v>50</v>
      </c>
      <c r="D754" s="69">
        <v>0</v>
      </c>
    </row>
    <row r="755" spans="1:4">
      <c r="A755">
        <v>1994</v>
      </c>
      <c r="B755" t="s">
        <v>93</v>
      </c>
      <c r="C755">
        <v>55</v>
      </c>
      <c r="D755" s="69">
        <v>0</v>
      </c>
    </row>
    <row r="756" spans="1:4">
      <c r="A756">
        <v>1994</v>
      </c>
      <c r="B756" t="s">
        <v>93</v>
      </c>
      <c r="C756">
        <v>60</v>
      </c>
      <c r="D756" s="69">
        <v>0</v>
      </c>
    </row>
    <row r="757" spans="1:4">
      <c r="A757">
        <v>1994</v>
      </c>
      <c r="B757" t="s">
        <v>93</v>
      </c>
      <c r="C757">
        <v>65</v>
      </c>
      <c r="D757" s="69">
        <v>0</v>
      </c>
    </row>
    <row r="758" spans="1:4">
      <c r="A758">
        <v>1994</v>
      </c>
      <c r="B758" t="s">
        <v>93</v>
      </c>
      <c r="C758">
        <v>70</v>
      </c>
      <c r="D758" s="69">
        <v>0</v>
      </c>
    </row>
    <row r="759" spans="1:4">
      <c r="A759">
        <v>1994</v>
      </c>
      <c r="B759" t="s">
        <v>93</v>
      </c>
      <c r="C759">
        <v>75</v>
      </c>
      <c r="D759" s="69">
        <v>0</v>
      </c>
    </row>
    <row r="760" spans="1:4">
      <c r="A760">
        <v>1994</v>
      </c>
      <c r="B760" t="s">
        <v>93</v>
      </c>
      <c r="C760">
        <v>80</v>
      </c>
      <c r="D760" s="68">
        <v>1</v>
      </c>
    </row>
    <row r="761" spans="1:4">
      <c r="A761">
        <v>1994</v>
      </c>
      <c r="B761" t="s">
        <v>93</v>
      </c>
      <c r="C761">
        <v>85</v>
      </c>
      <c r="D761" s="69">
        <v>0</v>
      </c>
    </row>
    <row r="762" spans="1:4">
      <c r="A762">
        <v>1995</v>
      </c>
      <c r="B762" t="s">
        <v>93</v>
      </c>
      <c r="C762">
        <v>0</v>
      </c>
      <c r="D762" s="69">
        <v>0</v>
      </c>
    </row>
    <row r="763" spans="1:4">
      <c r="A763">
        <v>1995</v>
      </c>
      <c r="B763" t="s">
        <v>93</v>
      </c>
      <c r="C763">
        <v>1</v>
      </c>
      <c r="D763" s="69">
        <v>0</v>
      </c>
    </row>
    <row r="764" spans="1:4">
      <c r="A764">
        <v>1995</v>
      </c>
      <c r="B764" t="s">
        <v>93</v>
      </c>
      <c r="C764">
        <v>5</v>
      </c>
      <c r="D764" s="69">
        <v>0</v>
      </c>
    </row>
    <row r="765" spans="1:4">
      <c r="A765">
        <v>1995</v>
      </c>
      <c r="B765" t="s">
        <v>93</v>
      </c>
      <c r="C765">
        <v>10</v>
      </c>
      <c r="D765" s="69">
        <v>0</v>
      </c>
    </row>
    <row r="766" spans="1:4">
      <c r="A766">
        <v>1995</v>
      </c>
      <c r="B766" t="s">
        <v>93</v>
      </c>
      <c r="C766">
        <v>15</v>
      </c>
      <c r="D766" s="69">
        <v>1</v>
      </c>
    </row>
    <row r="767" spans="1:4">
      <c r="A767">
        <v>1995</v>
      </c>
      <c r="B767" t="s">
        <v>93</v>
      </c>
      <c r="C767">
        <v>20</v>
      </c>
      <c r="D767" s="69">
        <v>0</v>
      </c>
    </row>
    <row r="768" spans="1:4">
      <c r="A768">
        <v>1995</v>
      </c>
      <c r="B768" t="s">
        <v>93</v>
      </c>
      <c r="C768">
        <v>25</v>
      </c>
      <c r="D768" s="69">
        <v>0</v>
      </c>
    </row>
    <row r="769" spans="1:4">
      <c r="A769">
        <v>1995</v>
      </c>
      <c r="B769" t="s">
        <v>93</v>
      </c>
      <c r="C769">
        <v>30</v>
      </c>
      <c r="D769" s="69">
        <v>2</v>
      </c>
    </row>
    <row r="770" spans="1:4">
      <c r="A770">
        <v>1995</v>
      </c>
      <c r="B770" t="s">
        <v>93</v>
      </c>
      <c r="C770">
        <v>35</v>
      </c>
      <c r="D770" s="69">
        <v>0</v>
      </c>
    </row>
    <row r="771" spans="1:4">
      <c r="A771">
        <v>1995</v>
      </c>
      <c r="B771" t="s">
        <v>93</v>
      </c>
      <c r="C771">
        <v>40</v>
      </c>
      <c r="D771" s="69">
        <v>0</v>
      </c>
    </row>
    <row r="772" spans="1:4">
      <c r="A772">
        <v>1995</v>
      </c>
      <c r="B772" t="s">
        <v>93</v>
      </c>
      <c r="C772">
        <v>45</v>
      </c>
      <c r="D772" s="69">
        <v>0</v>
      </c>
    </row>
    <row r="773" spans="1:4">
      <c r="A773">
        <v>1995</v>
      </c>
      <c r="B773" t="s">
        <v>93</v>
      </c>
      <c r="C773">
        <v>50</v>
      </c>
      <c r="D773" s="69">
        <v>1</v>
      </c>
    </row>
    <row r="774" spans="1:4">
      <c r="A774">
        <v>1995</v>
      </c>
      <c r="B774" t="s">
        <v>93</v>
      </c>
      <c r="C774">
        <v>55</v>
      </c>
      <c r="D774" s="69">
        <v>0</v>
      </c>
    </row>
    <row r="775" spans="1:4">
      <c r="A775">
        <v>1995</v>
      </c>
      <c r="B775" t="s">
        <v>93</v>
      </c>
      <c r="C775">
        <v>60</v>
      </c>
      <c r="D775" s="69">
        <v>0</v>
      </c>
    </row>
    <row r="776" spans="1:4">
      <c r="A776">
        <v>1995</v>
      </c>
      <c r="B776" t="s">
        <v>93</v>
      </c>
      <c r="C776">
        <v>65</v>
      </c>
      <c r="D776" s="69">
        <v>0</v>
      </c>
    </row>
    <row r="777" spans="1:4">
      <c r="A777">
        <v>1995</v>
      </c>
      <c r="B777" t="s">
        <v>93</v>
      </c>
      <c r="C777">
        <v>70</v>
      </c>
      <c r="D777" s="69">
        <v>0</v>
      </c>
    </row>
    <row r="778" spans="1:4">
      <c r="A778">
        <v>1995</v>
      </c>
      <c r="B778" t="s">
        <v>93</v>
      </c>
      <c r="C778">
        <v>75</v>
      </c>
      <c r="D778" s="69">
        <v>0</v>
      </c>
    </row>
    <row r="779" spans="1:4">
      <c r="A779">
        <v>1995</v>
      </c>
      <c r="B779" t="s">
        <v>93</v>
      </c>
      <c r="C779">
        <v>80</v>
      </c>
      <c r="D779" s="68">
        <v>1</v>
      </c>
    </row>
    <row r="780" spans="1:4">
      <c r="A780">
        <v>1995</v>
      </c>
      <c r="B780" t="s">
        <v>93</v>
      </c>
      <c r="C780">
        <v>85</v>
      </c>
      <c r="D780" s="69">
        <v>0</v>
      </c>
    </row>
    <row r="781" spans="1:4">
      <c r="A781">
        <v>1996</v>
      </c>
      <c r="B781" t="s">
        <v>93</v>
      </c>
      <c r="C781">
        <v>0</v>
      </c>
      <c r="D781" s="69">
        <v>3</v>
      </c>
    </row>
    <row r="782" spans="1:4">
      <c r="A782">
        <v>1996</v>
      </c>
      <c r="B782" t="s">
        <v>93</v>
      </c>
      <c r="C782">
        <v>1</v>
      </c>
      <c r="D782" s="69">
        <v>2</v>
      </c>
    </row>
    <row r="783" spans="1:4">
      <c r="A783">
        <v>1996</v>
      </c>
      <c r="B783" t="s">
        <v>93</v>
      </c>
      <c r="C783">
        <v>5</v>
      </c>
      <c r="D783" s="69">
        <v>0</v>
      </c>
    </row>
    <row r="784" spans="1:4">
      <c r="A784">
        <v>1996</v>
      </c>
      <c r="B784" t="s">
        <v>93</v>
      </c>
      <c r="C784">
        <v>10</v>
      </c>
      <c r="D784" s="69">
        <v>0</v>
      </c>
    </row>
    <row r="785" spans="1:4">
      <c r="A785">
        <v>1996</v>
      </c>
      <c r="B785" t="s">
        <v>93</v>
      </c>
      <c r="C785">
        <v>15</v>
      </c>
      <c r="D785" s="69">
        <v>0</v>
      </c>
    </row>
    <row r="786" spans="1:4">
      <c r="A786">
        <v>1996</v>
      </c>
      <c r="B786" t="s">
        <v>93</v>
      </c>
      <c r="C786">
        <v>20</v>
      </c>
      <c r="D786" s="69">
        <v>0</v>
      </c>
    </row>
    <row r="787" spans="1:4">
      <c r="A787">
        <v>1996</v>
      </c>
      <c r="B787" t="s">
        <v>93</v>
      </c>
      <c r="C787">
        <v>25</v>
      </c>
      <c r="D787" s="69">
        <v>0</v>
      </c>
    </row>
    <row r="788" spans="1:4">
      <c r="A788">
        <v>1996</v>
      </c>
      <c r="B788" t="s">
        <v>93</v>
      </c>
      <c r="C788">
        <v>30</v>
      </c>
      <c r="D788" s="69">
        <v>0</v>
      </c>
    </row>
    <row r="789" spans="1:4">
      <c r="A789">
        <v>1996</v>
      </c>
      <c r="B789" t="s">
        <v>93</v>
      </c>
      <c r="C789">
        <v>35</v>
      </c>
      <c r="D789" s="69">
        <v>0</v>
      </c>
    </row>
    <row r="790" spans="1:4">
      <c r="A790">
        <v>1996</v>
      </c>
      <c r="B790" t="s">
        <v>93</v>
      </c>
      <c r="C790">
        <v>40</v>
      </c>
      <c r="D790" s="69">
        <v>0</v>
      </c>
    </row>
    <row r="791" spans="1:4">
      <c r="A791">
        <v>1996</v>
      </c>
      <c r="B791" t="s">
        <v>93</v>
      </c>
      <c r="C791">
        <v>45</v>
      </c>
      <c r="D791" s="69">
        <v>0</v>
      </c>
    </row>
    <row r="792" spans="1:4">
      <c r="A792">
        <v>1996</v>
      </c>
      <c r="B792" t="s">
        <v>93</v>
      </c>
      <c r="C792">
        <v>50</v>
      </c>
      <c r="D792" s="69">
        <v>0</v>
      </c>
    </row>
    <row r="793" spans="1:4">
      <c r="A793">
        <v>1996</v>
      </c>
      <c r="B793" t="s">
        <v>93</v>
      </c>
      <c r="C793">
        <v>55</v>
      </c>
      <c r="D793" s="69">
        <v>0</v>
      </c>
    </row>
    <row r="794" spans="1:4">
      <c r="A794">
        <v>1996</v>
      </c>
      <c r="B794" t="s">
        <v>93</v>
      </c>
      <c r="C794">
        <v>60</v>
      </c>
      <c r="D794" s="69">
        <v>0</v>
      </c>
    </row>
    <row r="795" spans="1:4">
      <c r="A795">
        <v>1996</v>
      </c>
      <c r="B795" t="s">
        <v>93</v>
      </c>
      <c r="C795">
        <v>65</v>
      </c>
      <c r="D795" s="69">
        <v>0</v>
      </c>
    </row>
    <row r="796" spans="1:4">
      <c r="A796">
        <v>1996</v>
      </c>
      <c r="B796" t="s">
        <v>93</v>
      </c>
      <c r="C796">
        <v>70</v>
      </c>
      <c r="D796" s="69">
        <v>0</v>
      </c>
    </row>
    <row r="797" spans="1:4">
      <c r="A797">
        <v>1996</v>
      </c>
      <c r="B797" t="s">
        <v>93</v>
      </c>
      <c r="C797">
        <v>75</v>
      </c>
      <c r="D797" s="69">
        <v>0</v>
      </c>
    </row>
    <row r="798" spans="1:4">
      <c r="A798">
        <v>1996</v>
      </c>
      <c r="B798" t="s">
        <v>93</v>
      </c>
      <c r="C798">
        <v>80</v>
      </c>
      <c r="D798" s="69">
        <v>0</v>
      </c>
    </row>
    <row r="799" spans="1:4">
      <c r="A799">
        <v>1996</v>
      </c>
      <c r="B799" t="s">
        <v>93</v>
      </c>
      <c r="C799">
        <v>85</v>
      </c>
      <c r="D799" s="69">
        <v>0</v>
      </c>
    </row>
    <row r="800" spans="1:4">
      <c r="A800">
        <v>1997</v>
      </c>
      <c r="B800" t="s">
        <v>93</v>
      </c>
      <c r="C800">
        <v>0</v>
      </c>
      <c r="D800" s="69">
        <v>0</v>
      </c>
    </row>
    <row r="801" spans="1:4">
      <c r="A801">
        <v>1997</v>
      </c>
      <c r="B801" t="s">
        <v>93</v>
      </c>
      <c r="C801">
        <v>1</v>
      </c>
      <c r="D801" s="69">
        <v>0</v>
      </c>
    </row>
    <row r="802" spans="1:4">
      <c r="A802">
        <v>1997</v>
      </c>
      <c r="B802" t="s">
        <v>93</v>
      </c>
      <c r="C802">
        <v>5</v>
      </c>
      <c r="D802" s="69">
        <v>0</v>
      </c>
    </row>
    <row r="803" spans="1:4">
      <c r="A803">
        <v>1997</v>
      </c>
      <c r="B803" t="s">
        <v>93</v>
      </c>
      <c r="C803">
        <v>10</v>
      </c>
      <c r="D803" s="69">
        <v>0</v>
      </c>
    </row>
    <row r="804" spans="1:4">
      <c r="A804">
        <v>1997</v>
      </c>
      <c r="B804" t="s">
        <v>93</v>
      </c>
      <c r="C804">
        <v>15</v>
      </c>
      <c r="D804" s="69">
        <v>0</v>
      </c>
    </row>
    <row r="805" spans="1:4">
      <c r="A805">
        <v>1997</v>
      </c>
      <c r="B805" t="s">
        <v>93</v>
      </c>
      <c r="C805">
        <v>20</v>
      </c>
      <c r="D805" s="69">
        <v>0</v>
      </c>
    </row>
    <row r="806" spans="1:4">
      <c r="A806">
        <v>1997</v>
      </c>
      <c r="B806" t="s">
        <v>93</v>
      </c>
      <c r="C806">
        <v>25</v>
      </c>
      <c r="D806" s="69">
        <v>0</v>
      </c>
    </row>
    <row r="807" spans="1:4">
      <c r="A807">
        <v>1997</v>
      </c>
      <c r="B807" t="s">
        <v>93</v>
      </c>
      <c r="C807">
        <v>30</v>
      </c>
      <c r="D807" s="69">
        <v>0</v>
      </c>
    </row>
    <row r="808" spans="1:4">
      <c r="A808">
        <v>1997</v>
      </c>
      <c r="B808" t="s">
        <v>93</v>
      </c>
      <c r="C808">
        <v>35</v>
      </c>
      <c r="D808" s="69">
        <v>1</v>
      </c>
    </row>
    <row r="809" spans="1:4">
      <c r="A809">
        <v>1997</v>
      </c>
      <c r="B809" t="s">
        <v>93</v>
      </c>
      <c r="C809">
        <v>40</v>
      </c>
      <c r="D809" s="69">
        <v>0</v>
      </c>
    </row>
    <row r="810" spans="1:4">
      <c r="A810">
        <v>1997</v>
      </c>
      <c r="B810" t="s">
        <v>93</v>
      </c>
      <c r="C810">
        <v>45</v>
      </c>
      <c r="D810" s="69">
        <v>1</v>
      </c>
    </row>
    <row r="811" spans="1:4">
      <c r="A811">
        <v>1997</v>
      </c>
      <c r="B811" t="s">
        <v>93</v>
      </c>
      <c r="C811">
        <v>50</v>
      </c>
      <c r="D811" s="69">
        <v>1</v>
      </c>
    </row>
    <row r="812" spans="1:4">
      <c r="A812">
        <v>1997</v>
      </c>
      <c r="B812" t="s">
        <v>93</v>
      </c>
      <c r="C812">
        <v>55</v>
      </c>
      <c r="D812" s="69">
        <v>0</v>
      </c>
    </row>
    <row r="813" spans="1:4">
      <c r="A813">
        <v>1997</v>
      </c>
      <c r="B813" t="s">
        <v>93</v>
      </c>
      <c r="C813">
        <v>60</v>
      </c>
      <c r="D813" s="69">
        <v>1</v>
      </c>
    </row>
    <row r="814" spans="1:4">
      <c r="A814">
        <v>1997</v>
      </c>
      <c r="B814" t="s">
        <v>93</v>
      </c>
      <c r="C814">
        <v>65</v>
      </c>
      <c r="D814" s="69">
        <v>0</v>
      </c>
    </row>
    <row r="815" spans="1:4">
      <c r="A815">
        <v>1997</v>
      </c>
      <c r="B815" t="s">
        <v>93</v>
      </c>
      <c r="C815">
        <v>70</v>
      </c>
      <c r="D815" s="69">
        <v>0</v>
      </c>
    </row>
    <row r="816" spans="1:4">
      <c r="A816">
        <v>1997</v>
      </c>
      <c r="B816" t="s">
        <v>93</v>
      </c>
      <c r="C816">
        <v>75</v>
      </c>
      <c r="D816" s="69">
        <v>0</v>
      </c>
    </row>
    <row r="817" spans="1:4">
      <c r="A817">
        <v>1997</v>
      </c>
      <c r="B817" t="s">
        <v>93</v>
      </c>
      <c r="C817">
        <v>80</v>
      </c>
      <c r="D817" s="69">
        <v>0</v>
      </c>
    </row>
    <row r="818" spans="1:4">
      <c r="A818">
        <v>1997</v>
      </c>
      <c r="B818" t="s">
        <v>93</v>
      </c>
      <c r="C818">
        <v>85</v>
      </c>
      <c r="D818" s="69">
        <v>0</v>
      </c>
    </row>
    <row r="819" spans="1:4">
      <c r="A819">
        <v>1998</v>
      </c>
      <c r="B819" t="s">
        <v>93</v>
      </c>
      <c r="C819">
        <v>0</v>
      </c>
      <c r="D819" s="69">
        <v>0</v>
      </c>
    </row>
    <row r="820" spans="1:4">
      <c r="A820">
        <v>1998</v>
      </c>
      <c r="B820" t="s">
        <v>93</v>
      </c>
      <c r="C820">
        <v>1</v>
      </c>
      <c r="D820" s="69">
        <v>1</v>
      </c>
    </row>
    <row r="821" spans="1:4">
      <c r="A821">
        <v>1998</v>
      </c>
      <c r="B821" t="s">
        <v>93</v>
      </c>
      <c r="C821">
        <v>5</v>
      </c>
      <c r="D821" s="69">
        <v>0</v>
      </c>
    </row>
    <row r="822" spans="1:4">
      <c r="A822">
        <v>1998</v>
      </c>
      <c r="B822" t="s">
        <v>93</v>
      </c>
      <c r="C822">
        <v>10</v>
      </c>
      <c r="D822" s="69">
        <v>1</v>
      </c>
    </row>
    <row r="823" spans="1:4">
      <c r="A823">
        <v>1998</v>
      </c>
      <c r="B823" t="s">
        <v>93</v>
      </c>
      <c r="C823">
        <v>15</v>
      </c>
      <c r="D823" s="69">
        <v>2</v>
      </c>
    </row>
    <row r="824" spans="1:4">
      <c r="A824">
        <v>1998</v>
      </c>
      <c r="B824" t="s">
        <v>93</v>
      </c>
      <c r="C824">
        <v>20</v>
      </c>
      <c r="D824" s="69">
        <v>1</v>
      </c>
    </row>
    <row r="825" spans="1:4">
      <c r="A825">
        <v>1998</v>
      </c>
      <c r="B825" t="s">
        <v>93</v>
      </c>
      <c r="C825">
        <v>25</v>
      </c>
      <c r="D825" s="69">
        <v>1</v>
      </c>
    </row>
    <row r="826" spans="1:4">
      <c r="A826">
        <v>1998</v>
      </c>
      <c r="B826" t="s">
        <v>93</v>
      </c>
      <c r="C826">
        <v>30</v>
      </c>
      <c r="D826" s="69">
        <v>0</v>
      </c>
    </row>
    <row r="827" spans="1:4">
      <c r="A827">
        <v>1998</v>
      </c>
      <c r="B827" t="s">
        <v>93</v>
      </c>
      <c r="C827">
        <v>35</v>
      </c>
      <c r="D827" s="69">
        <v>2</v>
      </c>
    </row>
    <row r="828" spans="1:4">
      <c r="A828">
        <v>1998</v>
      </c>
      <c r="B828" t="s">
        <v>93</v>
      </c>
      <c r="C828">
        <v>40</v>
      </c>
      <c r="D828" s="69">
        <v>0</v>
      </c>
    </row>
    <row r="829" spans="1:4">
      <c r="A829">
        <v>1998</v>
      </c>
      <c r="B829" t="s">
        <v>93</v>
      </c>
      <c r="C829">
        <v>45</v>
      </c>
      <c r="D829" s="69">
        <v>3</v>
      </c>
    </row>
    <row r="830" spans="1:4">
      <c r="A830">
        <v>1998</v>
      </c>
      <c r="B830" t="s">
        <v>93</v>
      </c>
      <c r="C830">
        <v>50</v>
      </c>
      <c r="D830" s="69">
        <v>0</v>
      </c>
    </row>
    <row r="831" spans="1:4">
      <c r="A831">
        <v>1998</v>
      </c>
      <c r="B831" t="s">
        <v>93</v>
      </c>
      <c r="C831">
        <v>55</v>
      </c>
      <c r="D831" s="69">
        <v>1</v>
      </c>
    </row>
    <row r="832" spans="1:4">
      <c r="A832">
        <v>1998</v>
      </c>
      <c r="B832" t="s">
        <v>93</v>
      </c>
      <c r="C832">
        <v>60</v>
      </c>
      <c r="D832" s="69">
        <v>0</v>
      </c>
    </row>
    <row r="833" spans="1:4">
      <c r="A833">
        <v>1998</v>
      </c>
      <c r="B833" t="s">
        <v>93</v>
      </c>
      <c r="C833">
        <v>65</v>
      </c>
      <c r="D833" s="69">
        <v>0</v>
      </c>
    </row>
    <row r="834" spans="1:4">
      <c r="A834">
        <v>1998</v>
      </c>
      <c r="B834" t="s">
        <v>93</v>
      </c>
      <c r="C834">
        <v>70</v>
      </c>
      <c r="D834" s="69">
        <v>0</v>
      </c>
    </row>
    <row r="835" spans="1:4">
      <c r="A835">
        <v>1998</v>
      </c>
      <c r="B835" t="s">
        <v>93</v>
      </c>
      <c r="C835">
        <v>75</v>
      </c>
      <c r="D835" s="69">
        <v>1</v>
      </c>
    </row>
    <row r="836" spans="1:4">
      <c r="A836">
        <v>1998</v>
      </c>
      <c r="B836" t="s">
        <v>93</v>
      </c>
      <c r="C836">
        <v>80</v>
      </c>
      <c r="D836" s="69">
        <v>0</v>
      </c>
    </row>
    <row r="837" spans="1:4">
      <c r="A837">
        <v>1998</v>
      </c>
      <c r="B837" t="s">
        <v>93</v>
      </c>
      <c r="C837">
        <v>85</v>
      </c>
      <c r="D837" s="69">
        <v>0</v>
      </c>
    </row>
    <row r="838" spans="1:4">
      <c r="A838">
        <v>1999</v>
      </c>
      <c r="B838" t="s">
        <v>93</v>
      </c>
      <c r="C838">
        <v>0</v>
      </c>
      <c r="D838" s="69">
        <v>0</v>
      </c>
    </row>
    <row r="839" spans="1:4">
      <c r="A839">
        <v>1999</v>
      </c>
      <c r="B839" t="s">
        <v>93</v>
      </c>
      <c r="C839">
        <v>1</v>
      </c>
      <c r="D839" s="69">
        <v>1</v>
      </c>
    </row>
    <row r="840" spans="1:4">
      <c r="A840">
        <v>1999</v>
      </c>
      <c r="B840" t="s">
        <v>93</v>
      </c>
      <c r="C840">
        <v>5</v>
      </c>
      <c r="D840" s="69">
        <v>0</v>
      </c>
    </row>
    <row r="841" spans="1:4">
      <c r="A841">
        <v>1999</v>
      </c>
      <c r="B841" t="s">
        <v>93</v>
      </c>
      <c r="C841">
        <v>10</v>
      </c>
      <c r="D841" s="69">
        <v>3</v>
      </c>
    </row>
    <row r="842" spans="1:4">
      <c r="A842">
        <v>1999</v>
      </c>
      <c r="B842" t="s">
        <v>93</v>
      </c>
      <c r="C842">
        <v>15</v>
      </c>
      <c r="D842" s="69">
        <v>1</v>
      </c>
    </row>
    <row r="843" spans="1:4">
      <c r="A843">
        <v>1999</v>
      </c>
      <c r="B843" t="s">
        <v>93</v>
      </c>
      <c r="C843">
        <v>20</v>
      </c>
      <c r="D843" s="69">
        <v>0</v>
      </c>
    </row>
    <row r="844" spans="1:4">
      <c r="A844">
        <v>1999</v>
      </c>
      <c r="B844" t="s">
        <v>93</v>
      </c>
      <c r="C844">
        <v>25</v>
      </c>
      <c r="D844" s="69">
        <v>1</v>
      </c>
    </row>
    <row r="845" spans="1:4">
      <c r="A845">
        <v>1999</v>
      </c>
      <c r="B845" t="s">
        <v>93</v>
      </c>
      <c r="C845">
        <v>30</v>
      </c>
      <c r="D845" s="69">
        <v>0</v>
      </c>
    </row>
    <row r="846" spans="1:4">
      <c r="A846">
        <v>1999</v>
      </c>
      <c r="B846" t="s">
        <v>93</v>
      </c>
      <c r="C846">
        <v>35</v>
      </c>
      <c r="D846" s="69">
        <v>1</v>
      </c>
    </row>
    <row r="847" spans="1:4">
      <c r="A847">
        <v>1999</v>
      </c>
      <c r="B847" t="s">
        <v>93</v>
      </c>
      <c r="C847">
        <v>40</v>
      </c>
      <c r="D847" s="69">
        <v>1</v>
      </c>
    </row>
    <row r="848" spans="1:4">
      <c r="A848">
        <v>1999</v>
      </c>
      <c r="B848" t="s">
        <v>93</v>
      </c>
      <c r="C848">
        <v>45</v>
      </c>
      <c r="D848" s="69">
        <v>1</v>
      </c>
    </row>
    <row r="849" spans="1:4">
      <c r="A849">
        <v>1999</v>
      </c>
      <c r="B849" t="s">
        <v>93</v>
      </c>
      <c r="C849">
        <v>50</v>
      </c>
      <c r="D849" s="69">
        <v>0</v>
      </c>
    </row>
    <row r="850" spans="1:4">
      <c r="A850">
        <v>1999</v>
      </c>
      <c r="B850" t="s">
        <v>93</v>
      </c>
      <c r="C850">
        <v>55</v>
      </c>
      <c r="D850" s="69">
        <v>0</v>
      </c>
    </row>
    <row r="851" spans="1:4">
      <c r="A851">
        <v>1999</v>
      </c>
      <c r="B851" t="s">
        <v>93</v>
      </c>
      <c r="C851">
        <v>60</v>
      </c>
      <c r="D851" s="69">
        <v>0</v>
      </c>
    </row>
    <row r="852" spans="1:4">
      <c r="A852">
        <v>1999</v>
      </c>
      <c r="B852" t="s">
        <v>93</v>
      </c>
      <c r="C852">
        <v>65</v>
      </c>
      <c r="D852" s="69">
        <v>0</v>
      </c>
    </row>
    <row r="853" spans="1:4">
      <c r="A853">
        <v>1999</v>
      </c>
      <c r="B853" t="s">
        <v>93</v>
      </c>
      <c r="C853">
        <v>70</v>
      </c>
      <c r="D853" s="69">
        <v>0</v>
      </c>
    </row>
    <row r="854" spans="1:4">
      <c r="A854">
        <v>1999</v>
      </c>
      <c r="B854" t="s">
        <v>93</v>
      </c>
      <c r="C854">
        <v>75</v>
      </c>
      <c r="D854" s="69">
        <v>0</v>
      </c>
    </row>
    <row r="855" spans="1:4">
      <c r="A855">
        <v>1999</v>
      </c>
      <c r="B855" t="s">
        <v>93</v>
      </c>
      <c r="C855">
        <v>80</v>
      </c>
      <c r="D855" s="69">
        <v>0</v>
      </c>
    </row>
    <row r="856" spans="1:4">
      <c r="A856">
        <v>1999</v>
      </c>
      <c r="B856" t="s">
        <v>93</v>
      </c>
      <c r="C856">
        <v>85</v>
      </c>
      <c r="D856" s="69">
        <v>0</v>
      </c>
    </row>
    <row r="857" spans="1:4">
      <c r="A857">
        <v>2000</v>
      </c>
      <c r="B857" t="s">
        <v>93</v>
      </c>
      <c r="C857">
        <v>0</v>
      </c>
      <c r="D857" s="69">
        <v>0</v>
      </c>
    </row>
    <row r="858" spans="1:4">
      <c r="A858">
        <v>2000</v>
      </c>
      <c r="B858" t="s">
        <v>93</v>
      </c>
      <c r="C858">
        <v>1</v>
      </c>
      <c r="D858" s="69">
        <v>2</v>
      </c>
    </row>
    <row r="859" spans="1:4">
      <c r="A859">
        <v>2000</v>
      </c>
      <c r="B859" t="s">
        <v>93</v>
      </c>
      <c r="C859">
        <v>5</v>
      </c>
      <c r="D859" s="69">
        <v>0</v>
      </c>
    </row>
    <row r="860" spans="1:4">
      <c r="A860">
        <v>2000</v>
      </c>
      <c r="B860" t="s">
        <v>93</v>
      </c>
      <c r="C860">
        <v>10</v>
      </c>
      <c r="D860" s="69">
        <v>0</v>
      </c>
    </row>
    <row r="861" spans="1:4">
      <c r="A861">
        <v>2000</v>
      </c>
      <c r="B861" t="s">
        <v>93</v>
      </c>
      <c r="C861">
        <v>15</v>
      </c>
      <c r="D861" s="69">
        <v>3</v>
      </c>
    </row>
    <row r="862" spans="1:4">
      <c r="A862">
        <v>2000</v>
      </c>
      <c r="B862" t="s">
        <v>93</v>
      </c>
      <c r="C862">
        <v>20</v>
      </c>
      <c r="D862" s="69">
        <v>0</v>
      </c>
    </row>
    <row r="863" spans="1:4">
      <c r="A863">
        <v>2000</v>
      </c>
      <c r="B863" t="s">
        <v>93</v>
      </c>
      <c r="C863">
        <v>25</v>
      </c>
      <c r="D863" s="69">
        <v>0</v>
      </c>
    </row>
    <row r="864" spans="1:4">
      <c r="A864">
        <v>2000</v>
      </c>
      <c r="B864" t="s">
        <v>93</v>
      </c>
      <c r="C864">
        <v>30</v>
      </c>
      <c r="D864" s="69">
        <v>0</v>
      </c>
    </row>
    <row r="865" spans="1:4">
      <c r="A865">
        <v>2000</v>
      </c>
      <c r="B865" t="s">
        <v>93</v>
      </c>
      <c r="C865">
        <v>35</v>
      </c>
      <c r="D865" s="69">
        <v>2</v>
      </c>
    </row>
    <row r="866" spans="1:4">
      <c r="A866">
        <v>2000</v>
      </c>
      <c r="B866" t="s">
        <v>93</v>
      </c>
      <c r="C866">
        <v>40</v>
      </c>
      <c r="D866" s="69">
        <v>1</v>
      </c>
    </row>
    <row r="867" spans="1:4">
      <c r="A867">
        <v>2000</v>
      </c>
      <c r="B867" t="s">
        <v>93</v>
      </c>
      <c r="C867">
        <v>45</v>
      </c>
      <c r="D867" s="69">
        <v>0</v>
      </c>
    </row>
    <row r="868" spans="1:4">
      <c r="A868">
        <v>2000</v>
      </c>
      <c r="B868" t="s">
        <v>93</v>
      </c>
      <c r="C868">
        <v>50</v>
      </c>
      <c r="D868" s="69">
        <v>1</v>
      </c>
    </row>
    <row r="869" spans="1:4">
      <c r="A869">
        <v>2000</v>
      </c>
      <c r="B869" t="s">
        <v>93</v>
      </c>
      <c r="C869">
        <v>55</v>
      </c>
      <c r="D869" s="69">
        <v>0</v>
      </c>
    </row>
    <row r="870" spans="1:4">
      <c r="A870">
        <v>2000</v>
      </c>
      <c r="B870" t="s">
        <v>93</v>
      </c>
      <c r="C870">
        <v>60</v>
      </c>
      <c r="D870" s="69">
        <v>0</v>
      </c>
    </row>
    <row r="871" spans="1:4">
      <c r="A871">
        <v>2000</v>
      </c>
      <c r="B871" t="s">
        <v>93</v>
      </c>
      <c r="C871">
        <v>65</v>
      </c>
      <c r="D871" s="69">
        <v>0</v>
      </c>
    </row>
    <row r="872" spans="1:4">
      <c r="A872">
        <v>2000</v>
      </c>
      <c r="B872" t="s">
        <v>93</v>
      </c>
      <c r="C872">
        <v>70</v>
      </c>
      <c r="D872" s="69">
        <v>0</v>
      </c>
    </row>
    <row r="873" spans="1:4">
      <c r="A873">
        <v>2000</v>
      </c>
      <c r="B873" t="s">
        <v>93</v>
      </c>
      <c r="C873">
        <v>75</v>
      </c>
      <c r="D873" s="69">
        <v>0</v>
      </c>
    </row>
    <row r="874" spans="1:4">
      <c r="A874">
        <v>2000</v>
      </c>
      <c r="B874" t="s">
        <v>93</v>
      </c>
      <c r="C874">
        <v>80</v>
      </c>
      <c r="D874" s="69">
        <v>0</v>
      </c>
    </row>
    <row r="875" spans="1:4">
      <c r="A875">
        <v>2000</v>
      </c>
      <c r="B875" t="s">
        <v>93</v>
      </c>
      <c r="C875">
        <v>85</v>
      </c>
      <c r="D875" s="69">
        <v>0</v>
      </c>
    </row>
    <row r="876" spans="1:4">
      <c r="A876">
        <v>2001</v>
      </c>
      <c r="B876" t="s">
        <v>93</v>
      </c>
      <c r="C876">
        <v>0</v>
      </c>
      <c r="D876" s="69">
        <v>0</v>
      </c>
    </row>
    <row r="877" spans="1:4">
      <c r="A877">
        <v>2001</v>
      </c>
      <c r="B877" t="s">
        <v>93</v>
      </c>
      <c r="C877">
        <v>1</v>
      </c>
      <c r="D877" s="69">
        <v>3</v>
      </c>
    </row>
    <row r="878" spans="1:4">
      <c r="A878">
        <v>2001</v>
      </c>
      <c r="B878" t="s">
        <v>93</v>
      </c>
      <c r="C878">
        <v>5</v>
      </c>
      <c r="D878" s="69">
        <v>1</v>
      </c>
    </row>
    <row r="879" spans="1:4">
      <c r="A879">
        <v>2001</v>
      </c>
      <c r="B879" t="s">
        <v>93</v>
      </c>
      <c r="C879">
        <v>10</v>
      </c>
      <c r="D879" s="69">
        <v>1</v>
      </c>
    </row>
    <row r="880" spans="1:4">
      <c r="A880">
        <v>2001</v>
      </c>
      <c r="B880" t="s">
        <v>93</v>
      </c>
      <c r="C880">
        <v>15</v>
      </c>
      <c r="D880" s="69">
        <v>2</v>
      </c>
    </row>
    <row r="881" spans="1:4">
      <c r="A881">
        <v>2001</v>
      </c>
      <c r="B881" t="s">
        <v>93</v>
      </c>
      <c r="C881">
        <v>20</v>
      </c>
      <c r="D881" s="69">
        <v>0</v>
      </c>
    </row>
    <row r="882" spans="1:4">
      <c r="A882">
        <v>2001</v>
      </c>
      <c r="B882" t="s">
        <v>93</v>
      </c>
      <c r="C882">
        <v>25</v>
      </c>
      <c r="D882" s="69">
        <v>0</v>
      </c>
    </row>
    <row r="883" spans="1:4">
      <c r="A883">
        <v>2001</v>
      </c>
      <c r="B883" t="s">
        <v>93</v>
      </c>
      <c r="C883">
        <v>30</v>
      </c>
      <c r="D883" s="69">
        <v>0</v>
      </c>
    </row>
    <row r="884" spans="1:4">
      <c r="A884">
        <v>2001</v>
      </c>
      <c r="B884" t="s">
        <v>93</v>
      </c>
      <c r="C884">
        <v>35</v>
      </c>
      <c r="D884" s="69">
        <v>0</v>
      </c>
    </row>
    <row r="885" spans="1:4">
      <c r="A885">
        <v>2001</v>
      </c>
      <c r="B885" t="s">
        <v>93</v>
      </c>
      <c r="C885">
        <v>40</v>
      </c>
      <c r="D885" s="69">
        <v>0</v>
      </c>
    </row>
    <row r="886" spans="1:4">
      <c r="A886">
        <v>2001</v>
      </c>
      <c r="B886" t="s">
        <v>93</v>
      </c>
      <c r="C886">
        <v>45</v>
      </c>
      <c r="D886" s="69">
        <v>0</v>
      </c>
    </row>
    <row r="887" spans="1:4">
      <c r="A887">
        <v>2001</v>
      </c>
      <c r="B887" t="s">
        <v>93</v>
      </c>
      <c r="C887">
        <v>50</v>
      </c>
      <c r="D887" s="69">
        <v>1</v>
      </c>
    </row>
    <row r="888" spans="1:4">
      <c r="A888">
        <v>2001</v>
      </c>
      <c r="B888" t="s">
        <v>93</v>
      </c>
      <c r="C888">
        <v>55</v>
      </c>
      <c r="D888" s="69">
        <v>0</v>
      </c>
    </row>
    <row r="889" spans="1:4">
      <c r="A889">
        <v>2001</v>
      </c>
      <c r="B889" t="s">
        <v>93</v>
      </c>
      <c r="C889">
        <v>60</v>
      </c>
      <c r="D889" s="69">
        <v>0</v>
      </c>
    </row>
    <row r="890" spans="1:4">
      <c r="A890">
        <v>2001</v>
      </c>
      <c r="B890" t="s">
        <v>93</v>
      </c>
      <c r="C890">
        <v>65</v>
      </c>
      <c r="D890" s="69">
        <v>0</v>
      </c>
    </row>
    <row r="891" spans="1:4">
      <c r="A891">
        <v>2001</v>
      </c>
      <c r="B891" t="s">
        <v>93</v>
      </c>
      <c r="C891">
        <v>70</v>
      </c>
      <c r="D891" s="69">
        <v>0</v>
      </c>
    </row>
    <row r="892" spans="1:4">
      <c r="A892">
        <v>2001</v>
      </c>
      <c r="B892" t="s">
        <v>93</v>
      </c>
      <c r="C892">
        <v>75</v>
      </c>
      <c r="D892" s="69">
        <v>0</v>
      </c>
    </row>
    <row r="893" spans="1:4">
      <c r="A893">
        <v>2001</v>
      </c>
      <c r="B893" t="s">
        <v>93</v>
      </c>
      <c r="C893">
        <v>80</v>
      </c>
      <c r="D893" s="69">
        <v>0</v>
      </c>
    </row>
    <row r="894" spans="1:4">
      <c r="A894">
        <v>2001</v>
      </c>
      <c r="B894" t="s">
        <v>93</v>
      </c>
      <c r="C894">
        <v>85</v>
      </c>
      <c r="D894" s="69">
        <v>0</v>
      </c>
    </row>
    <row r="895" spans="1:4">
      <c r="A895">
        <v>2002</v>
      </c>
      <c r="B895" t="s">
        <v>93</v>
      </c>
      <c r="C895">
        <v>0</v>
      </c>
      <c r="D895" s="68">
        <v>0</v>
      </c>
    </row>
    <row r="896" spans="1:4">
      <c r="A896">
        <v>2002</v>
      </c>
      <c r="B896" t="s">
        <v>93</v>
      </c>
      <c r="C896">
        <v>1</v>
      </c>
      <c r="D896" s="68">
        <v>1</v>
      </c>
    </row>
    <row r="897" spans="1:4">
      <c r="A897">
        <v>2002</v>
      </c>
      <c r="B897" t="s">
        <v>93</v>
      </c>
      <c r="C897">
        <v>5</v>
      </c>
      <c r="D897" s="68">
        <v>0</v>
      </c>
    </row>
    <row r="898" spans="1:4">
      <c r="A898">
        <v>2002</v>
      </c>
      <c r="B898" t="s">
        <v>93</v>
      </c>
      <c r="C898">
        <v>10</v>
      </c>
      <c r="D898" s="68">
        <v>0</v>
      </c>
    </row>
    <row r="899" spans="1:4">
      <c r="A899">
        <v>2002</v>
      </c>
      <c r="B899" t="s">
        <v>93</v>
      </c>
      <c r="C899">
        <v>15</v>
      </c>
      <c r="D899" s="68">
        <v>0</v>
      </c>
    </row>
    <row r="900" spans="1:4">
      <c r="A900">
        <v>2002</v>
      </c>
      <c r="B900" t="s">
        <v>93</v>
      </c>
      <c r="C900">
        <v>20</v>
      </c>
      <c r="D900" s="68">
        <v>2</v>
      </c>
    </row>
    <row r="901" spans="1:4">
      <c r="A901">
        <v>2002</v>
      </c>
      <c r="B901" t="s">
        <v>93</v>
      </c>
      <c r="C901">
        <v>25</v>
      </c>
      <c r="D901" s="68">
        <v>0</v>
      </c>
    </row>
    <row r="902" spans="1:4">
      <c r="A902">
        <v>2002</v>
      </c>
      <c r="B902" t="s">
        <v>93</v>
      </c>
      <c r="C902">
        <v>30</v>
      </c>
      <c r="D902" s="68">
        <v>0</v>
      </c>
    </row>
    <row r="903" spans="1:4">
      <c r="A903">
        <v>2002</v>
      </c>
      <c r="B903" t="s">
        <v>93</v>
      </c>
      <c r="C903">
        <v>35</v>
      </c>
      <c r="D903" s="68">
        <v>0</v>
      </c>
    </row>
    <row r="904" spans="1:4">
      <c r="A904">
        <v>2002</v>
      </c>
      <c r="B904" t="s">
        <v>93</v>
      </c>
      <c r="C904">
        <v>40</v>
      </c>
      <c r="D904" s="68">
        <v>0</v>
      </c>
    </row>
    <row r="905" spans="1:4">
      <c r="A905">
        <v>2002</v>
      </c>
      <c r="B905" t="s">
        <v>93</v>
      </c>
      <c r="C905">
        <v>45</v>
      </c>
      <c r="D905" s="68">
        <v>0</v>
      </c>
    </row>
    <row r="906" spans="1:4">
      <c r="A906">
        <v>2002</v>
      </c>
      <c r="B906" t="s">
        <v>93</v>
      </c>
      <c r="C906">
        <v>50</v>
      </c>
      <c r="D906" s="68">
        <v>0</v>
      </c>
    </row>
    <row r="907" spans="1:4">
      <c r="A907">
        <v>2002</v>
      </c>
      <c r="B907" t="s">
        <v>93</v>
      </c>
      <c r="C907">
        <v>55</v>
      </c>
      <c r="D907" s="68">
        <v>0</v>
      </c>
    </row>
    <row r="908" spans="1:4">
      <c r="A908">
        <v>2002</v>
      </c>
      <c r="B908" t="s">
        <v>93</v>
      </c>
      <c r="C908">
        <v>60</v>
      </c>
      <c r="D908" s="68">
        <v>0</v>
      </c>
    </row>
    <row r="909" spans="1:4">
      <c r="A909">
        <v>2002</v>
      </c>
      <c r="B909" t="s">
        <v>93</v>
      </c>
      <c r="C909">
        <v>65</v>
      </c>
      <c r="D909" s="68">
        <v>0</v>
      </c>
    </row>
    <row r="910" spans="1:4">
      <c r="A910">
        <v>2002</v>
      </c>
      <c r="B910" t="s">
        <v>93</v>
      </c>
      <c r="C910">
        <v>70</v>
      </c>
      <c r="D910" s="68">
        <v>0</v>
      </c>
    </row>
    <row r="911" spans="1:4">
      <c r="A911">
        <v>2002</v>
      </c>
      <c r="B911" t="s">
        <v>93</v>
      </c>
      <c r="C911">
        <v>75</v>
      </c>
      <c r="D911" s="68">
        <v>0</v>
      </c>
    </row>
    <row r="912" spans="1:4">
      <c r="A912">
        <v>2002</v>
      </c>
      <c r="B912" t="s">
        <v>93</v>
      </c>
      <c r="C912">
        <v>80</v>
      </c>
      <c r="D912" s="68">
        <v>0</v>
      </c>
    </row>
    <row r="913" spans="1:4">
      <c r="A913">
        <v>2002</v>
      </c>
      <c r="B913" t="s">
        <v>93</v>
      </c>
      <c r="C913">
        <v>85</v>
      </c>
      <c r="D913" s="68">
        <v>0</v>
      </c>
    </row>
    <row r="914" spans="1:4">
      <c r="A914">
        <v>2003</v>
      </c>
      <c r="B914" t="s">
        <v>93</v>
      </c>
      <c r="C914">
        <v>0</v>
      </c>
      <c r="D914" s="68">
        <v>0</v>
      </c>
    </row>
    <row r="915" spans="1:4">
      <c r="A915">
        <v>2003</v>
      </c>
      <c r="B915" t="s">
        <v>93</v>
      </c>
      <c r="C915">
        <v>1</v>
      </c>
      <c r="D915" s="68">
        <v>0</v>
      </c>
    </row>
    <row r="916" spans="1:4">
      <c r="A916">
        <v>2003</v>
      </c>
      <c r="B916" t="s">
        <v>93</v>
      </c>
      <c r="C916">
        <v>5</v>
      </c>
      <c r="D916" s="68">
        <v>0</v>
      </c>
    </row>
    <row r="917" spans="1:4">
      <c r="A917">
        <v>2003</v>
      </c>
      <c r="B917" t="s">
        <v>93</v>
      </c>
      <c r="C917">
        <v>10</v>
      </c>
      <c r="D917" s="68">
        <v>1</v>
      </c>
    </row>
    <row r="918" spans="1:4">
      <c r="A918">
        <v>2003</v>
      </c>
      <c r="B918" t="s">
        <v>93</v>
      </c>
      <c r="C918">
        <v>15</v>
      </c>
      <c r="D918" s="68">
        <v>0</v>
      </c>
    </row>
    <row r="919" spans="1:4">
      <c r="A919">
        <v>2003</v>
      </c>
      <c r="B919" t="s">
        <v>93</v>
      </c>
      <c r="C919">
        <v>20</v>
      </c>
      <c r="D919" s="68">
        <v>2</v>
      </c>
    </row>
    <row r="920" spans="1:4">
      <c r="A920">
        <v>2003</v>
      </c>
      <c r="B920" t="s">
        <v>93</v>
      </c>
      <c r="C920">
        <v>25</v>
      </c>
      <c r="D920" s="68">
        <v>0</v>
      </c>
    </row>
    <row r="921" spans="1:4">
      <c r="A921">
        <v>2003</v>
      </c>
      <c r="B921" t="s">
        <v>93</v>
      </c>
      <c r="C921">
        <v>30</v>
      </c>
      <c r="D921" s="68">
        <v>1</v>
      </c>
    </row>
    <row r="922" spans="1:4">
      <c r="A922">
        <v>2003</v>
      </c>
      <c r="B922" t="s">
        <v>93</v>
      </c>
      <c r="C922">
        <v>35</v>
      </c>
      <c r="D922" s="68">
        <v>2</v>
      </c>
    </row>
    <row r="923" spans="1:4">
      <c r="A923">
        <v>2003</v>
      </c>
      <c r="B923" t="s">
        <v>93</v>
      </c>
      <c r="C923">
        <v>40</v>
      </c>
      <c r="D923" s="68">
        <v>1</v>
      </c>
    </row>
    <row r="924" spans="1:4">
      <c r="A924">
        <v>2003</v>
      </c>
      <c r="B924" t="s">
        <v>93</v>
      </c>
      <c r="C924">
        <v>45</v>
      </c>
      <c r="D924" s="68">
        <v>0</v>
      </c>
    </row>
    <row r="925" spans="1:4">
      <c r="A925">
        <v>2003</v>
      </c>
      <c r="B925" t="s">
        <v>93</v>
      </c>
      <c r="C925">
        <v>50</v>
      </c>
      <c r="D925" s="68">
        <v>0</v>
      </c>
    </row>
    <row r="926" spans="1:4">
      <c r="A926">
        <v>2003</v>
      </c>
      <c r="B926" t="s">
        <v>93</v>
      </c>
      <c r="C926">
        <v>55</v>
      </c>
      <c r="D926" s="68">
        <v>0</v>
      </c>
    </row>
    <row r="927" spans="1:4">
      <c r="A927">
        <v>2003</v>
      </c>
      <c r="B927" t="s">
        <v>93</v>
      </c>
      <c r="C927">
        <v>60</v>
      </c>
      <c r="D927" s="68">
        <v>0</v>
      </c>
    </row>
    <row r="928" spans="1:4">
      <c r="A928">
        <v>2003</v>
      </c>
      <c r="B928" t="s">
        <v>93</v>
      </c>
      <c r="C928">
        <v>65</v>
      </c>
      <c r="D928" s="68">
        <v>0</v>
      </c>
    </row>
    <row r="929" spans="1:4">
      <c r="A929">
        <v>2003</v>
      </c>
      <c r="B929" t="s">
        <v>93</v>
      </c>
      <c r="C929">
        <v>70</v>
      </c>
      <c r="D929" s="68">
        <v>0</v>
      </c>
    </row>
    <row r="930" spans="1:4">
      <c r="A930">
        <v>2003</v>
      </c>
      <c r="B930" t="s">
        <v>93</v>
      </c>
      <c r="C930">
        <v>75</v>
      </c>
      <c r="D930" s="68">
        <v>0</v>
      </c>
    </row>
    <row r="931" spans="1:4">
      <c r="A931">
        <v>2003</v>
      </c>
      <c r="B931" t="s">
        <v>93</v>
      </c>
      <c r="C931">
        <v>80</v>
      </c>
      <c r="D931" s="68">
        <v>0</v>
      </c>
    </row>
    <row r="932" spans="1:4">
      <c r="A932">
        <v>2003</v>
      </c>
      <c r="B932" t="s">
        <v>93</v>
      </c>
      <c r="C932">
        <v>85</v>
      </c>
      <c r="D932" s="68">
        <v>0</v>
      </c>
    </row>
    <row r="933" spans="1:4">
      <c r="A933">
        <v>2004</v>
      </c>
      <c r="B933" t="s">
        <v>93</v>
      </c>
      <c r="C933">
        <v>0</v>
      </c>
      <c r="D933" s="68">
        <v>0</v>
      </c>
    </row>
    <row r="934" spans="1:4">
      <c r="A934">
        <v>2004</v>
      </c>
      <c r="B934" t="s">
        <v>93</v>
      </c>
      <c r="C934">
        <v>1</v>
      </c>
      <c r="D934" s="68">
        <v>0</v>
      </c>
    </row>
    <row r="935" spans="1:4">
      <c r="A935">
        <v>2004</v>
      </c>
      <c r="B935" t="s">
        <v>93</v>
      </c>
      <c r="C935">
        <v>5</v>
      </c>
      <c r="D935" s="68">
        <v>1</v>
      </c>
    </row>
    <row r="936" spans="1:4">
      <c r="A936">
        <v>2004</v>
      </c>
      <c r="B936" t="s">
        <v>93</v>
      </c>
      <c r="C936">
        <v>10</v>
      </c>
      <c r="D936" s="68">
        <v>0</v>
      </c>
    </row>
    <row r="937" spans="1:4">
      <c r="A937">
        <v>2004</v>
      </c>
      <c r="B937" t="s">
        <v>93</v>
      </c>
      <c r="C937">
        <v>15</v>
      </c>
      <c r="D937" s="68">
        <v>2</v>
      </c>
    </row>
    <row r="938" spans="1:4">
      <c r="A938">
        <v>2004</v>
      </c>
      <c r="B938" t="s">
        <v>93</v>
      </c>
      <c r="C938">
        <v>20</v>
      </c>
      <c r="D938" s="68">
        <v>0</v>
      </c>
    </row>
    <row r="939" spans="1:4">
      <c r="A939">
        <v>2004</v>
      </c>
      <c r="B939" t="s">
        <v>93</v>
      </c>
      <c r="C939">
        <v>25</v>
      </c>
      <c r="D939" s="68">
        <v>3</v>
      </c>
    </row>
    <row r="940" spans="1:4">
      <c r="A940">
        <v>2004</v>
      </c>
      <c r="B940" t="s">
        <v>93</v>
      </c>
      <c r="C940">
        <v>30</v>
      </c>
      <c r="D940" s="68">
        <v>0</v>
      </c>
    </row>
    <row r="941" spans="1:4">
      <c r="A941">
        <v>2004</v>
      </c>
      <c r="B941" t="s">
        <v>93</v>
      </c>
      <c r="C941">
        <v>35</v>
      </c>
      <c r="D941" s="68">
        <v>0</v>
      </c>
    </row>
    <row r="942" spans="1:4">
      <c r="A942">
        <v>2004</v>
      </c>
      <c r="B942" t="s">
        <v>93</v>
      </c>
      <c r="C942">
        <v>40</v>
      </c>
      <c r="D942" s="68">
        <v>0</v>
      </c>
    </row>
    <row r="943" spans="1:4">
      <c r="A943">
        <v>2004</v>
      </c>
      <c r="B943" t="s">
        <v>93</v>
      </c>
      <c r="C943">
        <v>45</v>
      </c>
      <c r="D943" s="68">
        <v>0</v>
      </c>
    </row>
    <row r="944" spans="1:4">
      <c r="A944">
        <v>2004</v>
      </c>
      <c r="B944" t="s">
        <v>93</v>
      </c>
      <c r="C944">
        <v>50</v>
      </c>
      <c r="D944" s="68">
        <v>0</v>
      </c>
    </row>
    <row r="945" spans="1:4">
      <c r="A945">
        <v>2004</v>
      </c>
      <c r="B945" t="s">
        <v>93</v>
      </c>
      <c r="C945">
        <v>55</v>
      </c>
      <c r="D945" s="68">
        <v>0</v>
      </c>
    </row>
    <row r="946" spans="1:4">
      <c r="A946">
        <v>2004</v>
      </c>
      <c r="B946" t="s">
        <v>93</v>
      </c>
      <c r="C946">
        <v>60</v>
      </c>
      <c r="D946" s="68">
        <v>0</v>
      </c>
    </row>
    <row r="947" spans="1:4">
      <c r="A947">
        <v>2004</v>
      </c>
      <c r="B947" t="s">
        <v>93</v>
      </c>
      <c r="C947">
        <v>65</v>
      </c>
      <c r="D947" s="68">
        <v>0</v>
      </c>
    </row>
    <row r="948" spans="1:4">
      <c r="A948">
        <v>2004</v>
      </c>
      <c r="B948" t="s">
        <v>93</v>
      </c>
      <c r="C948">
        <v>70</v>
      </c>
      <c r="D948" s="68">
        <v>0</v>
      </c>
    </row>
    <row r="949" spans="1:4">
      <c r="A949">
        <v>2004</v>
      </c>
      <c r="B949" t="s">
        <v>93</v>
      </c>
      <c r="C949">
        <v>75</v>
      </c>
      <c r="D949" s="68">
        <v>0</v>
      </c>
    </row>
    <row r="950" spans="1:4">
      <c r="A950">
        <v>2004</v>
      </c>
      <c r="B950" t="s">
        <v>93</v>
      </c>
      <c r="C950">
        <v>80</v>
      </c>
      <c r="D950" s="68">
        <v>0</v>
      </c>
    </row>
    <row r="951" spans="1:4">
      <c r="A951">
        <v>2004</v>
      </c>
      <c r="B951" t="s">
        <v>93</v>
      </c>
      <c r="C951">
        <v>85</v>
      </c>
      <c r="D951" s="68">
        <v>0</v>
      </c>
    </row>
    <row r="952" spans="1:4">
      <c r="A952">
        <v>2005</v>
      </c>
      <c r="B952" t="s">
        <v>93</v>
      </c>
      <c r="C952">
        <v>0</v>
      </c>
      <c r="D952" s="68">
        <v>0</v>
      </c>
    </row>
    <row r="953" spans="1:4">
      <c r="A953">
        <v>2005</v>
      </c>
      <c r="B953" t="s">
        <v>93</v>
      </c>
      <c r="C953">
        <v>1</v>
      </c>
      <c r="D953" s="68">
        <v>1</v>
      </c>
    </row>
    <row r="954" spans="1:4">
      <c r="A954">
        <v>2005</v>
      </c>
      <c r="B954" t="s">
        <v>93</v>
      </c>
      <c r="C954">
        <v>5</v>
      </c>
      <c r="D954" s="68">
        <v>2</v>
      </c>
    </row>
    <row r="955" spans="1:4">
      <c r="A955">
        <v>2005</v>
      </c>
      <c r="B955" t="s">
        <v>93</v>
      </c>
      <c r="C955">
        <v>10</v>
      </c>
      <c r="D955" s="68">
        <v>0</v>
      </c>
    </row>
    <row r="956" spans="1:4">
      <c r="A956">
        <v>2005</v>
      </c>
      <c r="B956" t="s">
        <v>93</v>
      </c>
      <c r="C956">
        <v>15</v>
      </c>
      <c r="D956" s="68">
        <v>1</v>
      </c>
    </row>
    <row r="957" spans="1:4">
      <c r="A957">
        <v>2005</v>
      </c>
      <c r="B957" t="s">
        <v>93</v>
      </c>
      <c r="C957">
        <v>20</v>
      </c>
      <c r="D957" s="68">
        <v>0</v>
      </c>
    </row>
    <row r="958" spans="1:4">
      <c r="A958">
        <v>2005</v>
      </c>
      <c r="B958" t="s">
        <v>93</v>
      </c>
      <c r="C958">
        <v>25</v>
      </c>
      <c r="D958" s="68">
        <v>1</v>
      </c>
    </row>
    <row r="959" spans="1:4">
      <c r="A959">
        <v>2005</v>
      </c>
      <c r="B959" t="s">
        <v>93</v>
      </c>
      <c r="C959">
        <v>30</v>
      </c>
      <c r="D959" s="68">
        <v>1</v>
      </c>
    </row>
    <row r="960" spans="1:4">
      <c r="A960">
        <v>2005</v>
      </c>
      <c r="B960" t="s">
        <v>93</v>
      </c>
      <c r="C960">
        <v>35</v>
      </c>
      <c r="D960" s="68">
        <v>1</v>
      </c>
    </row>
    <row r="961" spans="1:4">
      <c r="A961">
        <v>2005</v>
      </c>
      <c r="B961" t="s">
        <v>93</v>
      </c>
      <c r="C961">
        <v>40</v>
      </c>
      <c r="D961" s="68">
        <v>0</v>
      </c>
    </row>
    <row r="962" spans="1:4">
      <c r="A962">
        <v>2005</v>
      </c>
      <c r="B962" t="s">
        <v>93</v>
      </c>
      <c r="C962">
        <v>45</v>
      </c>
      <c r="D962" s="68">
        <v>1</v>
      </c>
    </row>
    <row r="963" spans="1:4">
      <c r="A963">
        <v>2005</v>
      </c>
      <c r="B963" t="s">
        <v>93</v>
      </c>
      <c r="C963">
        <v>50</v>
      </c>
      <c r="D963" s="68">
        <v>0</v>
      </c>
    </row>
    <row r="964" spans="1:4">
      <c r="A964">
        <v>2005</v>
      </c>
      <c r="B964" t="s">
        <v>93</v>
      </c>
      <c r="C964">
        <v>55</v>
      </c>
      <c r="D964" s="68">
        <v>1</v>
      </c>
    </row>
    <row r="965" spans="1:4">
      <c r="A965">
        <v>2005</v>
      </c>
      <c r="B965" t="s">
        <v>93</v>
      </c>
      <c r="C965">
        <v>60</v>
      </c>
      <c r="D965" s="68">
        <v>0</v>
      </c>
    </row>
    <row r="966" spans="1:4">
      <c r="A966">
        <v>2005</v>
      </c>
      <c r="B966" t="s">
        <v>93</v>
      </c>
      <c r="C966">
        <v>65</v>
      </c>
      <c r="D966" s="68">
        <v>0</v>
      </c>
    </row>
    <row r="967" spans="1:4">
      <c r="A967">
        <v>2005</v>
      </c>
      <c r="B967" t="s">
        <v>93</v>
      </c>
      <c r="C967">
        <v>70</v>
      </c>
      <c r="D967" s="68">
        <v>0</v>
      </c>
    </row>
    <row r="968" spans="1:4">
      <c r="A968">
        <v>2005</v>
      </c>
      <c r="B968" t="s">
        <v>93</v>
      </c>
      <c r="C968">
        <v>75</v>
      </c>
      <c r="D968" s="68">
        <v>0</v>
      </c>
    </row>
    <row r="969" spans="1:4">
      <c r="A969">
        <v>2005</v>
      </c>
      <c r="B969" t="s">
        <v>93</v>
      </c>
      <c r="C969">
        <v>80</v>
      </c>
      <c r="D969" s="68">
        <v>0</v>
      </c>
    </row>
    <row r="970" spans="1:4">
      <c r="A970">
        <v>2005</v>
      </c>
      <c r="B970" t="s">
        <v>93</v>
      </c>
      <c r="C970">
        <v>85</v>
      </c>
      <c r="D970" s="68">
        <v>0</v>
      </c>
    </row>
    <row r="971" spans="1:4">
      <c r="A971">
        <v>2006</v>
      </c>
      <c r="B971" t="s">
        <v>93</v>
      </c>
      <c r="C971">
        <v>0</v>
      </c>
      <c r="D971" s="68">
        <v>0</v>
      </c>
    </row>
    <row r="972" spans="1:4">
      <c r="A972">
        <v>2006</v>
      </c>
      <c r="B972" t="s">
        <v>93</v>
      </c>
      <c r="C972">
        <v>1</v>
      </c>
      <c r="D972" s="68">
        <v>0</v>
      </c>
    </row>
    <row r="973" spans="1:4">
      <c r="A973">
        <v>2006</v>
      </c>
      <c r="B973" t="s">
        <v>93</v>
      </c>
      <c r="C973">
        <v>5</v>
      </c>
      <c r="D973" s="68">
        <v>0</v>
      </c>
    </row>
    <row r="974" spans="1:4">
      <c r="A974">
        <v>2006</v>
      </c>
      <c r="B974" t="s">
        <v>93</v>
      </c>
      <c r="C974">
        <v>10</v>
      </c>
      <c r="D974" s="68">
        <v>0</v>
      </c>
    </row>
    <row r="975" spans="1:4">
      <c r="A975">
        <v>2006</v>
      </c>
      <c r="B975" t="s">
        <v>93</v>
      </c>
      <c r="C975">
        <v>15</v>
      </c>
      <c r="D975" s="68">
        <v>0</v>
      </c>
    </row>
    <row r="976" spans="1:4">
      <c r="A976">
        <v>2006</v>
      </c>
      <c r="B976" t="s">
        <v>93</v>
      </c>
      <c r="C976">
        <v>20</v>
      </c>
      <c r="D976" s="68">
        <v>1</v>
      </c>
    </row>
    <row r="977" spans="1:4">
      <c r="A977">
        <v>2006</v>
      </c>
      <c r="B977" t="s">
        <v>93</v>
      </c>
      <c r="C977">
        <v>25</v>
      </c>
      <c r="D977" s="68">
        <v>1</v>
      </c>
    </row>
    <row r="978" spans="1:4">
      <c r="A978">
        <v>2006</v>
      </c>
      <c r="B978" t="s">
        <v>93</v>
      </c>
      <c r="C978">
        <v>30</v>
      </c>
      <c r="D978" s="68">
        <v>1</v>
      </c>
    </row>
    <row r="979" spans="1:4">
      <c r="A979">
        <v>2006</v>
      </c>
      <c r="B979" t="s">
        <v>93</v>
      </c>
      <c r="C979">
        <v>35</v>
      </c>
      <c r="D979" s="68">
        <v>0</v>
      </c>
    </row>
    <row r="980" spans="1:4">
      <c r="A980">
        <v>2006</v>
      </c>
      <c r="B980" t="s">
        <v>93</v>
      </c>
      <c r="C980">
        <v>40</v>
      </c>
      <c r="D980" s="68">
        <v>0</v>
      </c>
    </row>
    <row r="981" spans="1:4">
      <c r="A981">
        <v>2006</v>
      </c>
      <c r="B981" t="s">
        <v>93</v>
      </c>
      <c r="C981">
        <v>45</v>
      </c>
      <c r="D981" s="68">
        <v>0</v>
      </c>
    </row>
    <row r="982" spans="1:4">
      <c r="A982">
        <v>2006</v>
      </c>
      <c r="B982" t="s">
        <v>93</v>
      </c>
      <c r="C982">
        <v>50</v>
      </c>
      <c r="D982" s="68">
        <v>0</v>
      </c>
    </row>
    <row r="983" spans="1:4">
      <c r="A983">
        <v>2006</v>
      </c>
      <c r="B983" t="s">
        <v>93</v>
      </c>
      <c r="C983">
        <v>55</v>
      </c>
      <c r="D983" s="68">
        <v>0</v>
      </c>
    </row>
    <row r="984" spans="1:4">
      <c r="A984">
        <v>2006</v>
      </c>
      <c r="B984" t="s">
        <v>93</v>
      </c>
      <c r="C984">
        <v>60</v>
      </c>
      <c r="D984" s="68">
        <v>0</v>
      </c>
    </row>
    <row r="985" spans="1:4">
      <c r="A985">
        <v>2006</v>
      </c>
      <c r="B985" t="s">
        <v>93</v>
      </c>
      <c r="C985">
        <v>65</v>
      </c>
      <c r="D985" s="68">
        <v>0</v>
      </c>
    </row>
    <row r="986" spans="1:4">
      <c r="A986">
        <v>2006</v>
      </c>
      <c r="B986" t="s">
        <v>93</v>
      </c>
      <c r="C986">
        <v>70</v>
      </c>
      <c r="D986" s="68">
        <v>0</v>
      </c>
    </row>
    <row r="987" spans="1:4">
      <c r="A987">
        <v>2006</v>
      </c>
      <c r="B987" t="s">
        <v>93</v>
      </c>
      <c r="C987">
        <v>75</v>
      </c>
      <c r="D987" s="68">
        <v>0</v>
      </c>
    </row>
    <row r="988" spans="1:4">
      <c r="A988">
        <v>2006</v>
      </c>
      <c r="B988" t="s">
        <v>93</v>
      </c>
      <c r="C988">
        <v>80</v>
      </c>
      <c r="D988" s="68">
        <v>0</v>
      </c>
    </row>
    <row r="989" spans="1:4">
      <c r="A989">
        <v>2006</v>
      </c>
      <c r="B989" t="s">
        <v>93</v>
      </c>
      <c r="C989">
        <v>85</v>
      </c>
      <c r="D989" s="68">
        <v>0</v>
      </c>
    </row>
    <row r="990" spans="1:4">
      <c r="A990">
        <v>2007</v>
      </c>
      <c r="B990" t="s">
        <v>93</v>
      </c>
      <c r="C990">
        <v>0</v>
      </c>
      <c r="D990" s="68">
        <v>0</v>
      </c>
    </row>
    <row r="991" spans="1:4">
      <c r="A991">
        <v>2007</v>
      </c>
      <c r="B991" t="s">
        <v>93</v>
      </c>
      <c r="C991">
        <v>1</v>
      </c>
      <c r="D991" s="68">
        <v>0</v>
      </c>
    </row>
    <row r="992" spans="1:4">
      <c r="A992">
        <v>2007</v>
      </c>
      <c r="B992" t="s">
        <v>93</v>
      </c>
      <c r="C992">
        <v>5</v>
      </c>
      <c r="D992" s="68">
        <v>0</v>
      </c>
    </row>
    <row r="993" spans="1:4">
      <c r="A993">
        <v>2007</v>
      </c>
      <c r="B993" t="s">
        <v>93</v>
      </c>
      <c r="C993">
        <v>10</v>
      </c>
      <c r="D993" s="68">
        <v>0</v>
      </c>
    </row>
    <row r="994" spans="1:4">
      <c r="A994">
        <v>2007</v>
      </c>
      <c r="B994" t="s">
        <v>93</v>
      </c>
      <c r="C994">
        <v>15</v>
      </c>
      <c r="D994" s="68">
        <v>0</v>
      </c>
    </row>
    <row r="995" spans="1:4">
      <c r="A995">
        <v>2007</v>
      </c>
      <c r="B995" t="s">
        <v>93</v>
      </c>
      <c r="C995">
        <v>20</v>
      </c>
      <c r="D995" s="68">
        <v>1</v>
      </c>
    </row>
    <row r="996" spans="1:4">
      <c r="A996">
        <v>2007</v>
      </c>
      <c r="B996" t="s">
        <v>93</v>
      </c>
      <c r="C996">
        <v>25</v>
      </c>
      <c r="D996" s="68">
        <v>0</v>
      </c>
    </row>
    <row r="997" spans="1:4">
      <c r="A997">
        <v>2007</v>
      </c>
      <c r="B997" t="s">
        <v>93</v>
      </c>
      <c r="C997">
        <v>30</v>
      </c>
      <c r="D997" s="68">
        <v>0</v>
      </c>
    </row>
    <row r="998" spans="1:4">
      <c r="A998">
        <v>2007</v>
      </c>
      <c r="B998" t="s">
        <v>93</v>
      </c>
      <c r="C998">
        <v>35</v>
      </c>
      <c r="D998" s="68">
        <v>2</v>
      </c>
    </row>
    <row r="999" spans="1:4">
      <c r="A999">
        <v>2007</v>
      </c>
      <c r="B999" t="s">
        <v>93</v>
      </c>
      <c r="C999">
        <v>40</v>
      </c>
      <c r="D999" s="68">
        <v>0</v>
      </c>
    </row>
    <row r="1000" spans="1:4">
      <c r="A1000">
        <v>2007</v>
      </c>
      <c r="B1000" t="s">
        <v>93</v>
      </c>
      <c r="C1000">
        <v>45</v>
      </c>
      <c r="D1000" s="68">
        <v>0</v>
      </c>
    </row>
    <row r="1001" spans="1:4">
      <c r="A1001">
        <v>2007</v>
      </c>
      <c r="B1001" t="s">
        <v>93</v>
      </c>
      <c r="C1001">
        <v>50</v>
      </c>
      <c r="D1001" s="68">
        <v>1</v>
      </c>
    </row>
    <row r="1002" spans="1:4">
      <c r="A1002">
        <v>2007</v>
      </c>
      <c r="B1002" t="s">
        <v>93</v>
      </c>
      <c r="C1002">
        <v>55</v>
      </c>
      <c r="D1002" s="68">
        <v>1</v>
      </c>
    </row>
    <row r="1003" spans="1:4">
      <c r="A1003">
        <v>2007</v>
      </c>
      <c r="B1003" t="s">
        <v>93</v>
      </c>
      <c r="C1003">
        <v>60</v>
      </c>
      <c r="D1003" s="68">
        <v>1</v>
      </c>
    </row>
    <row r="1004" spans="1:4">
      <c r="A1004">
        <v>2007</v>
      </c>
      <c r="B1004" t="s">
        <v>93</v>
      </c>
      <c r="C1004">
        <v>65</v>
      </c>
      <c r="D1004" s="68">
        <v>0</v>
      </c>
    </row>
    <row r="1005" spans="1:4">
      <c r="A1005">
        <v>2007</v>
      </c>
      <c r="B1005" t="s">
        <v>93</v>
      </c>
      <c r="C1005">
        <v>70</v>
      </c>
      <c r="D1005" s="68">
        <v>0</v>
      </c>
    </row>
    <row r="1006" spans="1:4">
      <c r="A1006">
        <v>2007</v>
      </c>
      <c r="B1006" t="s">
        <v>93</v>
      </c>
      <c r="C1006">
        <v>75</v>
      </c>
      <c r="D1006" s="68">
        <v>0</v>
      </c>
    </row>
    <row r="1007" spans="1:4">
      <c r="A1007">
        <v>2007</v>
      </c>
      <c r="B1007" t="s">
        <v>93</v>
      </c>
      <c r="C1007">
        <v>80</v>
      </c>
      <c r="D1007" s="68">
        <v>0</v>
      </c>
    </row>
    <row r="1008" spans="1:4">
      <c r="A1008">
        <v>2007</v>
      </c>
      <c r="B1008" t="s">
        <v>93</v>
      </c>
      <c r="C1008">
        <v>85</v>
      </c>
      <c r="D1008" s="68">
        <v>0</v>
      </c>
    </row>
    <row r="1009" spans="1:4">
      <c r="A1009">
        <v>2008</v>
      </c>
      <c r="B1009" t="s">
        <v>93</v>
      </c>
      <c r="C1009">
        <v>0</v>
      </c>
      <c r="D1009" s="68">
        <v>1</v>
      </c>
    </row>
    <row r="1010" spans="1:4">
      <c r="A1010">
        <v>2008</v>
      </c>
      <c r="B1010" t="s">
        <v>93</v>
      </c>
      <c r="C1010">
        <v>1</v>
      </c>
      <c r="D1010" s="68">
        <v>1</v>
      </c>
    </row>
    <row r="1011" spans="1:4">
      <c r="A1011">
        <v>2008</v>
      </c>
      <c r="B1011" t="s">
        <v>93</v>
      </c>
      <c r="C1011">
        <v>5</v>
      </c>
      <c r="D1011" s="68">
        <v>0</v>
      </c>
    </row>
    <row r="1012" spans="1:4">
      <c r="A1012">
        <v>2008</v>
      </c>
      <c r="B1012" t="s">
        <v>93</v>
      </c>
      <c r="C1012">
        <v>10</v>
      </c>
      <c r="D1012" s="68">
        <v>0</v>
      </c>
    </row>
    <row r="1013" spans="1:4">
      <c r="A1013">
        <v>2008</v>
      </c>
      <c r="B1013" t="s">
        <v>93</v>
      </c>
      <c r="C1013">
        <v>15</v>
      </c>
      <c r="D1013" s="68">
        <v>1</v>
      </c>
    </row>
    <row r="1014" spans="1:4">
      <c r="A1014">
        <v>2008</v>
      </c>
      <c r="B1014" t="s">
        <v>93</v>
      </c>
      <c r="C1014">
        <v>20</v>
      </c>
      <c r="D1014" s="68">
        <v>0</v>
      </c>
    </row>
    <row r="1015" spans="1:4">
      <c r="A1015">
        <v>2008</v>
      </c>
      <c r="B1015" t="s">
        <v>93</v>
      </c>
      <c r="C1015">
        <v>25</v>
      </c>
      <c r="D1015" s="68">
        <v>1</v>
      </c>
    </row>
    <row r="1016" spans="1:4">
      <c r="A1016">
        <v>2008</v>
      </c>
      <c r="B1016" t="s">
        <v>93</v>
      </c>
      <c r="C1016">
        <v>30</v>
      </c>
      <c r="D1016" s="68">
        <v>1</v>
      </c>
    </row>
    <row r="1017" spans="1:4">
      <c r="A1017">
        <v>2008</v>
      </c>
      <c r="B1017" t="s">
        <v>93</v>
      </c>
      <c r="C1017">
        <v>35</v>
      </c>
      <c r="D1017" s="68">
        <v>0</v>
      </c>
    </row>
    <row r="1018" spans="1:4">
      <c r="A1018">
        <v>2008</v>
      </c>
      <c r="B1018" t="s">
        <v>93</v>
      </c>
      <c r="C1018">
        <v>40</v>
      </c>
      <c r="D1018" s="68">
        <v>2</v>
      </c>
    </row>
    <row r="1019" spans="1:4">
      <c r="A1019">
        <v>2008</v>
      </c>
      <c r="B1019" t="s">
        <v>93</v>
      </c>
      <c r="C1019">
        <v>45</v>
      </c>
      <c r="D1019" s="68">
        <v>0</v>
      </c>
    </row>
    <row r="1020" spans="1:4">
      <c r="A1020">
        <v>2008</v>
      </c>
      <c r="B1020" t="s">
        <v>93</v>
      </c>
      <c r="C1020">
        <v>50</v>
      </c>
      <c r="D1020" s="68">
        <v>0</v>
      </c>
    </row>
    <row r="1021" spans="1:4">
      <c r="A1021">
        <v>2008</v>
      </c>
      <c r="B1021" t="s">
        <v>93</v>
      </c>
      <c r="C1021">
        <v>55</v>
      </c>
      <c r="D1021" s="68">
        <v>0</v>
      </c>
    </row>
    <row r="1022" spans="1:4">
      <c r="A1022">
        <v>2008</v>
      </c>
      <c r="B1022" t="s">
        <v>93</v>
      </c>
      <c r="C1022">
        <v>60</v>
      </c>
      <c r="D1022" s="68">
        <v>0</v>
      </c>
    </row>
    <row r="1023" spans="1:4">
      <c r="A1023">
        <v>2008</v>
      </c>
      <c r="B1023" t="s">
        <v>93</v>
      </c>
      <c r="C1023">
        <v>65</v>
      </c>
      <c r="D1023" s="68">
        <v>0</v>
      </c>
    </row>
    <row r="1024" spans="1:4">
      <c r="A1024">
        <v>2008</v>
      </c>
      <c r="B1024" t="s">
        <v>93</v>
      </c>
      <c r="C1024">
        <v>70</v>
      </c>
      <c r="D1024" s="68">
        <v>0</v>
      </c>
    </row>
    <row r="1025" spans="1:4">
      <c r="A1025">
        <v>2008</v>
      </c>
      <c r="B1025" t="s">
        <v>93</v>
      </c>
      <c r="C1025">
        <v>75</v>
      </c>
      <c r="D1025" s="68">
        <v>0</v>
      </c>
    </row>
    <row r="1026" spans="1:4">
      <c r="A1026">
        <v>2008</v>
      </c>
      <c r="B1026" t="s">
        <v>93</v>
      </c>
      <c r="C1026">
        <v>80</v>
      </c>
      <c r="D1026" s="68">
        <v>0</v>
      </c>
    </row>
    <row r="1027" spans="1:4">
      <c r="A1027">
        <v>2008</v>
      </c>
      <c r="B1027" t="s">
        <v>93</v>
      </c>
      <c r="C1027">
        <v>85</v>
      </c>
      <c r="D1027" s="68">
        <v>0</v>
      </c>
    </row>
    <row r="1028" spans="1:4">
      <c r="A1028">
        <v>2009</v>
      </c>
      <c r="B1028" t="s">
        <v>93</v>
      </c>
      <c r="C1028">
        <v>0</v>
      </c>
      <c r="D1028" s="68">
        <v>0</v>
      </c>
    </row>
    <row r="1029" spans="1:4">
      <c r="A1029">
        <v>2009</v>
      </c>
      <c r="B1029" t="s">
        <v>93</v>
      </c>
      <c r="C1029">
        <v>1</v>
      </c>
      <c r="D1029" s="68">
        <v>2</v>
      </c>
    </row>
    <row r="1030" spans="1:4">
      <c r="A1030">
        <v>2009</v>
      </c>
      <c r="B1030" t="s">
        <v>93</v>
      </c>
      <c r="C1030">
        <v>5</v>
      </c>
      <c r="D1030" s="68">
        <v>0</v>
      </c>
    </row>
    <row r="1031" spans="1:4">
      <c r="A1031">
        <v>2009</v>
      </c>
      <c r="B1031" t="s">
        <v>93</v>
      </c>
      <c r="C1031">
        <v>10</v>
      </c>
      <c r="D1031" s="68">
        <v>0</v>
      </c>
    </row>
    <row r="1032" spans="1:4">
      <c r="A1032">
        <v>2009</v>
      </c>
      <c r="B1032" t="s">
        <v>93</v>
      </c>
      <c r="C1032">
        <v>15</v>
      </c>
      <c r="D1032" s="68">
        <v>0</v>
      </c>
    </row>
    <row r="1033" spans="1:4">
      <c r="A1033">
        <v>2009</v>
      </c>
      <c r="B1033" t="s">
        <v>93</v>
      </c>
      <c r="C1033">
        <v>20</v>
      </c>
      <c r="D1033" s="68">
        <v>1</v>
      </c>
    </row>
    <row r="1034" spans="1:4">
      <c r="A1034">
        <v>2009</v>
      </c>
      <c r="B1034" t="s">
        <v>93</v>
      </c>
      <c r="C1034">
        <v>25</v>
      </c>
      <c r="D1034" s="68">
        <v>1</v>
      </c>
    </row>
    <row r="1035" spans="1:4">
      <c r="A1035">
        <v>2009</v>
      </c>
      <c r="B1035" t="s">
        <v>93</v>
      </c>
      <c r="C1035">
        <v>30</v>
      </c>
      <c r="D1035" s="68">
        <v>2</v>
      </c>
    </row>
    <row r="1036" spans="1:4">
      <c r="A1036">
        <v>2009</v>
      </c>
      <c r="B1036" t="s">
        <v>93</v>
      </c>
      <c r="C1036">
        <v>35</v>
      </c>
      <c r="D1036" s="68">
        <v>0</v>
      </c>
    </row>
    <row r="1037" spans="1:4">
      <c r="A1037">
        <v>2009</v>
      </c>
      <c r="B1037" t="s">
        <v>93</v>
      </c>
      <c r="C1037">
        <v>40</v>
      </c>
      <c r="D1037" s="68">
        <v>1</v>
      </c>
    </row>
    <row r="1038" spans="1:4">
      <c r="A1038">
        <v>2009</v>
      </c>
      <c r="B1038" t="s">
        <v>93</v>
      </c>
      <c r="C1038">
        <v>45</v>
      </c>
      <c r="D1038" s="68">
        <v>1</v>
      </c>
    </row>
    <row r="1039" spans="1:4">
      <c r="A1039">
        <v>2009</v>
      </c>
      <c r="B1039" t="s">
        <v>93</v>
      </c>
      <c r="C1039">
        <v>50</v>
      </c>
      <c r="D1039" s="68">
        <v>0</v>
      </c>
    </row>
    <row r="1040" spans="1:4">
      <c r="A1040">
        <v>2009</v>
      </c>
      <c r="B1040" t="s">
        <v>93</v>
      </c>
      <c r="C1040">
        <v>55</v>
      </c>
      <c r="D1040" s="68">
        <v>0</v>
      </c>
    </row>
    <row r="1041" spans="1:4">
      <c r="A1041">
        <v>2009</v>
      </c>
      <c r="B1041" t="s">
        <v>93</v>
      </c>
      <c r="C1041">
        <v>60</v>
      </c>
      <c r="D1041" s="68">
        <v>0</v>
      </c>
    </row>
    <row r="1042" spans="1:4">
      <c r="A1042">
        <v>2009</v>
      </c>
      <c r="B1042" t="s">
        <v>93</v>
      </c>
      <c r="C1042">
        <v>65</v>
      </c>
      <c r="D1042" s="68">
        <v>0</v>
      </c>
    </row>
    <row r="1043" spans="1:4">
      <c r="A1043">
        <v>2009</v>
      </c>
      <c r="B1043" t="s">
        <v>93</v>
      </c>
      <c r="C1043">
        <v>70</v>
      </c>
      <c r="D1043" s="68">
        <v>0</v>
      </c>
    </row>
    <row r="1044" spans="1:4">
      <c r="A1044">
        <v>2009</v>
      </c>
      <c r="B1044" t="s">
        <v>93</v>
      </c>
      <c r="C1044">
        <v>75</v>
      </c>
      <c r="D1044" s="68">
        <v>1</v>
      </c>
    </row>
    <row r="1045" spans="1:4">
      <c r="A1045">
        <v>2009</v>
      </c>
      <c r="B1045" t="s">
        <v>93</v>
      </c>
      <c r="C1045">
        <v>80</v>
      </c>
      <c r="D1045" s="68">
        <v>0</v>
      </c>
    </row>
    <row r="1046" spans="1:4">
      <c r="A1046">
        <v>2009</v>
      </c>
      <c r="B1046" t="s">
        <v>93</v>
      </c>
      <c r="C1046">
        <v>85</v>
      </c>
      <c r="D1046" s="68">
        <v>0</v>
      </c>
    </row>
    <row r="1047" spans="1:4">
      <c r="A1047" s="72">
        <v>2010</v>
      </c>
      <c r="B1047" s="72" t="s">
        <v>93</v>
      </c>
      <c r="C1047" s="72">
        <v>0</v>
      </c>
      <c r="D1047" s="68">
        <v>0</v>
      </c>
    </row>
    <row r="1048" spans="1:4">
      <c r="A1048" s="72">
        <v>2010</v>
      </c>
      <c r="B1048" s="72" t="s">
        <v>93</v>
      </c>
      <c r="C1048" s="72">
        <v>1</v>
      </c>
      <c r="D1048" s="68">
        <v>0</v>
      </c>
    </row>
    <row r="1049" spans="1:4">
      <c r="A1049" s="72">
        <v>2010</v>
      </c>
      <c r="B1049" s="72" t="s">
        <v>93</v>
      </c>
      <c r="C1049" s="72">
        <v>5</v>
      </c>
      <c r="D1049" s="68">
        <v>0</v>
      </c>
    </row>
    <row r="1050" spans="1:4">
      <c r="A1050" s="72">
        <v>2010</v>
      </c>
      <c r="B1050" s="72" t="s">
        <v>93</v>
      </c>
      <c r="C1050" s="72">
        <v>10</v>
      </c>
      <c r="D1050" s="68">
        <v>0</v>
      </c>
    </row>
    <row r="1051" spans="1:4">
      <c r="A1051" s="72">
        <v>2010</v>
      </c>
      <c r="B1051" s="72" t="s">
        <v>93</v>
      </c>
      <c r="C1051" s="72">
        <v>15</v>
      </c>
      <c r="D1051" s="68">
        <v>0</v>
      </c>
    </row>
    <row r="1052" spans="1:4">
      <c r="A1052" s="72">
        <v>2010</v>
      </c>
      <c r="B1052" s="72" t="s">
        <v>93</v>
      </c>
      <c r="C1052" s="72">
        <v>20</v>
      </c>
      <c r="D1052" s="68">
        <v>0</v>
      </c>
    </row>
    <row r="1053" spans="1:4">
      <c r="A1053" s="72">
        <v>2010</v>
      </c>
      <c r="B1053" s="72" t="s">
        <v>93</v>
      </c>
      <c r="C1053" s="72">
        <v>25</v>
      </c>
      <c r="D1053" s="68">
        <v>1</v>
      </c>
    </row>
    <row r="1054" spans="1:4">
      <c r="A1054" s="72">
        <v>2010</v>
      </c>
      <c r="B1054" s="72" t="s">
        <v>93</v>
      </c>
      <c r="C1054" s="72">
        <v>30</v>
      </c>
      <c r="D1054" s="68">
        <v>1</v>
      </c>
    </row>
    <row r="1055" spans="1:4">
      <c r="A1055" s="72">
        <v>2010</v>
      </c>
      <c r="B1055" s="72" t="s">
        <v>93</v>
      </c>
      <c r="C1055" s="72">
        <v>35</v>
      </c>
      <c r="D1055" s="68">
        <v>0</v>
      </c>
    </row>
    <row r="1056" spans="1:4">
      <c r="A1056" s="72">
        <v>2010</v>
      </c>
      <c r="B1056" s="72" t="s">
        <v>93</v>
      </c>
      <c r="C1056" s="72">
        <v>40</v>
      </c>
      <c r="D1056" s="68">
        <v>2</v>
      </c>
    </row>
    <row r="1057" spans="1:4">
      <c r="A1057" s="72">
        <v>2010</v>
      </c>
      <c r="B1057" s="72" t="s">
        <v>93</v>
      </c>
      <c r="C1057" s="72">
        <v>45</v>
      </c>
      <c r="D1057" s="68">
        <v>0</v>
      </c>
    </row>
    <row r="1058" spans="1:4">
      <c r="A1058" s="72">
        <v>2010</v>
      </c>
      <c r="B1058" s="72" t="s">
        <v>93</v>
      </c>
      <c r="C1058" s="72">
        <v>50</v>
      </c>
      <c r="D1058" s="68">
        <v>0</v>
      </c>
    </row>
    <row r="1059" spans="1:4">
      <c r="A1059" s="72">
        <v>2010</v>
      </c>
      <c r="B1059" s="72" t="s">
        <v>93</v>
      </c>
      <c r="C1059" s="72">
        <v>55</v>
      </c>
      <c r="D1059" s="68">
        <v>0</v>
      </c>
    </row>
    <row r="1060" spans="1:4">
      <c r="A1060" s="72">
        <v>2010</v>
      </c>
      <c r="B1060" s="72" t="s">
        <v>93</v>
      </c>
      <c r="C1060" s="72">
        <v>60</v>
      </c>
      <c r="D1060" s="68">
        <v>0</v>
      </c>
    </row>
    <row r="1061" spans="1:4">
      <c r="A1061" s="72">
        <v>2010</v>
      </c>
      <c r="B1061" s="72" t="s">
        <v>93</v>
      </c>
      <c r="C1061" s="72">
        <v>65</v>
      </c>
      <c r="D1061" s="68">
        <v>0</v>
      </c>
    </row>
    <row r="1062" spans="1:4">
      <c r="A1062" s="72">
        <v>2010</v>
      </c>
      <c r="B1062" s="72" t="s">
        <v>93</v>
      </c>
      <c r="C1062" s="72">
        <v>70</v>
      </c>
      <c r="D1062" s="68">
        <v>0</v>
      </c>
    </row>
    <row r="1063" spans="1:4">
      <c r="A1063" s="72">
        <v>2010</v>
      </c>
      <c r="B1063" s="72" t="s">
        <v>93</v>
      </c>
      <c r="C1063" s="72">
        <v>75</v>
      </c>
      <c r="D1063" s="68">
        <v>0</v>
      </c>
    </row>
    <row r="1064" spans="1:4">
      <c r="A1064" s="72">
        <v>2010</v>
      </c>
      <c r="B1064" s="72" t="s">
        <v>93</v>
      </c>
      <c r="C1064" s="72">
        <v>80</v>
      </c>
      <c r="D1064" s="68">
        <v>0</v>
      </c>
    </row>
    <row r="1065" spans="1:4">
      <c r="A1065" s="72">
        <v>2010</v>
      </c>
      <c r="B1065" s="72" t="s">
        <v>93</v>
      </c>
      <c r="C1065" s="72">
        <v>85</v>
      </c>
      <c r="D1065" s="68">
        <v>0</v>
      </c>
    </row>
    <row r="1066" spans="1:4">
      <c r="A1066">
        <v>2011</v>
      </c>
      <c r="B1066" t="s">
        <v>93</v>
      </c>
      <c r="C1066">
        <v>0</v>
      </c>
      <c r="D1066" s="68">
        <v>0</v>
      </c>
    </row>
    <row r="1067" spans="1:4">
      <c r="A1067">
        <v>2011</v>
      </c>
      <c r="B1067" t="s">
        <v>93</v>
      </c>
      <c r="C1067">
        <v>1</v>
      </c>
      <c r="D1067" s="68">
        <v>0</v>
      </c>
    </row>
    <row r="1068" spans="1:4">
      <c r="A1068">
        <v>2011</v>
      </c>
      <c r="B1068" t="s">
        <v>93</v>
      </c>
      <c r="C1068">
        <v>5</v>
      </c>
      <c r="D1068" s="68">
        <v>0</v>
      </c>
    </row>
    <row r="1069" spans="1:4">
      <c r="A1069">
        <v>2011</v>
      </c>
      <c r="B1069" t="s">
        <v>93</v>
      </c>
      <c r="C1069">
        <v>10</v>
      </c>
      <c r="D1069" s="68">
        <v>1</v>
      </c>
    </row>
    <row r="1070" spans="1:4">
      <c r="A1070">
        <v>2011</v>
      </c>
      <c r="B1070" t="s">
        <v>93</v>
      </c>
      <c r="C1070">
        <v>15</v>
      </c>
      <c r="D1070" s="68">
        <v>2</v>
      </c>
    </row>
    <row r="1071" spans="1:4">
      <c r="A1071">
        <v>2011</v>
      </c>
      <c r="B1071" t="s">
        <v>93</v>
      </c>
      <c r="C1071">
        <v>20</v>
      </c>
      <c r="D1071" s="68">
        <v>0</v>
      </c>
    </row>
    <row r="1072" spans="1:4">
      <c r="A1072">
        <v>2011</v>
      </c>
      <c r="B1072" t="s">
        <v>93</v>
      </c>
      <c r="C1072">
        <v>25</v>
      </c>
      <c r="D1072" s="68">
        <v>2</v>
      </c>
    </row>
    <row r="1073" spans="1:4">
      <c r="A1073">
        <v>2011</v>
      </c>
      <c r="B1073" t="s">
        <v>93</v>
      </c>
      <c r="C1073">
        <v>30</v>
      </c>
      <c r="D1073" s="68">
        <v>5</v>
      </c>
    </row>
    <row r="1074" spans="1:4">
      <c r="A1074">
        <v>2011</v>
      </c>
      <c r="B1074" t="s">
        <v>93</v>
      </c>
      <c r="C1074">
        <v>35</v>
      </c>
      <c r="D1074" s="68">
        <v>3</v>
      </c>
    </row>
    <row r="1075" spans="1:4">
      <c r="A1075">
        <v>2011</v>
      </c>
      <c r="B1075" t="s">
        <v>93</v>
      </c>
      <c r="C1075">
        <v>40</v>
      </c>
      <c r="D1075" s="68">
        <v>0</v>
      </c>
    </row>
    <row r="1076" spans="1:4">
      <c r="A1076">
        <v>2011</v>
      </c>
      <c r="B1076" t="s">
        <v>93</v>
      </c>
      <c r="C1076">
        <v>45</v>
      </c>
      <c r="D1076" s="68">
        <v>0</v>
      </c>
    </row>
    <row r="1077" spans="1:4">
      <c r="A1077">
        <v>2011</v>
      </c>
      <c r="B1077" t="s">
        <v>93</v>
      </c>
      <c r="C1077">
        <v>50</v>
      </c>
      <c r="D1077" s="68">
        <v>2</v>
      </c>
    </row>
    <row r="1078" spans="1:4">
      <c r="A1078">
        <v>2011</v>
      </c>
      <c r="B1078" t="s">
        <v>93</v>
      </c>
      <c r="C1078">
        <v>55</v>
      </c>
      <c r="D1078" s="68">
        <v>0</v>
      </c>
    </row>
    <row r="1079" spans="1:4">
      <c r="A1079">
        <v>2011</v>
      </c>
      <c r="B1079" t="s">
        <v>93</v>
      </c>
      <c r="C1079">
        <v>60</v>
      </c>
      <c r="D1079" s="68">
        <v>0</v>
      </c>
    </row>
    <row r="1080" spans="1:4">
      <c r="A1080">
        <v>2011</v>
      </c>
      <c r="B1080" t="s">
        <v>93</v>
      </c>
      <c r="C1080">
        <v>65</v>
      </c>
      <c r="D1080" s="68">
        <v>0</v>
      </c>
    </row>
    <row r="1081" spans="1:4">
      <c r="A1081">
        <v>2011</v>
      </c>
      <c r="B1081" t="s">
        <v>93</v>
      </c>
      <c r="C1081">
        <v>70</v>
      </c>
      <c r="D1081" s="68">
        <v>0</v>
      </c>
    </row>
    <row r="1082" spans="1:4">
      <c r="A1082">
        <v>2011</v>
      </c>
      <c r="B1082" t="s">
        <v>93</v>
      </c>
      <c r="C1082">
        <v>75</v>
      </c>
      <c r="D1082" s="68">
        <v>0</v>
      </c>
    </row>
    <row r="1083" spans="1:4">
      <c r="A1083">
        <v>2011</v>
      </c>
      <c r="B1083" t="s">
        <v>93</v>
      </c>
      <c r="C1083">
        <v>80</v>
      </c>
      <c r="D1083" s="68">
        <v>1</v>
      </c>
    </row>
    <row r="1084" spans="1:4">
      <c r="A1084">
        <v>2011</v>
      </c>
      <c r="B1084" t="s">
        <v>93</v>
      </c>
      <c r="C1084">
        <v>85</v>
      </c>
      <c r="D1084" s="68">
        <v>0</v>
      </c>
    </row>
    <row r="1085" spans="1:4">
      <c r="A1085">
        <v>2012</v>
      </c>
      <c r="B1085" t="s">
        <v>93</v>
      </c>
      <c r="C1085">
        <v>0</v>
      </c>
      <c r="D1085" s="68">
        <v>0</v>
      </c>
    </row>
    <row r="1086" spans="1:4">
      <c r="A1086">
        <v>2012</v>
      </c>
      <c r="B1086" t="s">
        <v>93</v>
      </c>
      <c r="C1086">
        <v>1</v>
      </c>
      <c r="D1086" s="68">
        <v>0</v>
      </c>
    </row>
    <row r="1087" spans="1:4">
      <c r="A1087">
        <v>2012</v>
      </c>
      <c r="B1087" t="s">
        <v>93</v>
      </c>
      <c r="C1087">
        <v>5</v>
      </c>
      <c r="D1087" s="68">
        <v>1</v>
      </c>
    </row>
    <row r="1088" spans="1:4">
      <c r="A1088">
        <v>2012</v>
      </c>
      <c r="B1088" t="s">
        <v>93</v>
      </c>
      <c r="C1088">
        <v>10</v>
      </c>
      <c r="D1088" s="68">
        <v>1</v>
      </c>
    </row>
    <row r="1089" spans="1:4">
      <c r="A1089">
        <v>2012</v>
      </c>
      <c r="B1089" t="s">
        <v>93</v>
      </c>
      <c r="C1089">
        <v>15</v>
      </c>
      <c r="D1089" s="68">
        <v>0</v>
      </c>
    </row>
    <row r="1090" spans="1:4">
      <c r="A1090">
        <v>2012</v>
      </c>
      <c r="B1090" t="s">
        <v>93</v>
      </c>
      <c r="C1090">
        <v>20</v>
      </c>
      <c r="D1090" s="68">
        <v>8</v>
      </c>
    </row>
    <row r="1091" spans="1:4">
      <c r="A1091">
        <v>2012</v>
      </c>
      <c r="B1091" t="s">
        <v>93</v>
      </c>
      <c r="C1091">
        <v>25</v>
      </c>
      <c r="D1091" s="68">
        <v>2</v>
      </c>
    </row>
    <row r="1092" spans="1:4">
      <c r="A1092">
        <v>2012</v>
      </c>
      <c r="B1092" t="s">
        <v>93</v>
      </c>
      <c r="C1092">
        <v>30</v>
      </c>
      <c r="D1092" s="68">
        <v>3</v>
      </c>
    </row>
    <row r="1093" spans="1:4">
      <c r="A1093">
        <v>2012</v>
      </c>
      <c r="B1093" t="s">
        <v>93</v>
      </c>
      <c r="C1093">
        <v>35</v>
      </c>
      <c r="D1093" s="68">
        <v>0</v>
      </c>
    </row>
    <row r="1094" spans="1:4">
      <c r="A1094">
        <v>2012</v>
      </c>
      <c r="B1094" t="s">
        <v>93</v>
      </c>
      <c r="C1094">
        <v>40</v>
      </c>
      <c r="D1094" s="68">
        <v>1</v>
      </c>
    </row>
    <row r="1095" spans="1:4">
      <c r="A1095">
        <v>2012</v>
      </c>
      <c r="B1095" t="s">
        <v>93</v>
      </c>
      <c r="C1095">
        <v>45</v>
      </c>
      <c r="D1095" s="68">
        <v>3</v>
      </c>
    </row>
    <row r="1096" spans="1:4">
      <c r="A1096">
        <v>2012</v>
      </c>
      <c r="B1096" t="s">
        <v>93</v>
      </c>
      <c r="C1096">
        <v>50</v>
      </c>
      <c r="D1096" s="68">
        <v>0</v>
      </c>
    </row>
    <row r="1097" spans="1:4">
      <c r="A1097">
        <v>2012</v>
      </c>
      <c r="B1097" t="s">
        <v>93</v>
      </c>
      <c r="C1097">
        <v>55</v>
      </c>
      <c r="D1097" s="68">
        <v>1</v>
      </c>
    </row>
    <row r="1098" spans="1:4">
      <c r="A1098">
        <v>2012</v>
      </c>
      <c r="B1098" t="s">
        <v>93</v>
      </c>
      <c r="C1098">
        <v>60</v>
      </c>
      <c r="D1098" s="68">
        <v>0</v>
      </c>
    </row>
    <row r="1099" spans="1:4">
      <c r="A1099">
        <v>2012</v>
      </c>
      <c r="B1099" t="s">
        <v>93</v>
      </c>
      <c r="C1099">
        <v>65</v>
      </c>
      <c r="D1099" s="68">
        <v>0</v>
      </c>
    </row>
    <row r="1100" spans="1:4">
      <c r="A1100">
        <v>2012</v>
      </c>
      <c r="B1100" t="s">
        <v>93</v>
      </c>
      <c r="C1100">
        <v>70</v>
      </c>
      <c r="D1100" s="68">
        <v>0</v>
      </c>
    </row>
    <row r="1101" spans="1:4">
      <c r="A1101">
        <v>2012</v>
      </c>
      <c r="B1101" t="s">
        <v>93</v>
      </c>
      <c r="C1101">
        <v>75</v>
      </c>
      <c r="D1101" s="68">
        <v>0</v>
      </c>
    </row>
    <row r="1102" spans="1:4">
      <c r="A1102">
        <v>2012</v>
      </c>
      <c r="B1102" t="s">
        <v>93</v>
      </c>
      <c r="C1102">
        <v>80</v>
      </c>
      <c r="D1102" s="68">
        <v>0</v>
      </c>
    </row>
    <row r="1103" spans="1:4">
      <c r="A1103">
        <v>2012</v>
      </c>
      <c r="B1103" t="s">
        <v>93</v>
      </c>
      <c r="C1103">
        <v>85</v>
      </c>
      <c r="D1103" s="68">
        <v>0</v>
      </c>
    </row>
    <row r="1104" spans="1:4">
      <c r="A1104">
        <v>2013</v>
      </c>
      <c r="B1104" t="s">
        <v>93</v>
      </c>
      <c r="C1104">
        <v>0</v>
      </c>
      <c r="D1104" s="68">
        <v>0</v>
      </c>
    </row>
    <row r="1105" spans="1:4">
      <c r="A1105">
        <v>2013</v>
      </c>
      <c r="B1105" t="s">
        <v>93</v>
      </c>
      <c r="C1105">
        <v>1</v>
      </c>
      <c r="D1105" s="68">
        <v>0</v>
      </c>
    </row>
    <row r="1106" spans="1:4">
      <c r="A1106">
        <v>2013</v>
      </c>
      <c r="B1106" t="s">
        <v>93</v>
      </c>
      <c r="C1106">
        <v>5</v>
      </c>
      <c r="D1106" s="68">
        <v>0</v>
      </c>
    </row>
    <row r="1107" spans="1:4">
      <c r="A1107">
        <v>2013</v>
      </c>
      <c r="B1107" t="s">
        <v>93</v>
      </c>
      <c r="C1107">
        <v>10</v>
      </c>
      <c r="D1107" s="68">
        <v>1</v>
      </c>
    </row>
    <row r="1108" spans="1:4">
      <c r="A1108">
        <v>2013</v>
      </c>
      <c r="B1108" t="s">
        <v>93</v>
      </c>
      <c r="C1108">
        <v>15</v>
      </c>
      <c r="D1108" s="68">
        <v>2</v>
      </c>
    </row>
    <row r="1109" spans="1:4">
      <c r="A1109">
        <v>2013</v>
      </c>
      <c r="B1109" t="s">
        <v>93</v>
      </c>
      <c r="C1109">
        <v>20</v>
      </c>
      <c r="D1109" s="68">
        <v>1</v>
      </c>
    </row>
    <row r="1110" spans="1:4">
      <c r="A1110">
        <v>2013</v>
      </c>
      <c r="B1110" t="s">
        <v>93</v>
      </c>
      <c r="C1110">
        <v>25</v>
      </c>
      <c r="D1110" s="68">
        <v>4</v>
      </c>
    </row>
    <row r="1111" spans="1:4">
      <c r="A1111">
        <v>2013</v>
      </c>
      <c r="B1111" t="s">
        <v>93</v>
      </c>
      <c r="C1111">
        <v>30</v>
      </c>
      <c r="D1111" s="68">
        <v>2</v>
      </c>
    </row>
    <row r="1112" spans="1:4">
      <c r="A1112">
        <v>2013</v>
      </c>
      <c r="B1112" t="s">
        <v>93</v>
      </c>
      <c r="C1112">
        <v>35</v>
      </c>
      <c r="D1112" s="68">
        <v>4</v>
      </c>
    </row>
    <row r="1113" spans="1:4">
      <c r="A1113">
        <v>2013</v>
      </c>
      <c r="B1113" t="s">
        <v>93</v>
      </c>
      <c r="C1113">
        <v>40</v>
      </c>
      <c r="D1113" s="68">
        <v>0</v>
      </c>
    </row>
    <row r="1114" spans="1:4">
      <c r="A1114">
        <v>2013</v>
      </c>
      <c r="B1114" t="s">
        <v>93</v>
      </c>
      <c r="C1114">
        <v>45</v>
      </c>
      <c r="D1114" s="68">
        <v>1</v>
      </c>
    </row>
    <row r="1115" spans="1:4">
      <c r="A1115">
        <v>2013</v>
      </c>
      <c r="B1115" t="s">
        <v>93</v>
      </c>
      <c r="C1115">
        <v>50</v>
      </c>
      <c r="D1115" s="68">
        <v>1</v>
      </c>
    </row>
    <row r="1116" spans="1:4">
      <c r="A1116">
        <v>2013</v>
      </c>
      <c r="B1116" t="s">
        <v>93</v>
      </c>
      <c r="C1116">
        <v>55</v>
      </c>
      <c r="D1116" s="68">
        <v>1</v>
      </c>
    </row>
    <row r="1117" spans="1:4">
      <c r="A1117">
        <v>2013</v>
      </c>
      <c r="B1117" t="s">
        <v>93</v>
      </c>
      <c r="C1117">
        <v>60</v>
      </c>
      <c r="D1117" s="68">
        <v>0</v>
      </c>
    </row>
    <row r="1118" spans="1:4">
      <c r="A1118">
        <v>2013</v>
      </c>
      <c r="B1118" t="s">
        <v>93</v>
      </c>
      <c r="C1118">
        <v>65</v>
      </c>
      <c r="D1118" s="68">
        <v>0</v>
      </c>
    </row>
    <row r="1119" spans="1:4">
      <c r="A1119">
        <v>2013</v>
      </c>
      <c r="B1119" t="s">
        <v>93</v>
      </c>
      <c r="C1119">
        <v>70</v>
      </c>
      <c r="D1119" s="68">
        <v>0</v>
      </c>
    </row>
    <row r="1120" spans="1:4">
      <c r="A1120">
        <v>2013</v>
      </c>
      <c r="B1120" t="s">
        <v>93</v>
      </c>
      <c r="C1120">
        <v>75</v>
      </c>
      <c r="D1120" s="68">
        <v>0</v>
      </c>
    </row>
    <row r="1121" spans="1:4">
      <c r="A1121">
        <v>2013</v>
      </c>
      <c r="B1121" t="s">
        <v>93</v>
      </c>
      <c r="C1121">
        <v>80</v>
      </c>
      <c r="D1121" s="68">
        <v>0</v>
      </c>
    </row>
    <row r="1122" spans="1:4">
      <c r="A1122">
        <v>2013</v>
      </c>
      <c r="B1122" t="s">
        <v>93</v>
      </c>
      <c r="C1122">
        <v>85</v>
      </c>
      <c r="D1122" s="68">
        <v>0</v>
      </c>
    </row>
    <row r="1123" spans="1:4">
      <c r="A1123">
        <v>2014</v>
      </c>
      <c r="B1123" t="s">
        <v>93</v>
      </c>
      <c r="C1123">
        <v>0</v>
      </c>
      <c r="D1123" s="68">
        <v>0</v>
      </c>
    </row>
    <row r="1124" spans="1:4">
      <c r="A1124">
        <v>2014</v>
      </c>
      <c r="B1124" t="s">
        <v>93</v>
      </c>
      <c r="C1124">
        <v>1</v>
      </c>
      <c r="D1124" s="68">
        <v>0</v>
      </c>
    </row>
    <row r="1125" spans="1:4">
      <c r="A1125">
        <v>2014</v>
      </c>
      <c r="B1125" t="s">
        <v>93</v>
      </c>
      <c r="C1125">
        <v>5</v>
      </c>
      <c r="D1125" s="68">
        <v>0</v>
      </c>
    </row>
    <row r="1126" spans="1:4">
      <c r="A1126">
        <v>2014</v>
      </c>
      <c r="B1126" t="s">
        <v>93</v>
      </c>
      <c r="C1126">
        <v>10</v>
      </c>
      <c r="D1126" s="68">
        <v>0</v>
      </c>
    </row>
    <row r="1127" spans="1:4">
      <c r="A1127">
        <v>2014</v>
      </c>
      <c r="B1127" t="s">
        <v>93</v>
      </c>
      <c r="C1127">
        <v>15</v>
      </c>
      <c r="D1127" s="68">
        <v>4</v>
      </c>
    </row>
    <row r="1128" spans="1:4">
      <c r="A1128">
        <v>2014</v>
      </c>
      <c r="B1128" t="s">
        <v>93</v>
      </c>
      <c r="C1128">
        <v>20</v>
      </c>
      <c r="D1128" s="68">
        <v>5</v>
      </c>
    </row>
    <row r="1129" spans="1:4">
      <c r="A1129">
        <v>2014</v>
      </c>
      <c r="B1129" t="s">
        <v>93</v>
      </c>
      <c r="C1129">
        <v>25</v>
      </c>
      <c r="D1129" s="68">
        <v>2</v>
      </c>
    </row>
    <row r="1130" spans="1:4">
      <c r="A1130">
        <v>2014</v>
      </c>
      <c r="B1130" t="s">
        <v>93</v>
      </c>
      <c r="C1130">
        <v>30</v>
      </c>
      <c r="D1130" s="68">
        <v>2</v>
      </c>
    </row>
    <row r="1131" spans="1:4">
      <c r="A1131">
        <v>2014</v>
      </c>
      <c r="B1131" t="s">
        <v>93</v>
      </c>
      <c r="C1131">
        <v>35</v>
      </c>
      <c r="D1131" s="68">
        <v>1</v>
      </c>
    </row>
    <row r="1132" spans="1:4">
      <c r="A1132">
        <v>2014</v>
      </c>
      <c r="B1132" t="s">
        <v>93</v>
      </c>
      <c r="C1132">
        <v>40</v>
      </c>
      <c r="D1132" s="68">
        <v>0</v>
      </c>
    </row>
    <row r="1133" spans="1:4">
      <c r="A1133">
        <v>2014</v>
      </c>
      <c r="B1133" t="s">
        <v>93</v>
      </c>
      <c r="C1133">
        <v>45</v>
      </c>
      <c r="D1133" s="68">
        <v>0</v>
      </c>
    </row>
    <row r="1134" spans="1:4">
      <c r="A1134">
        <v>2014</v>
      </c>
      <c r="B1134" t="s">
        <v>93</v>
      </c>
      <c r="C1134">
        <v>50</v>
      </c>
      <c r="D1134" s="68">
        <v>2</v>
      </c>
    </row>
    <row r="1135" spans="1:4">
      <c r="A1135">
        <v>2014</v>
      </c>
      <c r="B1135" t="s">
        <v>93</v>
      </c>
      <c r="C1135">
        <v>55</v>
      </c>
      <c r="D1135" s="68">
        <v>0</v>
      </c>
    </row>
    <row r="1136" spans="1:4">
      <c r="A1136">
        <v>2014</v>
      </c>
      <c r="B1136" t="s">
        <v>93</v>
      </c>
      <c r="C1136">
        <v>60</v>
      </c>
      <c r="D1136" s="68">
        <v>1</v>
      </c>
    </row>
    <row r="1137" spans="1:4">
      <c r="A1137">
        <v>2014</v>
      </c>
      <c r="B1137" t="s">
        <v>93</v>
      </c>
      <c r="C1137">
        <v>65</v>
      </c>
      <c r="D1137" s="68">
        <v>0</v>
      </c>
    </row>
    <row r="1138" spans="1:4">
      <c r="A1138">
        <v>2014</v>
      </c>
      <c r="B1138" t="s">
        <v>93</v>
      </c>
      <c r="C1138">
        <v>70</v>
      </c>
      <c r="D1138" s="68">
        <v>0</v>
      </c>
    </row>
    <row r="1139" spans="1:4">
      <c r="A1139">
        <v>2014</v>
      </c>
      <c r="B1139" t="s">
        <v>93</v>
      </c>
      <c r="C1139">
        <v>75</v>
      </c>
      <c r="D1139" s="68">
        <v>1</v>
      </c>
    </row>
    <row r="1140" spans="1:4">
      <c r="A1140">
        <v>2014</v>
      </c>
      <c r="B1140" t="s">
        <v>93</v>
      </c>
      <c r="C1140">
        <v>80</v>
      </c>
      <c r="D1140" s="68">
        <v>0</v>
      </c>
    </row>
    <row r="1141" spans="1:4">
      <c r="A1141">
        <v>2014</v>
      </c>
      <c r="B1141" t="s">
        <v>93</v>
      </c>
      <c r="C1141">
        <v>85</v>
      </c>
      <c r="D1141" s="68">
        <v>0</v>
      </c>
    </row>
    <row r="1142" spans="1:4">
      <c r="A1142">
        <v>2015</v>
      </c>
      <c r="B1142" t="s">
        <v>93</v>
      </c>
      <c r="C1142">
        <v>0</v>
      </c>
      <c r="D1142" s="68">
        <v>0</v>
      </c>
    </row>
    <row r="1143" spans="1:4">
      <c r="A1143">
        <v>2015</v>
      </c>
      <c r="B1143" t="s">
        <v>93</v>
      </c>
      <c r="C1143">
        <v>1</v>
      </c>
      <c r="D1143" s="68">
        <v>1</v>
      </c>
    </row>
    <row r="1144" spans="1:4">
      <c r="A1144">
        <v>2015</v>
      </c>
      <c r="B1144" t="s">
        <v>93</v>
      </c>
      <c r="C1144">
        <v>5</v>
      </c>
      <c r="D1144" s="68">
        <v>0</v>
      </c>
    </row>
    <row r="1145" spans="1:4">
      <c r="A1145">
        <v>2015</v>
      </c>
      <c r="B1145" t="s">
        <v>93</v>
      </c>
      <c r="C1145">
        <v>10</v>
      </c>
      <c r="D1145" s="68">
        <v>0</v>
      </c>
    </row>
    <row r="1146" spans="1:4">
      <c r="A1146">
        <v>2015</v>
      </c>
      <c r="B1146" t="s">
        <v>93</v>
      </c>
      <c r="C1146">
        <v>15</v>
      </c>
      <c r="D1146" s="68">
        <v>2</v>
      </c>
    </row>
    <row r="1147" spans="1:4">
      <c r="A1147">
        <v>2015</v>
      </c>
      <c r="B1147" t="s">
        <v>93</v>
      </c>
      <c r="C1147">
        <v>20</v>
      </c>
      <c r="D1147" s="68">
        <v>7</v>
      </c>
    </row>
    <row r="1148" spans="1:4">
      <c r="A1148">
        <v>2015</v>
      </c>
      <c r="B1148" t="s">
        <v>93</v>
      </c>
      <c r="C1148">
        <v>25</v>
      </c>
      <c r="D1148" s="68">
        <v>6</v>
      </c>
    </row>
    <row r="1149" spans="1:4">
      <c r="A1149">
        <v>2015</v>
      </c>
      <c r="B1149" t="s">
        <v>93</v>
      </c>
      <c r="C1149">
        <v>30</v>
      </c>
      <c r="D1149" s="68">
        <v>2</v>
      </c>
    </row>
    <row r="1150" spans="1:4">
      <c r="A1150">
        <v>2015</v>
      </c>
      <c r="B1150" t="s">
        <v>93</v>
      </c>
      <c r="C1150">
        <v>35</v>
      </c>
      <c r="D1150" s="68">
        <v>5</v>
      </c>
    </row>
    <row r="1151" spans="1:4">
      <c r="A1151">
        <v>2015</v>
      </c>
      <c r="B1151" t="s">
        <v>93</v>
      </c>
      <c r="C1151">
        <v>40</v>
      </c>
      <c r="D1151" s="68">
        <v>1</v>
      </c>
    </row>
    <row r="1152" spans="1:4">
      <c r="A1152">
        <v>2015</v>
      </c>
      <c r="B1152" t="s">
        <v>93</v>
      </c>
      <c r="C1152">
        <v>45</v>
      </c>
      <c r="D1152" s="68">
        <v>1</v>
      </c>
    </row>
    <row r="1153" spans="1:4">
      <c r="A1153">
        <v>2015</v>
      </c>
      <c r="B1153" t="s">
        <v>93</v>
      </c>
      <c r="C1153">
        <v>50</v>
      </c>
      <c r="D1153" s="68">
        <v>0</v>
      </c>
    </row>
    <row r="1154" spans="1:4">
      <c r="A1154">
        <v>2015</v>
      </c>
      <c r="B1154" t="s">
        <v>93</v>
      </c>
      <c r="C1154">
        <v>55</v>
      </c>
      <c r="D1154" s="68">
        <v>0</v>
      </c>
    </row>
    <row r="1155" spans="1:4">
      <c r="A1155">
        <v>2015</v>
      </c>
      <c r="B1155" t="s">
        <v>93</v>
      </c>
      <c r="C1155">
        <v>60</v>
      </c>
      <c r="D1155" s="68">
        <v>0</v>
      </c>
    </row>
    <row r="1156" spans="1:4">
      <c r="A1156">
        <v>2015</v>
      </c>
      <c r="B1156" t="s">
        <v>93</v>
      </c>
      <c r="C1156">
        <v>65</v>
      </c>
      <c r="D1156" s="68">
        <v>0</v>
      </c>
    </row>
    <row r="1157" spans="1:4">
      <c r="A1157">
        <v>2015</v>
      </c>
      <c r="B1157" t="s">
        <v>93</v>
      </c>
      <c r="C1157">
        <v>70</v>
      </c>
      <c r="D1157" s="68">
        <v>0</v>
      </c>
    </row>
    <row r="1158" spans="1:4">
      <c r="A1158">
        <v>2015</v>
      </c>
      <c r="B1158" t="s">
        <v>93</v>
      </c>
      <c r="C1158">
        <v>75</v>
      </c>
      <c r="D1158" s="68">
        <v>0</v>
      </c>
    </row>
    <row r="1159" spans="1:4">
      <c r="A1159">
        <v>2015</v>
      </c>
      <c r="B1159" t="s">
        <v>93</v>
      </c>
      <c r="C1159">
        <v>80</v>
      </c>
      <c r="D1159" s="68">
        <v>0</v>
      </c>
    </row>
    <row r="1160" spans="1:4">
      <c r="A1160">
        <v>2015</v>
      </c>
      <c r="B1160" t="s">
        <v>93</v>
      </c>
      <c r="C1160">
        <v>85</v>
      </c>
      <c r="D1160" s="68">
        <v>0</v>
      </c>
    </row>
    <row r="1161" spans="1:4">
      <c r="A1161">
        <v>2016</v>
      </c>
      <c r="B1161" t="s">
        <v>93</v>
      </c>
      <c r="C1161">
        <v>0</v>
      </c>
      <c r="D1161" s="68">
        <v>0</v>
      </c>
    </row>
    <row r="1162" spans="1:4">
      <c r="A1162">
        <v>2016</v>
      </c>
      <c r="B1162" t="s">
        <v>93</v>
      </c>
      <c r="C1162">
        <v>1</v>
      </c>
      <c r="D1162" s="68">
        <v>0</v>
      </c>
    </row>
    <row r="1163" spans="1:4">
      <c r="A1163">
        <v>2016</v>
      </c>
      <c r="B1163" t="s">
        <v>93</v>
      </c>
      <c r="C1163">
        <v>5</v>
      </c>
      <c r="D1163" s="68">
        <v>1</v>
      </c>
    </row>
    <row r="1164" spans="1:4">
      <c r="A1164">
        <v>2016</v>
      </c>
      <c r="B1164" t="s">
        <v>93</v>
      </c>
      <c r="C1164">
        <v>10</v>
      </c>
      <c r="D1164" s="68">
        <v>0</v>
      </c>
    </row>
    <row r="1165" spans="1:4">
      <c r="A1165">
        <v>2016</v>
      </c>
      <c r="B1165" t="s">
        <v>93</v>
      </c>
      <c r="C1165">
        <v>15</v>
      </c>
      <c r="D1165" s="68">
        <v>10</v>
      </c>
    </row>
    <row r="1166" spans="1:4">
      <c r="A1166">
        <v>2016</v>
      </c>
      <c r="B1166" t="s">
        <v>93</v>
      </c>
      <c r="C1166">
        <v>20</v>
      </c>
      <c r="D1166" s="68">
        <v>10</v>
      </c>
    </row>
    <row r="1167" spans="1:4">
      <c r="A1167">
        <v>2016</v>
      </c>
      <c r="B1167" t="s">
        <v>93</v>
      </c>
      <c r="C1167">
        <v>25</v>
      </c>
      <c r="D1167" s="68">
        <v>13</v>
      </c>
    </row>
    <row r="1168" spans="1:4">
      <c r="A1168">
        <v>2016</v>
      </c>
      <c r="B1168" t="s">
        <v>93</v>
      </c>
      <c r="C1168">
        <v>30</v>
      </c>
      <c r="D1168" s="68">
        <v>4</v>
      </c>
    </row>
    <row r="1169" spans="1:4">
      <c r="A1169">
        <v>2016</v>
      </c>
      <c r="B1169" t="s">
        <v>93</v>
      </c>
      <c r="C1169">
        <v>35</v>
      </c>
      <c r="D1169" s="68">
        <v>9</v>
      </c>
    </row>
    <row r="1170" spans="1:4">
      <c r="A1170">
        <v>2016</v>
      </c>
      <c r="B1170" t="s">
        <v>93</v>
      </c>
      <c r="C1170">
        <v>40</v>
      </c>
      <c r="D1170" s="68">
        <v>3</v>
      </c>
    </row>
    <row r="1171" spans="1:4">
      <c r="A1171">
        <v>2016</v>
      </c>
      <c r="B1171" t="s">
        <v>93</v>
      </c>
      <c r="C1171">
        <v>45</v>
      </c>
      <c r="D1171" s="68">
        <v>0</v>
      </c>
    </row>
    <row r="1172" spans="1:4">
      <c r="A1172">
        <v>2016</v>
      </c>
      <c r="B1172" t="s">
        <v>93</v>
      </c>
      <c r="C1172">
        <v>50</v>
      </c>
      <c r="D1172" s="68">
        <v>1</v>
      </c>
    </row>
    <row r="1173" spans="1:4">
      <c r="A1173">
        <v>2016</v>
      </c>
      <c r="B1173" t="s">
        <v>93</v>
      </c>
      <c r="C1173">
        <v>55</v>
      </c>
      <c r="D1173" s="68">
        <v>1</v>
      </c>
    </row>
    <row r="1174" spans="1:4">
      <c r="A1174">
        <v>2016</v>
      </c>
      <c r="B1174" t="s">
        <v>93</v>
      </c>
      <c r="C1174">
        <v>60</v>
      </c>
      <c r="D1174" s="68">
        <v>1</v>
      </c>
    </row>
    <row r="1175" spans="1:4">
      <c r="A1175">
        <v>2016</v>
      </c>
      <c r="B1175" t="s">
        <v>93</v>
      </c>
      <c r="C1175">
        <v>65</v>
      </c>
      <c r="D1175" s="68">
        <v>0</v>
      </c>
    </row>
    <row r="1176" spans="1:4">
      <c r="A1176">
        <v>2016</v>
      </c>
      <c r="B1176" t="s">
        <v>93</v>
      </c>
      <c r="C1176">
        <v>70</v>
      </c>
      <c r="D1176" s="68">
        <v>0</v>
      </c>
    </row>
    <row r="1177" spans="1:4">
      <c r="A1177">
        <v>2016</v>
      </c>
      <c r="B1177" t="s">
        <v>93</v>
      </c>
      <c r="C1177">
        <v>75</v>
      </c>
      <c r="D1177" s="68">
        <v>0</v>
      </c>
    </row>
    <row r="1178" spans="1:4">
      <c r="A1178">
        <v>2016</v>
      </c>
      <c r="B1178" t="s">
        <v>93</v>
      </c>
      <c r="C1178">
        <v>80</v>
      </c>
      <c r="D1178" s="68">
        <v>0</v>
      </c>
    </row>
    <row r="1179" spans="1:4">
      <c r="A1179">
        <v>2016</v>
      </c>
      <c r="B1179" t="s">
        <v>93</v>
      </c>
      <c r="C1179">
        <v>85</v>
      </c>
      <c r="D1179" s="68">
        <v>0</v>
      </c>
    </row>
    <row r="1180" spans="1:4">
      <c r="A1180">
        <v>2017</v>
      </c>
      <c r="B1180" t="s">
        <v>93</v>
      </c>
      <c r="C1180">
        <v>0</v>
      </c>
      <c r="D1180" s="68">
        <v>0</v>
      </c>
    </row>
    <row r="1181" spans="1:4">
      <c r="A1181">
        <v>2017</v>
      </c>
      <c r="B1181" t="s">
        <v>93</v>
      </c>
      <c r="C1181">
        <v>1</v>
      </c>
      <c r="D1181" s="68">
        <v>0</v>
      </c>
    </row>
    <row r="1182" spans="1:4">
      <c r="A1182">
        <v>2017</v>
      </c>
      <c r="B1182" t="s">
        <v>93</v>
      </c>
      <c r="C1182">
        <v>5</v>
      </c>
      <c r="D1182" s="68">
        <v>0</v>
      </c>
    </row>
    <row r="1183" spans="1:4">
      <c r="A1183">
        <v>2017</v>
      </c>
      <c r="B1183" t="s">
        <v>93</v>
      </c>
      <c r="C1183">
        <v>10</v>
      </c>
      <c r="D1183" s="68">
        <v>2</v>
      </c>
    </row>
    <row r="1184" spans="1:4">
      <c r="A1184">
        <v>2017</v>
      </c>
      <c r="B1184" t="s">
        <v>93</v>
      </c>
      <c r="C1184">
        <v>15</v>
      </c>
      <c r="D1184" s="68">
        <v>10</v>
      </c>
    </row>
    <row r="1185" spans="1:4">
      <c r="A1185">
        <v>2017</v>
      </c>
      <c r="B1185" t="s">
        <v>93</v>
      </c>
      <c r="C1185">
        <v>20</v>
      </c>
      <c r="D1185" s="68">
        <v>16</v>
      </c>
    </row>
    <row r="1186" spans="1:4">
      <c r="A1186">
        <v>2017</v>
      </c>
      <c r="B1186" t="s">
        <v>93</v>
      </c>
      <c r="C1186">
        <v>25</v>
      </c>
      <c r="D1186" s="68">
        <v>11</v>
      </c>
    </row>
    <row r="1187" spans="1:4">
      <c r="A1187">
        <v>2017</v>
      </c>
      <c r="B1187" t="s">
        <v>93</v>
      </c>
      <c r="C1187">
        <v>30</v>
      </c>
      <c r="D1187" s="68">
        <v>5</v>
      </c>
    </row>
    <row r="1188" spans="1:4">
      <c r="A1188">
        <v>2017</v>
      </c>
      <c r="B1188" t="s">
        <v>93</v>
      </c>
      <c r="C1188">
        <v>35</v>
      </c>
      <c r="D1188" s="68">
        <v>11</v>
      </c>
    </row>
    <row r="1189" spans="1:4">
      <c r="A1189">
        <v>2017</v>
      </c>
      <c r="B1189" t="s">
        <v>93</v>
      </c>
      <c r="C1189">
        <v>40</v>
      </c>
      <c r="D1189" s="68">
        <v>2</v>
      </c>
    </row>
    <row r="1190" spans="1:4">
      <c r="A1190">
        <v>2017</v>
      </c>
      <c r="B1190" t="s">
        <v>93</v>
      </c>
      <c r="C1190">
        <v>45</v>
      </c>
      <c r="D1190" s="68">
        <v>3</v>
      </c>
    </row>
    <row r="1191" spans="1:4">
      <c r="A1191">
        <v>2017</v>
      </c>
      <c r="B1191" t="s">
        <v>93</v>
      </c>
      <c r="C1191">
        <v>50</v>
      </c>
      <c r="D1191" s="68">
        <v>4</v>
      </c>
    </row>
    <row r="1192" spans="1:4">
      <c r="A1192">
        <v>2017</v>
      </c>
      <c r="B1192" t="s">
        <v>93</v>
      </c>
      <c r="C1192">
        <v>55</v>
      </c>
      <c r="D1192" s="68">
        <v>2</v>
      </c>
    </row>
    <row r="1193" spans="1:4">
      <c r="A1193">
        <v>2017</v>
      </c>
      <c r="B1193" t="s">
        <v>93</v>
      </c>
      <c r="C1193">
        <v>60</v>
      </c>
      <c r="D1193" s="68">
        <v>3</v>
      </c>
    </row>
    <row r="1194" spans="1:4">
      <c r="A1194">
        <v>2017</v>
      </c>
      <c r="B1194" t="s">
        <v>93</v>
      </c>
      <c r="C1194">
        <v>65</v>
      </c>
      <c r="D1194" s="68">
        <v>0</v>
      </c>
    </row>
    <row r="1195" spans="1:4">
      <c r="A1195">
        <v>2017</v>
      </c>
      <c r="B1195" t="s">
        <v>93</v>
      </c>
      <c r="C1195">
        <v>70</v>
      </c>
      <c r="D1195" s="68">
        <v>0</v>
      </c>
    </row>
    <row r="1196" spans="1:4">
      <c r="A1196">
        <v>2017</v>
      </c>
      <c r="B1196" t="s">
        <v>93</v>
      </c>
      <c r="C1196">
        <v>75</v>
      </c>
      <c r="D1196" s="68">
        <v>0</v>
      </c>
    </row>
    <row r="1197" spans="1:4">
      <c r="A1197">
        <v>2017</v>
      </c>
      <c r="B1197" t="s">
        <v>93</v>
      </c>
      <c r="C1197">
        <v>80</v>
      </c>
      <c r="D1197" s="68">
        <v>0</v>
      </c>
    </row>
    <row r="1198" spans="1:4">
      <c r="A1198">
        <v>2017</v>
      </c>
      <c r="B1198" t="s">
        <v>93</v>
      </c>
      <c r="C1198">
        <v>85</v>
      </c>
      <c r="D1198" s="68">
        <v>0</v>
      </c>
    </row>
    <row r="1199" spans="1:4">
      <c r="A1199">
        <v>2018</v>
      </c>
      <c r="B1199" t="s">
        <v>93</v>
      </c>
      <c r="C1199">
        <v>0</v>
      </c>
      <c r="D1199" s="68">
        <v>0</v>
      </c>
    </row>
    <row r="1200" spans="1:4">
      <c r="A1200">
        <v>2018</v>
      </c>
      <c r="B1200" t="s">
        <v>93</v>
      </c>
      <c r="C1200">
        <v>1</v>
      </c>
      <c r="D1200" s="68">
        <v>0</v>
      </c>
    </row>
    <row r="1201" spans="1:4">
      <c r="A1201">
        <v>2018</v>
      </c>
      <c r="B1201" t="s">
        <v>93</v>
      </c>
      <c r="C1201">
        <v>5</v>
      </c>
      <c r="D1201" s="68">
        <v>1</v>
      </c>
    </row>
    <row r="1202" spans="1:4">
      <c r="A1202">
        <v>2018</v>
      </c>
      <c r="B1202" t="s">
        <v>93</v>
      </c>
      <c r="C1202">
        <v>10</v>
      </c>
      <c r="D1202" s="68">
        <v>1</v>
      </c>
    </row>
    <row r="1203" spans="1:4">
      <c r="A1203">
        <v>2018</v>
      </c>
      <c r="B1203" t="s">
        <v>93</v>
      </c>
      <c r="C1203">
        <v>15</v>
      </c>
      <c r="D1203" s="68">
        <v>6</v>
      </c>
    </row>
    <row r="1204" spans="1:4">
      <c r="A1204">
        <v>2018</v>
      </c>
      <c r="B1204" t="s">
        <v>93</v>
      </c>
      <c r="C1204">
        <v>20</v>
      </c>
      <c r="D1204" s="68">
        <v>10</v>
      </c>
    </row>
    <row r="1205" spans="1:4">
      <c r="A1205">
        <v>2018</v>
      </c>
      <c r="B1205" t="s">
        <v>93</v>
      </c>
      <c r="C1205">
        <v>25</v>
      </c>
      <c r="D1205" s="68">
        <v>11</v>
      </c>
    </row>
    <row r="1206" spans="1:4">
      <c r="A1206">
        <v>2018</v>
      </c>
      <c r="B1206" t="s">
        <v>93</v>
      </c>
      <c r="C1206">
        <v>30</v>
      </c>
      <c r="D1206" s="68">
        <v>12</v>
      </c>
    </row>
    <row r="1207" spans="1:4">
      <c r="A1207">
        <v>2018</v>
      </c>
      <c r="B1207" t="s">
        <v>93</v>
      </c>
      <c r="C1207">
        <v>35</v>
      </c>
      <c r="D1207" s="68">
        <v>10</v>
      </c>
    </row>
    <row r="1208" spans="1:4">
      <c r="A1208">
        <v>2018</v>
      </c>
      <c r="B1208" t="s">
        <v>93</v>
      </c>
      <c r="C1208">
        <v>40</v>
      </c>
      <c r="D1208" s="68">
        <v>10</v>
      </c>
    </row>
    <row r="1209" spans="1:4">
      <c r="A1209">
        <v>2018</v>
      </c>
      <c r="B1209" t="s">
        <v>93</v>
      </c>
      <c r="C1209">
        <v>45</v>
      </c>
      <c r="D1209" s="68">
        <v>1</v>
      </c>
    </row>
    <row r="1210" spans="1:4">
      <c r="A1210">
        <v>2018</v>
      </c>
      <c r="B1210" t="s">
        <v>93</v>
      </c>
      <c r="C1210">
        <v>50</v>
      </c>
      <c r="D1210" s="68">
        <v>4</v>
      </c>
    </row>
    <row r="1211" spans="1:4">
      <c r="A1211">
        <v>2018</v>
      </c>
      <c r="B1211" t="s">
        <v>93</v>
      </c>
      <c r="C1211">
        <v>55</v>
      </c>
      <c r="D1211" s="68">
        <v>0</v>
      </c>
    </row>
    <row r="1212" spans="1:4">
      <c r="A1212">
        <v>2018</v>
      </c>
      <c r="B1212" t="s">
        <v>93</v>
      </c>
      <c r="C1212">
        <v>60</v>
      </c>
      <c r="D1212" s="68">
        <v>1</v>
      </c>
    </row>
    <row r="1213" spans="1:4">
      <c r="A1213">
        <v>2018</v>
      </c>
      <c r="B1213" t="s">
        <v>93</v>
      </c>
      <c r="C1213">
        <v>65</v>
      </c>
      <c r="D1213" s="68">
        <v>0</v>
      </c>
    </row>
    <row r="1214" spans="1:4">
      <c r="A1214">
        <v>2018</v>
      </c>
      <c r="B1214" t="s">
        <v>93</v>
      </c>
      <c r="C1214">
        <v>70</v>
      </c>
      <c r="D1214" s="68">
        <v>0</v>
      </c>
    </row>
    <row r="1215" spans="1:4">
      <c r="A1215">
        <v>2018</v>
      </c>
      <c r="B1215" t="s">
        <v>93</v>
      </c>
      <c r="C1215">
        <v>75</v>
      </c>
      <c r="D1215" s="68">
        <v>0</v>
      </c>
    </row>
    <row r="1216" spans="1:4">
      <c r="A1216">
        <v>2018</v>
      </c>
      <c r="B1216" t="s">
        <v>93</v>
      </c>
      <c r="C1216">
        <v>80</v>
      </c>
      <c r="D1216" s="68">
        <v>0</v>
      </c>
    </row>
    <row r="1217" spans="1:4">
      <c r="A1217">
        <v>2018</v>
      </c>
      <c r="B1217" t="s">
        <v>93</v>
      </c>
      <c r="C1217">
        <v>85</v>
      </c>
      <c r="D1217" s="68">
        <v>0</v>
      </c>
    </row>
    <row r="1218" spans="1:4">
      <c r="A1218" s="4">
        <v>2019</v>
      </c>
      <c r="B1218" s="4" t="s">
        <v>93</v>
      </c>
      <c r="C1218" s="4">
        <v>0</v>
      </c>
      <c r="D1218" s="73">
        <v>0</v>
      </c>
    </row>
    <row r="1219" spans="1:4">
      <c r="A1219" s="4">
        <v>2019</v>
      </c>
      <c r="B1219" s="4" t="s">
        <v>93</v>
      </c>
      <c r="C1219" s="4">
        <v>1</v>
      </c>
      <c r="D1219" s="73">
        <v>1</v>
      </c>
    </row>
    <row r="1220" spans="1:4">
      <c r="A1220" s="4">
        <v>2019</v>
      </c>
      <c r="B1220" s="4" t="s">
        <v>93</v>
      </c>
      <c r="C1220" s="4">
        <v>5</v>
      </c>
      <c r="D1220" s="73">
        <v>0</v>
      </c>
    </row>
    <row r="1221" spans="1:4">
      <c r="A1221" s="4">
        <v>2019</v>
      </c>
      <c r="B1221" s="4" t="s">
        <v>93</v>
      </c>
      <c r="C1221" s="4">
        <v>10</v>
      </c>
      <c r="D1221" s="73">
        <v>1</v>
      </c>
    </row>
    <row r="1222" spans="1:4">
      <c r="A1222" s="4">
        <v>2019</v>
      </c>
      <c r="B1222" s="4" t="s">
        <v>93</v>
      </c>
      <c r="C1222" s="4">
        <v>15</v>
      </c>
      <c r="D1222" s="73">
        <v>8</v>
      </c>
    </row>
    <row r="1223" spans="1:4">
      <c r="A1223" s="4">
        <v>2019</v>
      </c>
      <c r="B1223" s="4" t="s">
        <v>93</v>
      </c>
      <c r="C1223" s="4">
        <v>20</v>
      </c>
      <c r="D1223" s="73">
        <v>16</v>
      </c>
    </row>
    <row r="1224" spans="1:4">
      <c r="A1224" s="4">
        <v>2019</v>
      </c>
      <c r="B1224" s="4" t="s">
        <v>93</v>
      </c>
      <c r="C1224" s="4">
        <v>25</v>
      </c>
      <c r="D1224" s="73">
        <v>21</v>
      </c>
    </row>
    <row r="1225" spans="1:4">
      <c r="A1225" s="4">
        <v>2019</v>
      </c>
      <c r="B1225" s="4" t="s">
        <v>93</v>
      </c>
      <c r="C1225" s="4">
        <v>30</v>
      </c>
      <c r="D1225" s="73">
        <v>11</v>
      </c>
    </row>
    <row r="1226" spans="1:4">
      <c r="A1226" s="4">
        <v>2019</v>
      </c>
      <c r="B1226" s="4" t="s">
        <v>93</v>
      </c>
      <c r="C1226" s="4">
        <v>35</v>
      </c>
      <c r="D1226" s="73">
        <v>5</v>
      </c>
    </row>
    <row r="1227" spans="1:4">
      <c r="A1227" s="4">
        <v>2019</v>
      </c>
      <c r="B1227" s="4" t="s">
        <v>93</v>
      </c>
      <c r="C1227" s="4">
        <v>40</v>
      </c>
      <c r="D1227" s="73">
        <v>9</v>
      </c>
    </row>
    <row r="1228" spans="1:4">
      <c r="A1228" s="4">
        <v>2019</v>
      </c>
      <c r="B1228" s="4" t="s">
        <v>93</v>
      </c>
      <c r="C1228" s="4">
        <v>45</v>
      </c>
      <c r="D1228" s="73">
        <v>7</v>
      </c>
    </row>
    <row r="1229" spans="1:4">
      <c r="A1229" s="4">
        <v>2019</v>
      </c>
      <c r="B1229" s="4" t="s">
        <v>93</v>
      </c>
      <c r="C1229" s="4">
        <v>50</v>
      </c>
      <c r="D1229" s="73">
        <v>1</v>
      </c>
    </row>
    <row r="1230" spans="1:4">
      <c r="A1230" s="4">
        <v>2019</v>
      </c>
      <c r="B1230" s="4" t="s">
        <v>93</v>
      </c>
      <c r="C1230" s="4">
        <v>55</v>
      </c>
      <c r="D1230" s="73">
        <v>2</v>
      </c>
    </row>
    <row r="1231" spans="1:4">
      <c r="A1231" s="4">
        <v>2019</v>
      </c>
      <c r="B1231" s="4" t="s">
        <v>93</v>
      </c>
      <c r="C1231" s="4">
        <v>60</v>
      </c>
      <c r="D1231" s="73">
        <v>1</v>
      </c>
    </row>
    <row r="1232" spans="1:4">
      <c r="A1232" s="4">
        <v>2019</v>
      </c>
      <c r="B1232" s="4" t="s">
        <v>93</v>
      </c>
      <c r="C1232" s="4">
        <v>65</v>
      </c>
      <c r="D1232" s="73">
        <v>0</v>
      </c>
    </row>
    <row r="1233" spans="1:4">
      <c r="A1233" s="4">
        <v>2019</v>
      </c>
      <c r="B1233" s="4" t="s">
        <v>93</v>
      </c>
      <c r="C1233" s="4">
        <v>70</v>
      </c>
      <c r="D1233" s="73">
        <v>0</v>
      </c>
    </row>
    <row r="1234" spans="1:4">
      <c r="A1234" s="4">
        <v>2019</v>
      </c>
      <c r="B1234" s="4" t="s">
        <v>93</v>
      </c>
      <c r="C1234" s="4">
        <v>75</v>
      </c>
      <c r="D1234" s="73">
        <v>1</v>
      </c>
    </row>
    <row r="1235" spans="1:4">
      <c r="A1235" s="4">
        <v>2019</v>
      </c>
      <c r="B1235" s="4" t="s">
        <v>93</v>
      </c>
      <c r="C1235" s="4">
        <v>80</v>
      </c>
      <c r="D1235" s="73">
        <v>0</v>
      </c>
    </row>
    <row r="1236" spans="1:4">
      <c r="A1236" s="4">
        <v>2019</v>
      </c>
      <c r="B1236" s="4" t="s">
        <v>93</v>
      </c>
      <c r="C1236" s="4">
        <v>85</v>
      </c>
      <c r="D1236" s="73">
        <v>0</v>
      </c>
    </row>
    <row r="1237" spans="1:4">
      <c r="A1237">
        <v>2020</v>
      </c>
      <c r="B1237" t="s">
        <v>93</v>
      </c>
      <c r="C1237">
        <v>0</v>
      </c>
      <c r="D1237" s="68">
        <v>0</v>
      </c>
    </row>
    <row r="1238" spans="1:4">
      <c r="A1238">
        <v>2020</v>
      </c>
      <c r="B1238" t="s">
        <v>93</v>
      </c>
      <c r="C1238">
        <v>1</v>
      </c>
      <c r="D1238" s="68">
        <v>0</v>
      </c>
    </row>
    <row r="1239" spans="1:4">
      <c r="A1239">
        <v>2020</v>
      </c>
      <c r="B1239" t="s">
        <v>93</v>
      </c>
      <c r="C1239">
        <v>5</v>
      </c>
      <c r="D1239" s="68">
        <v>0</v>
      </c>
    </row>
    <row r="1240" spans="1:4">
      <c r="A1240">
        <v>2020</v>
      </c>
      <c r="B1240" t="s">
        <v>93</v>
      </c>
      <c r="C1240">
        <v>10</v>
      </c>
      <c r="D1240" s="68">
        <v>1</v>
      </c>
    </row>
    <row r="1241" spans="1:4">
      <c r="A1241">
        <v>2020</v>
      </c>
      <c r="B1241" t="s">
        <v>93</v>
      </c>
      <c r="C1241">
        <v>15</v>
      </c>
      <c r="D1241" s="68">
        <v>8</v>
      </c>
    </row>
    <row r="1242" spans="1:4">
      <c r="A1242">
        <v>2020</v>
      </c>
      <c r="B1242" t="s">
        <v>93</v>
      </c>
      <c r="C1242">
        <v>20</v>
      </c>
      <c r="D1242" s="68">
        <v>11</v>
      </c>
    </row>
    <row r="1243" spans="1:4">
      <c r="A1243">
        <v>2020</v>
      </c>
      <c r="B1243" t="s">
        <v>93</v>
      </c>
      <c r="C1243">
        <v>25</v>
      </c>
      <c r="D1243" s="68">
        <v>13</v>
      </c>
    </row>
    <row r="1244" spans="1:4">
      <c r="A1244">
        <v>2020</v>
      </c>
      <c r="B1244" t="s">
        <v>93</v>
      </c>
      <c r="C1244">
        <v>30</v>
      </c>
      <c r="D1244" s="68">
        <v>12</v>
      </c>
    </row>
    <row r="1245" spans="1:4">
      <c r="A1245">
        <v>2020</v>
      </c>
      <c r="B1245" t="s">
        <v>93</v>
      </c>
      <c r="C1245">
        <v>35</v>
      </c>
      <c r="D1245" s="68">
        <v>13</v>
      </c>
    </row>
    <row r="1246" spans="1:4">
      <c r="A1246">
        <v>2020</v>
      </c>
      <c r="B1246" t="s">
        <v>93</v>
      </c>
      <c r="C1246">
        <v>40</v>
      </c>
      <c r="D1246" s="68">
        <v>15</v>
      </c>
    </row>
    <row r="1247" spans="1:4">
      <c r="A1247">
        <v>2020</v>
      </c>
      <c r="B1247" t="s">
        <v>93</v>
      </c>
      <c r="C1247">
        <v>45</v>
      </c>
      <c r="D1247" s="68">
        <v>6</v>
      </c>
    </row>
    <row r="1248" spans="1:4">
      <c r="A1248">
        <v>2020</v>
      </c>
      <c r="B1248" t="s">
        <v>93</v>
      </c>
      <c r="C1248">
        <v>50</v>
      </c>
      <c r="D1248" s="68">
        <v>3</v>
      </c>
    </row>
    <row r="1249" spans="1:4">
      <c r="A1249">
        <v>2020</v>
      </c>
      <c r="B1249" t="s">
        <v>93</v>
      </c>
      <c r="C1249">
        <v>55</v>
      </c>
      <c r="D1249" s="68">
        <v>3</v>
      </c>
    </row>
    <row r="1250" spans="1:4">
      <c r="A1250">
        <v>2020</v>
      </c>
      <c r="B1250" t="s">
        <v>93</v>
      </c>
      <c r="C1250">
        <v>60</v>
      </c>
      <c r="D1250" s="68">
        <v>0</v>
      </c>
    </row>
    <row r="1251" spans="1:4">
      <c r="A1251">
        <v>2020</v>
      </c>
      <c r="B1251" t="s">
        <v>93</v>
      </c>
      <c r="C1251">
        <v>65</v>
      </c>
      <c r="D1251" s="68">
        <v>0</v>
      </c>
    </row>
    <row r="1252" spans="1:4">
      <c r="A1252">
        <v>2020</v>
      </c>
      <c r="B1252" t="s">
        <v>93</v>
      </c>
      <c r="C1252">
        <v>70</v>
      </c>
      <c r="D1252" s="68">
        <v>0</v>
      </c>
    </row>
    <row r="1253" spans="1:4">
      <c r="A1253">
        <v>2020</v>
      </c>
      <c r="B1253" t="s">
        <v>93</v>
      </c>
      <c r="C1253">
        <v>75</v>
      </c>
      <c r="D1253" s="68">
        <v>1</v>
      </c>
    </row>
    <row r="1254" spans="1:4">
      <c r="A1254">
        <v>2020</v>
      </c>
      <c r="B1254" t="s">
        <v>93</v>
      </c>
      <c r="C1254">
        <v>80</v>
      </c>
      <c r="D1254" s="68">
        <v>0</v>
      </c>
    </row>
    <row r="1255" spans="1:4">
      <c r="A1255">
        <v>2020</v>
      </c>
      <c r="B1255" t="s">
        <v>93</v>
      </c>
      <c r="C1255">
        <v>85</v>
      </c>
      <c r="D1255" s="68">
        <v>0</v>
      </c>
    </row>
    <row r="1256" spans="1:4">
      <c r="A1256" s="72">
        <v>2021</v>
      </c>
      <c r="B1256" s="72" t="s">
        <v>93</v>
      </c>
      <c r="C1256" s="72">
        <v>0</v>
      </c>
      <c r="D1256" s="68">
        <v>0</v>
      </c>
    </row>
    <row r="1257" spans="1:4">
      <c r="A1257" s="72">
        <v>2021</v>
      </c>
      <c r="B1257" s="72" t="s">
        <v>93</v>
      </c>
      <c r="C1257" s="72">
        <v>1</v>
      </c>
      <c r="D1257" s="68">
        <v>0</v>
      </c>
    </row>
    <row r="1258" spans="1:4">
      <c r="A1258" s="72">
        <v>2021</v>
      </c>
      <c r="B1258" s="72" t="s">
        <v>93</v>
      </c>
      <c r="C1258" s="72">
        <v>5</v>
      </c>
      <c r="D1258" s="68">
        <v>0</v>
      </c>
    </row>
    <row r="1259" spans="1:4">
      <c r="A1259" s="72">
        <v>2021</v>
      </c>
      <c r="B1259" s="72" t="s">
        <v>93</v>
      </c>
      <c r="C1259" s="72">
        <v>10</v>
      </c>
      <c r="D1259" s="68">
        <v>2</v>
      </c>
    </row>
    <row r="1260" spans="1:4">
      <c r="A1260" s="72">
        <v>2021</v>
      </c>
      <c r="B1260" s="72" t="s">
        <v>93</v>
      </c>
      <c r="C1260" s="72">
        <v>15</v>
      </c>
      <c r="D1260" s="68">
        <v>6</v>
      </c>
    </row>
    <row r="1261" spans="1:4">
      <c r="A1261" s="72">
        <v>2021</v>
      </c>
      <c r="B1261" s="72" t="s">
        <v>93</v>
      </c>
      <c r="C1261" s="72">
        <v>20</v>
      </c>
      <c r="D1261" s="68">
        <v>7</v>
      </c>
    </row>
    <row r="1262" spans="1:4">
      <c r="A1262" s="72">
        <v>2021</v>
      </c>
      <c r="B1262" s="72" t="s">
        <v>93</v>
      </c>
      <c r="C1262" s="72">
        <v>25</v>
      </c>
      <c r="D1262" s="68">
        <v>8</v>
      </c>
    </row>
    <row r="1263" spans="1:4">
      <c r="A1263" s="72">
        <v>2021</v>
      </c>
      <c r="B1263" s="72" t="s">
        <v>93</v>
      </c>
      <c r="C1263" s="72">
        <v>30</v>
      </c>
      <c r="D1263" s="68">
        <v>11</v>
      </c>
    </row>
    <row r="1264" spans="1:4">
      <c r="A1264" s="72">
        <v>2021</v>
      </c>
      <c r="B1264" s="72" t="s">
        <v>93</v>
      </c>
      <c r="C1264" s="72">
        <v>35</v>
      </c>
      <c r="D1264" s="68">
        <v>10</v>
      </c>
    </row>
    <row r="1265" spans="1:4">
      <c r="A1265" s="72">
        <v>2021</v>
      </c>
      <c r="B1265" s="72" t="s">
        <v>93</v>
      </c>
      <c r="C1265" s="72">
        <v>40</v>
      </c>
      <c r="D1265" s="68">
        <v>2</v>
      </c>
    </row>
    <row r="1266" spans="1:4">
      <c r="A1266" s="72">
        <v>2021</v>
      </c>
      <c r="B1266" s="72" t="s">
        <v>93</v>
      </c>
      <c r="C1266" s="72">
        <v>45</v>
      </c>
      <c r="D1266" s="68">
        <v>4</v>
      </c>
    </row>
    <row r="1267" spans="1:4">
      <c r="A1267" s="72">
        <v>2021</v>
      </c>
      <c r="B1267" s="72" t="s">
        <v>93</v>
      </c>
      <c r="C1267" s="72">
        <v>50</v>
      </c>
      <c r="D1267" s="68">
        <v>0</v>
      </c>
    </row>
    <row r="1268" spans="1:4">
      <c r="A1268" s="72">
        <v>2021</v>
      </c>
      <c r="B1268" s="72" t="s">
        <v>93</v>
      </c>
      <c r="C1268" s="72">
        <v>55</v>
      </c>
      <c r="D1268" s="68">
        <v>2</v>
      </c>
    </row>
    <row r="1269" spans="1:4">
      <c r="A1269" s="72">
        <v>2021</v>
      </c>
      <c r="B1269" s="72" t="s">
        <v>93</v>
      </c>
      <c r="C1269" s="72">
        <v>60</v>
      </c>
      <c r="D1269" s="68">
        <v>0</v>
      </c>
    </row>
    <row r="1270" spans="1:4">
      <c r="A1270" s="72">
        <v>2021</v>
      </c>
      <c r="B1270" s="72" t="s">
        <v>93</v>
      </c>
      <c r="C1270" s="72">
        <v>65</v>
      </c>
      <c r="D1270" s="68">
        <v>0</v>
      </c>
    </row>
    <row r="1271" spans="1:4">
      <c r="A1271" s="72">
        <v>2021</v>
      </c>
      <c r="B1271" s="72" t="s">
        <v>93</v>
      </c>
      <c r="C1271" s="72">
        <v>70</v>
      </c>
      <c r="D1271" s="68">
        <v>0</v>
      </c>
    </row>
    <row r="1272" spans="1:4">
      <c r="A1272" s="72">
        <v>2021</v>
      </c>
      <c r="B1272" s="72" t="s">
        <v>93</v>
      </c>
      <c r="C1272" s="72">
        <v>75</v>
      </c>
      <c r="D1272" s="68">
        <v>0</v>
      </c>
    </row>
    <row r="1273" spans="1:4">
      <c r="A1273" s="72">
        <v>2021</v>
      </c>
      <c r="B1273" s="72" t="s">
        <v>93</v>
      </c>
      <c r="C1273" s="72">
        <v>80</v>
      </c>
      <c r="D1273" s="68">
        <v>0</v>
      </c>
    </row>
    <row r="1274" spans="1:4">
      <c r="A1274" s="72">
        <v>2021</v>
      </c>
      <c r="B1274" s="72" t="s">
        <v>93</v>
      </c>
      <c r="C1274" s="72">
        <v>85</v>
      </c>
      <c r="D1274" s="68">
        <v>0</v>
      </c>
    </row>
    <row r="1275" spans="1:4">
      <c r="A1275">
        <v>2022</v>
      </c>
      <c r="B1275" t="s">
        <v>93</v>
      </c>
      <c r="C1275">
        <v>0</v>
      </c>
      <c r="D1275" s="68">
        <v>0</v>
      </c>
    </row>
    <row r="1276" spans="1:4">
      <c r="A1276">
        <v>2022</v>
      </c>
      <c r="B1276" t="s">
        <v>93</v>
      </c>
      <c r="C1276">
        <v>1</v>
      </c>
      <c r="D1276" s="68">
        <v>0</v>
      </c>
    </row>
    <row r="1277" spans="1:4">
      <c r="A1277">
        <v>2022</v>
      </c>
      <c r="B1277" t="s">
        <v>93</v>
      </c>
      <c r="C1277">
        <v>5</v>
      </c>
      <c r="D1277" s="68">
        <v>0</v>
      </c>
    </row>
    <row r="1278" spans="1:4">
      <c r="A1278">
        <v>2022</v>
      </c>
      <c r="B1278" t="s">
        <v>93</v>
      </c>
      <c r="C1278">
        <v>10</v>
      </c>
      <c r="D1278" s="68">
        <v>2</v>
      </c>
    </row>
    <row r="1279" spans="1:4">
      <c r="A1279">
        <v>2022</v>
      </c>
      <c r="B1279" t="s">
        <v>93</v>
      </c>
      <c r="C1279">
        <v>15</v>
      </c>
      <c r="D1279" s="68">
        <v>6</v>
      </c>
    </row>
    <row r="1280" spans="1:4">
      <c r="A1280">
        <v>2022</v>
      </c>
      <c r="B1280" t="s">
        <v>93</v>
      </c>
      <c r="C1280">
        <v>20</v>
      </c>
      <c r="D1280" s="68">
        <v>17</v>
      </c>
    </row>
    <row r="1281" spans="1:4">
      <c r="A1281">
        <v>2022</v>
      </c>
      <c r="B1281" t="s">
        <v>93</v>
      </c>
      <c r="C1281">
        <v>25</v>
      </c>
      <c r="D1281" s="68">
        <v>18</v>
      </c>
    </row>
    <row r="1282" spans="1:4">
      <c r="A1282">
        <v>2022</v>
      </c>
      <c r="B1282" t="s">
        <v>93</v>
      </c>
      <c r="C1282">
        <v>30</v>
      </c>
      <c r="D1282" s="68">
        <v>9</v>
      </c>
    </row>
    <row r="1283" spans="1:4">
      <c r="A1283">
        <v>2022</v>
      </c>
      <c r="B1283" t="s">
        <v>93</v>
      </c>
      <c r="C1283">
        <v>35</v>
      </c>
      <c r="D1283" s="68">
        <v>19</v>
      </c>
    </row>
    <row r="1284" spans="1:4">
      <c r="A1284">
        <v>2022</v>
      </c>
      <c r="B1284" t="s">
        <v>93</v>
      </c>
      <c r="C1284">
        <v>40</v>
      </c>
      <c r="D1284" s="68">
        <v>13</v>
      </c>
    </row>
    <row r="1285" spans="1:4">
      <c r="A1285">
        <v>2022</v>
      </c>
      <c r="B1285" t="s">
        <v>93</v>
      </c>
      <c r="C1285">
        <v>45</v>
      </c>
      <c r="D1285" s="68">
        <v>3</v>
      </c>
    </row>
    <row r="1286" spans="1:4">
      <c r="A1286">
        <v>2022</v>
      </c>
      <c r="B1286" t="s">
        <v>93</v>
      </c>
      <c r="C1286">
        <v>50</v>
      </c>
      <c r="D1286" s="68">
        <v>5</v>
      </c>
    </row>
    <row r="1287" spans="1:4">
      <c r="A1287">
        <v>2022</v>
      </c>
      <c r="B1287" t="s">
        <v>93</v>
      </c>
      <c r="C1287">
        <v>55</v>
      </c>
      <c r="D1287" s="68">
        <v>2</v>
      </c>
    </row>
    <row r="1288" spans="1:4">
      <c r="A1288">
        <v>2022</v>
      </c>
      <c r="B1288" t="s">
        <v>93</v>
      </c>
      <c r="C1288">
        <v>60</v>
      </c>
      <c r="D1288" s="68">
        <v>4</v>
      </c>
    </row>
    <row r="1289" spans="1:4">
      <c r="A1289">
        <v>2022</v>
      </c>
      <c r="B1289" t="s">
        <v>93</v>
      </c>
      <c r="C1289">
        <v>65</v>
      </c>
      <c r="D1289" s="68">
        <v>0</v>
      </c>
    </row>
    <row r="1290" spans="1:4">
      <c r="A1290">
        <v>2022</v>
      </c>
      <c r="B1290" t="s">
        <v>93</v>
      </c>
      <c r="C1290">
        <v>70</v>
      </c>
      <c r="D1290" s="68">
        <v>0</v>
      </c>
    </row>
    <row r="1291" spans="1:4">
      <c r="A1291">
        <v>2022</v>
      </c>
      <c r="B1291" t="s">
        <v>93</v>
      </c>
      <c r="C1291">
        <v>75</v>
      </c>
      <c r="D1291" s="68">
        <v>1</v>
      </c>
    </row>
    <row r="1292" spans="1:4">
      <c r="A1292">
        <v>2022</v>
      </c>
      <c r="B1292" t="s">
        <v>93</v>
      </c>
      <c r="C1292">
        <v>80</v>
      </c>
      <c r="D1292" s="68">
        <v>0</v>
      </c>
    </row>
    <row r="1293" spans="1:4">
      <c r="A1293">
        <v>2022</v>
      </c>
      <c r="B1293" t="s">
        <v>93</v>
      </c>
      <c r="C1293">
        <v>85</v>
      </c>
      <c r="D1293" s="68">
        <v>0</v>
      </c>
    </row>
    <row r="1294" spans="1:4">
      <c r="A1294">
        <v>2023</v>
      </c>
      <c r="B1294" t="s">
        <v>93</v>
      </c>
      <c r="C1294">
        <v>0</v>
      </c>
      <c r="D1294" s="68">
        <v>0</v>
      </c>
    </row>
    <row r="1295" spans="1:4">
      <c r="A1295">
        <v>2023</v>
      </c>
      <c r="B1295" t="s">
        <v>93</v>
      </c>
      <c r="C1295">
        <v>1</v>
      </c>
      <c r="D1295" s="68">
        <v>0</v>
      </c>
    </row>
    <row r="1296" spans="1:4">
      <c r="A1296">
        <v>2023</v>
      </c>
      <c r="B1296" t="s">
        <v>93</v>
      </c>
      <c r="C1296">
        <v>5</v>
      </c>
      <c r="D1296" s="68">
        <v>0</v>
      </c>
    </row>
    <row r="1297" spans="1:4">
      <c r="A1297">
        <v>2023</v>
      </c>
      <c r="B1297" t="s">
        <v>93</v>
      </c>
      <c r="C1297">
        <v>10</v>
      </c>
      <c r="D1297" s="68">
        <v>1</v>
      </c>
    </row>
    <row r="1298" spans="1:4">
      <c r="A1298">
        <v>2023</v>
      </c>
      <c r="B1298" t="s">
        <v>93</v>
      </c>
      <c r="C1298">
        <v>15</v>
      </c>
      <c r="D1298" s="68">
        <v>7</v>
      </c>
    </row>
    <row r="1299" spans="1:4">
      <c r="A1299">
        <v>2023</v>
      </c>
      <c r="B1299" t="s">
        <v>93</v>
      </c>
      <c r="C1299">
        <v>20</v>
      </c>
      <c r="D1299" s="68">
        <v>26</v>
      </c>
    </row>
    <row r="1300" spans="1:4">
      <c r="A1300">
        <v>2023</v>
      </c>
      <c r="B1300" t="s">
        <v>93</v>
      </c>
      <c r="C1300">
        <v>25</v>
      </c>
      <c r="D1300" s="68">
        <v>21</v>
      </c>
    </row>
    <row r="1301" spans="1:4">
      <c r="A1301">
        <v>2023</v>
      </c>
      <c r="B1301" t="s">
        <v>93</v>
      </c>
      <c r="C1301">
        <v>30</v>
      </c>
      <c r="D1301" s="68">
        <v>19</v>
      </c>
    </row>
    <row r="1302" spans="1:4">
      <c r="A1302">
        <v>2023</v>
      </c>
      <c r="B1302" t="s">
        <v>93</v>
      </c>
      <c r="C1302">
        <v>35</v>
      </c>
      <c r="D1302" s="68">
        <v>17</v>
      </c>
    </row>
    <row r="1303" spans="1:4">
      <c r="A1303">
        <v>2023</v>
      </c>
      <c r="B1303" t="s">
        <v>93</v>
      </c>
      <c r="C1303">
        <v>40</v>
      </c>
      <c r="D1303" s="68">
        <v>11</v>
      </c>
    </row>
    <row r="1304" spans="1:4">
      <c r="A1304">
        <v>2023</v>
      </c>
      <c r="B1304" t="s">
        <v>93</v>
      </c>
      <c r="C1304">
        <v>45</v>
      </c>
      <c r="D1304" s="68">
        <v>9</v>
      </c>
    </row>
    <row r="1305" spans="1:4">
      <c r="A1305">
        <v>2023</v>
      </c>
      <c r="B1305" t="s">
        <v>93</v>
      </c>
      <c r="C1305">
        <v>50</v>
      </c>
      <c r="D1305" s="68">
        <v>6</v>
      </c>
    </row>
    <row r="1306" spans="1:4">
      <c r="A1306">
        <v>2023</v>
      </c>
      <c r="B1306" t="s">
        <v>93</v>
      </c>
      <c r="C1306">
        <v>55</v>
      </c>
      <c r="D1306" s="68">
        <v>2</v>
      </c>
    </row>
    <row r="1307" spans="1:4">
      <c r="A1307">
        <v>2023</v>
      </c>
      <c r="B1307" t="s">
        <v>93</v>
      </c>
      <c r="C1307">
        <v>60</v>
      </c>
      <c r="D1307" s="68">
        <v>3</v>
      </c>
    </row>
    <row r="1308" spans="1:4">
      <c r="A1308">
        <v>2023</v>
      </c>
      <c r="B1308" t="s">
        <v>93</v>
      </c>
      <c r="C1308">
        <v>65</v>
      </c>
      <c r="D1308" s="68">
        <v>0</v>
      </c>
    </row>
    <row r="1309" spans="1:4">
      <c r="A1309">
        <v>2023</v>
      </c>
      <c r="B1309" t="s">
        <v>93</v>
      </c>
      <c r="C1309">
        <v>70</v>
      </c>
      <c r="D1309" s="68">
        <v>0</v>
      </c>
    </row>
    <row r="1310" spans="1:4">
      <c r="A1310">
        <v>2023</v>
      </c>
      <c r="B1310" t="s">
        <v>93</v>
      </c>
      <c r="C1310">
        <v>75</v>
      </c>
      <c r="D1310" s="68">
        <v>0</v>
      </c>
    </row>
    <row r="1311" spans="1:4">
      <c r="A1311">
        <v>2023</v>
      </c>
      <c r="B1311" t="s">
        <v>93</v>
      </c>
      <c r="C1311">
        <v>80</v>
      </c>
      <c r="D1311" s="68">
        <v>0</v>
      </c>
    </row>
    <row r="1312" spans="1:4">
      <c r="A1312">
        <v>2023</v>
      </c>
      <c r="B1312" t="s">
        <v>93</v>
      </c>
      <c r="C1312">
        <v>85</v>
      </c>
      <c r="D1312" s="68">
        <v>0</v>
      </c>
    </row>
    <row r="1313" spans="1:4">
      <c r="A1313">
        <v>2024</v>
      </c>
      <c r="B1313" t="s">
        <v>93</v>
      </c>
      <c r="C1313">
        <v>0</v>
      </c>
      <c r="D1313" s="68">
        <v>0</v>
      </c>
    </row>
    <row r="1314" spans="1:4">
      <c r="A1314">
        <v>2024</v>
      </c>
      <c r="B1314" t="s">
        <v>93</v>
      </c>
      <c r="C1314">
        <v>1</v>
      </c>
      <c r="D1314" s="68">
        <v>2</v>
      </c>
    </row>
    <row r="1315" spans="1:4">
      <c r="A1315">
        <v>2024</v>
      </c>
      <c r="B1315" t="s">
        <v>93</v>
      </c>
      <c r="C1315">
        <v>5</v>
      </c>
      <c r="D1315" s="68">
        <v>1</v>
      </c>
    </row>
    <row r="1316" spans="1:4">
      <c r="A1316">
        <v>2024</v>
      </c>
      <c r="B1316" t="s">
        <v>93</v>
      </c>
      <c r="C1316">
        <v>10</v>
      </c>
      <c r="D1316" s="68">
        <v>1</v>
      </c>
    </row>
    <row r="1317" spans="1:4">
      <c r="A1317">
        <v>2024</v>
      </c>
      <c r="B1317" t="s">
        <v>93</v>
      </c>
      <c r="C1317">
        <v>15</v>
      </c>
      <c r="D1317" s="68">
        <v>7</v>
      </c>
    </row>
    <row r="1318" spans="1:4">
      <c r="A1318">
        <v>2024</v>
      </c>
      <c r="B1318" t="s">
        <v>93</v>
      </c>
      <c r="C1318">
        <v>20</v>
      </c>
      <c r="D1318" s="68">
        <v>17</v>
      </c>
    </row>
    <row r="1319" spans="1:4">
      <c r="A1319">
        <v>2024</v>
      </c>
      <c r="B1319" t="s">
        <v>93</v>
      </c>
      <c r="C1319">
        <v>25</v>
      </c>
      <c r="D1319" s="68">
        <v>25</v>
      </c>
    </row>
    <row r="1320" spans="1:4">
      <c r="A1320">
        <v>2024</v>
      </c>
      <c r="B1320" t="s">
        <v>93</v>
      </c>
      <c r="C1320">
        <v>30</v>
      </c>
      <c r="D1320" s="68">
        <v>27</v>
      </c>
    </row>
    <row r="1321" spans="1:4">
      <c r="A1321">
        <v>2024</v>
      </c>
      <c r="B1321" t="s">
        <v>93</v>
      </c>
      <c r="C1321">
        <v>35</v>
      </c>
      <c r="D1321" s="68">
        <v>17</v>
      </c>
    </row>
    <row r="1322" spans="1:4">
      <c r="A1322">
        <v>2024</v>
      </c>
      <c r="B1322" t="s">
        <v>93</v>
      </c>
      <c r="C1322">
        <v>40</v>
      </c>
      <c r="D1322" s="68">
        <v>11</v>
      </c>
    </row>
    <row r="1323" spans="1:4">
      <c r="A1323">
        <v>2024</v>
      </c>
      <c r="B1323" t="s">
        <v>93</v>
      </c>
      <c r="C1323">
        <v>45</v>
      </c>
      <c r="D1323" s="68">
        <v>11</v>
      </c>
    </row>
    <row r="1324" spans="1:4">
      <c r="A1324">
        <v>2024</v>
      </c>
      <c r="B1324" t="s">
        <v>93</v>
      </c>
      <c r="C1324">
        <v>50</v>
      </c>
      <c r="D1324" s="68">
        <v>5</v>
      </c>
    </row>
    <row r="1325" spans="1:4">
      <c r="A1325">
        <v>2024</v>
      </c>
      <c r="B1325" t="s">
        <v>93</v>
      </c>
      <c r="C1325">
        <v>55</v>
      </c>
      <c r="D1325" s="68">
        <v>6</v>
      </c>
    </row>
    <row r="1326" spans="1:4">
      <c r="A1326">
        <v>2024</v>
      </c>
      <c r="B1326" t="s">
        <v>93</v>
      </c>
      <c r="C1326">
        <v>60</v>
      </c>
      <c r="D1326" s="68">
        <v>1</v>
      </c>
    </row>
    <row r="1327" spans="1:4">
      <c r="A1327">
        <v>2024</v>
      </c>
      <c r="B1327" t="s">
        <v>93</v>
      </c>
      <c r="C1327">
        <v>65</v>
      </c>
      <c r="D1327" s="68">
        <v>0</v>
      </c>
    </row>
    <row r="1328" spans="1:4">
      <c r="A1328">
        <v>2024</v>
      </c>
      <c r="B1328" t="s">
        <v>93</v>
      </c>
      <c r="C1328">
        <v>70</v>
      </c>
      <c r="D1328" s="68">
        <v>0</v>
      </c>
    </row>
    <row r="1329" spans="1:4">
      <c r="A1329">
        <v>2024</v>
      </c>
      <c r="B1329" t="s">
        <v>93</v>
      </c>
      <c r="C1329">
        <v>75</v>
      </c>
      <c r="D1329" s="68">
        <v>0</v>
      </c>
    </row>
    <row r="1330" spans="1:4">
      <c r="A1330">
        <v>2024</v>
      </c>
      <c r="B1330" t="s">
        <v>93</v>
      </c>
      <c r="C1330">
        <v>80</v>
      </c>
      <c r="D1330" s="68">
        <v>0</v>
      </c>
    </row>
    <row r="1331" spans="1:4">
      <c r="A1331">
        <v>2024</v>
      </c>
      <c r="B1331" t="s">
        <v>93</v>
      </c>
      <c r="C1331">
        <v>85</v>
      </c>
      <c r="D1331" s="6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1B8F-199D-4539-94FB-AB5877BF4C61}">
  <dimension ref="A1:M115"/>
  <sheetViews>
    <sheetView topLeftCell="A73" workbookViewId="0">
      <selection activeCell="N98" sqref="N98"/>
    </sheetView>
  </sheetViews>
  <sheetFormatPr baseColWidth="10" defaultRowHeight="14.4"/>
  <sheetData>
    <row r="1" spans="1:13">
      <c r="A1" t="s">
        <v>94</v>
      </c>
      <c r="B1" t="s">
        <v>89</v>
      </c>
      <c r="C1" t="s">
        <v>90</v>
      </c>
      <c r="D1" t="s">
        <v>0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</row>
    <row r="2" spans="1:13">
      <c r="A2" s="7" t="s">
        <v>103</v>
      </c>
      <c r="B2" s="8">
        <v>2010</v>
      </c>
      <c r="C2" s="7" t="s">
        <v>104</v>
      </c>
      <c r="D2" s="8">
        <v>0</v>
      </c>
      <c r="E2" s="8">
        <v>1.3635E-2</v>
      </c>
      <c r="F2" s="8">
        <v>1.3466000000000001E-2</v>
      </c>
      <c r="G2" s="8">
        <v>0.08</v>
      </c>
      <c r="H2" s="8">
        <v>100000</v>
      </c>
      <c r="I2" s="8">
        <v>1347</v>
      </c>
      <c r="J2" s="8">
        <v>98763</v>
      </c>
      <c r="K2" s="8">
        <v>7339764</v>
      </c>
      <c r="L2" s="8">
        <v>73.400000000000006</v>
      </c>
      <c r="M2" s="10"/>
    </row>
    <row r="3" spans="1:13">
      <c r="A3" s="7" t="s">
        <v>103</v>
      </c>
      <c r="B3" s="8">
        <v>2010</v>
      </c>
      <c r="C3" s="7" t="s">
        <v>104</v>
      </c>
      <c r="D3" s="8">
        <v>1</v>
      </c>
      <c r="E3" s="8">
        <v>5.4600000000000004E-4</v>
      </c>
      <c r="F3" s="8">
        <v>2.1789999999999999E-3</v>
      </c>
      <c r="G3" s="8">
        <v>1.61</v>
      </c>
      <c r="H3" s="8">
        <v>98653</v>
      </c>
      <c r="I3" s="8">
        <v>215</v>
      </c>
      <c r="J3" s="8">
        <v>394100</v>
      </c>
      <c r="K3" s="8">
        <v>7241001</v>
      </c>
      <c r="L3" s="8">
        <v>73.400000000000006</v>
      </c>
      <c r="M3" s="6"/>
    </row>
    <row r="4" spans="1:13">
      <c r="A4" s="7" t="s">
        <v>103</v>
      </c>
      <c r="B4" s="8">
        <v>2010</v>
      </c>
      <c r="C4" s="7" t="s">
        <v>104</v>
      </c>
      <c r="D4" s="8">
        <v>5</v>
      </c>
      <c r="E4" s="8">
        <v>2.5399999999999999E-4</v>
      </c>
      <c r="F4" s="8">
        <v>1.268E-3</v>
      </c>
      <c r="G4" s="8">
        <v>2.5</v>
      </c>
      <c r="H4" s="8">
        <v>98438</v>
      </c>
      <c r="I4" s="8">
        <v>125</v>
      </c>
      <c r="J4" s="8">
        <v>491880</v>
      </c>
      <c r="K4" s="8">
        <v>6846901</v>
      </c>
      <c r="L4" s="8">
        <v>69.56</v>
      </c>
      <c r="M4" s="6"/>
    </row>
    <row r="5" spans="1:13">
      <c r="A5" s="7" t="s">
        <v>103</v>
      </c>
      <c r="B5" s="8">
        <v>2010</v>
      </c>
      <c r="C5" s="7" t="s">
        <v>104</v>
      </c>
      <c r="D5" s="8">
        <v>10</v>
      </c>
      <c r="E5" s="8">
        <v>1.85E-4</v>
      </c>
      <c r="F5" s="8">
        <v>9.2599999999999996E-4</v>
      </c>
      <c r="G5" s="8">
        <v>2.5</v>
      </c>
      <c r="H5" s="8">
        <v>98314</v>
      </c>
      <c r="I5" s="8">
        <v>91</v>
      </c>
      <c r="J5" s="8">
        <v>491340</v>
      </c>
      <c r="K5" s="8">
        <v>6355021</v>
      </c>
      <c r="L5" s="8">
        <v>64.64</v>
      </c>
      <c r="M5" s="6"/>
    </row>
    <row r="6" spans="1:13">
      <c r="A6" s="7" t="s">
        <v>103</v>
      </c>
      <c r="B6" s="8">
        <v>2010</v>
      </c>
      <c r="C6" s="7" t="s">
        <v>104</v>
      </c>
      <c r="D6" s="8">
        <v>15</v>
      </c>
      <c r="E6" s="8">
        <v>1.0189999999999999E-3</v>
      </c>
      <c r="F6" s="8">
        <v>5.0829999999999998E-3</v>
      </c>
      <c r="G6" s="8">
        <v>2.5</v>
      </c>
      <c r="H6" s="8">
        <v>98222</v>
      </c>
      <c r="I6" s="8">
        <v>499</v>
      </c>
      <c r="J6" s="8">
        <v>489864</v>
      </c>
      <c r="K6" s="8">
        <v>5863681</v>
      </c>
      <c r="L6" s="8">
        <v>59.7</v>
      </c>
      <c r="M6" s="6"/>
    </row>
    <row r="7" spans="1:13">
      <c r="A7" s="7" t="s">
        <v>103</v>
      </c>
      <c r="B7" s="8">
        <v>2010</v>
      </c>
      <c r="C7" s="7" t="s">
        <v>104</v>
      </c>
      <c r="D7" s="8">
        <v>20</v>
      </c>
      <c r="E7" s="8">
        <v>1.521E-3</v>
      </c>
      <c r="F7" s="8">
        <v>7.5779999999999997E-3</v>
      </c>
      <c r="G7" s="8">
        <v>2.5</v>
      </c>
      <c r="H7" s="8">
        <v>97723</v>
      </c>
      <c r="I7" s="8">
        <v>741</v>
      </c>
      <c r="J7" s="8">
        <v>486765</v>
      </c>
      <c r="K7" s="8">
        <v>5373817</v>
      </c>
      <c r="L7" s="8">
        <v>54.99</v>
      </c>
      <c r="M7" s="6"/>
    </row>
    <row r="8" spans="1:13">
      <c r="A8" s="7" t="s">
        <v>103</v>
      </c>
      <c r="B8" s="8">
        <v>2010</v>
      </c>
      <c r="C8" s="7" t="s">
        <v>104</v>
      </c>
      <c r="D8" s="8">
        <v>25</v>
      </c>
      <c r="E8" s="8">
        <v>2.0730000000000002E-3</v>
      </c>
      <c r="F8" s="8">
        <v>1.0314E-2</v>
      </c>
      <c r="G8" s="8">
        <v>2.5</v>
      </c>
      <c r="H8" s="8">
        <v>96983</v>
      </c>
      <c r="I8" s="8">
        <v>1000</v>
      </c>
      <c r="J8" s="8">
        <v>482413</v>
      </c>
      <c r="K8" s="8">
        <v>4887052</v>
      </c>
      <c r="L8" s="8">
        <v>50.39</v>
      </c>
      <c r="M8" s="6"/>
    </row>
    <row r="9" spans="1:13">
      <c r="A9" s="7" t="s">
        <v>103</v>
      </c>
      <c r="B9" s="8">
        <v>2010</v>
      </c>
      <c r="C9" s="7" t="s">
        <v>104</v>
      </c>
      <c r="D9" s="8">
        <v>30</v>
      </c>
      <c r="E9" s="8">
        <v>2.5590000000000001E-3</v>
      </c>
      <c r="F9" s="8">
        <v>1.2715000000000001E-2</v>
      </c>
      <c r="G9" s="8">
        <v>2.5</v>
      </c>
      <c r="H9" s="8">
        <v>95982</v>
      </c>
      <c r="I9" s="8">
        <v>1220</v>
      </c>
      <c r="J9" s="8">
        <v>476861</v>
      </c>
      <c r="K9" s="8">
        <v>4404639</v>
      </c>
      <c r="L9" s="8">
        <v>45.89</v>
      </c>
      <c r="M9" s="6"/>
    </row>
    <row r="10" spans="1:13">
      <c r="A10" s="7" t="s">
        <v>103</v>
      </c>
      <c r="B10" s="8">
        <v>2010</v>
      </c>
      <c r="C10" s="7" t="s">
        <v>104</v>
      </c>
      <c r="D10" s="8">
        <v>35</v>
      </c>
      <c r="E10" s="8">
        <v>3.4780000000000002E-3</v>
      </c>
      <c r="F10" s="8">
        <v>1.7239000000000001E-2</v>
      </c>
      <c r="G10" s="8">
        <v>2.5</v>
      </c>
      <c r="H10" s="8">
        <v>94762</v>
      </c>
      <c r="I10" s="8">
        <v>1634</v>
      </c>
      <c r="J10" s="8">
        <v>469726</v>
      </c>
      <c r="K10" s="8">
        <v>3927778</v>
      </c>
      <c r="L10" s="8">
        <v>41.45</v>
      </c>
      <c r="M10" s="6"/>
    </row>
    <row r="11" spans="1:13">
      <c r="A11" s="7" t="s">
        <v>103</v>
      </c>
      <c r="B11" s="8">
        <v>2010</v>
      </c>
      <c r="C11" s="7" t="s">
        <v>104</v>
      </c>
      <c r="D11" s="8">
        <v>40</v>
      </c>
      <c r="E11" s="8">
        <v>4.2950000000000002E-3</v>
      </c>
      <c r="F11" s="8">
        <v>2.1246999999999999E-2</v>
      </c>
      <c r="G11" s="8">
        <v>2.5</v>
      </c>
      <c r="H11" s="8">
        <v>93128</v>
      </c>
      <c r="I11" s="8">
        <v>1979</v>
      </c>
      <c r="J11" s="8">
        <v>460696</v>
      </c>
      <c r="K11" s="8">
        <v>3458051</v>
      </c>
      <c r="L11" s="8">
        <v>37.130000000000003</v>
      </c>
      <c r="M11" s="6"/>
    </row>
    <row r="12" spans="1:13">
      <c r="A12" s="7" t="s">
        <v>103</v>
      </c>
      <c r="B12" s="8">
        <v>2010</v>
      </c>
      <c r="C12" s="7" t="s">
        <v>104</v>
      </c>
      <c r="D12" s="8">
        <v>45</v>
      </c>
      <c r="E12" s="8">
        <v>5.372E-3</v>
      </c>
      <c r="F12" s="8">
        <v>2.6502999999999999E-2</v>
      </c>
      <c r="G12" s="8">
        <v>2.5</v>
      </c>
      <c r="H12" s="8">
        <v>91150</v>
      </c>
      <c r="I12" s="8">
        <v>2416</v>
      </c>
      <c r="J12" s="8">
        <v>449709</v>
      </c>
      <c r="K12" s="8">
        <v>2997356</v>
      </c>
      <c r="L12" s="8">
        <v>32.880000000000003</v>
      </c>
      <c r="M12" s="6"/>
    </row>
    <row r="13" spans="1:13">
      <c r="A13" s="7" t="s">
        <v>103</v>
      </c>
      <c r="B13" s="8">
        <v>2010</v>
      </c>
      <c r="C13" s="7" t="s">
        <v>104</v>
      </c>
      <c r="D13" s="8">
        <v>50</v>
      </c>
      <c r="E13" s="8">
        <v>7.11E-3</v>
      </c>
      <c r="F13" s="8">
        <v>3.4928000000000001E-2</v>
      </c>
      <c r="G13" s="8">
        <v>2.5</v>
      </c>
      <c r="H13" s="8">
        <v>88734</v>
      </c>
      <c r="I13" s="8">
        <v>3099</v>
      </c>
      <c r="J13" s="8">
        <v>435922</v>
      </c>
      <c r="K13" s="8">
        <v>2547646</v>
      </c>
      <c r="L13" s="8">
        <v>28.71</v>
      </c>
      <c r="M13" s="6"/>
    </row>
    <row r="14" spans="1:13">
      <c r="A14" s="7" t="s">
        <v>103</v>
      </c>
      <c r="B14" s="8">
        <v>2010</v>
      </c>
      <c r="C14" s="7" t="s">
        <v>104</v>
      </c>
      <c r="D14" s="8">
        <v>55</v>
      </c>
      <c r="E14" s="8">
        <v>1.0342E-2</v>
      </c>
      <c r="F14" s="8">
        <v>5.0405999999999999E-2</v>
      </c>
      <c r="G14" s="8">
        <v>2.5</v>
      </c>
      <c r="H14" s="8">
        <v>85635</v>
      </c>
      <c r="I14" s="8">
        <v>4316</v>
      </c>
      <c r="J14" s="8">
        <v>417382</v>
      </c>
      <c r="K14" s="8">
        <v>2111725</v>
      </c>
      <c r="L14" s="8">
        <v>24.66</v>
      </c>
      <c r="M14" s="6"/>
    </row>
    <row r="15" spans="1:13">
      <c r="A15" s="7" t="s">
        <v>103</v>
      </c>
      <c r="B15" s="8">
        <v>2010</v>
      </c>
      <c r="C15" s="7" t="s">
        <v>104</v>
      </c>
      <c r="D15" s="8">
        <v>60</v>
      </c>
      <c r="E15" s="8">
        <v>1.6573999999999998E-2</v>
      </c>
      <c r="F15" s="8">
        <v>7.9572000000000004E-2</v>
      </c>
      <c r="G15" s="8">
        <v>2.5</v>
      </c>
      <c r="H15" s="8">
        <v>81318</v>
      </c>
      <c r="I15" s="8">
        <v>6471</v>
      </c>
      <c r="J15" s="8">
        <v>390414</v>
      </c>
      <c r="K15" s="8">
        <v>1694342</v>
      </c>
      <c r="L15" s="8">
        <v>20.84</v>
      </c>
      <c r="M15" s="6"/>
    </row>
    <row r="16" spans="1:13">
      <c r="A16" s="7" t="s">
        <v>103</v>
      </c>
      <c r="B16" s="8">
        <v>2010</v>
      </c>
      <c r="C16" s="7" t="s">
        <v>104</v>
      </c>
      <c r="D16" s="8">
        <v>65</v>
      </c>
      <c r="E16" s="8">
        <v>2.4326E-2</v>
      </c>
      <c r="F16" s="8">
        <v>0.11465500000000001</v>
      </c>
      <c r="G16" s="8">
        <v>2.5</v>
      </c>
      <c r="H16" s="8">
        <v>74848</v>
      </c>
      <c r="I16" s="8">
        <v>8582</v>
      </c>
      <c r="J16" s="8">
        <v>352784</v>
      </c>
      <c r="K16" s="8">
        <v>1303928</v>
      </c>
      <c r="L16" s="8">
        <v>17.420000000000002</v>
      </c>
      <c r="M16" s="6"/>
    </row>
    <row r="17" spans="1:13">
      <c r="A17" s="7" t="s">
        <v>103</v>
      </c>
      <c r="B17" s="8">
        <v>2010</v>
      </c>
      <c r="C17" s="7" t="s">
        <v>104</v>
      </c>
      <c r="D17" s="8">
        <v>70</v>
      </c>
      <c r="E17" s="8">
        <v>3.3937000000000002E-2</v>
      </c>
      <c r="F17" s="8">
        <v>0.156413</v>
      </c>
      <c r="G17" s="8">
        <v>2.5</v>
      </c>
      <c r="H17" s="8">
        <v>66266</v>
      </c>
      <c r="I17" s="8">
        <v>10365</v>
      </c>
      <c r="J17" s="8">
        <v>305417</v>
      </c>
      <c r="K17" s="8">
        <v>951144</v>
      </c>
      <c r="L17" s="8">
        <v>14.35</v>
      </c>
      <c r="M17" s="6"/>
    </row>
    <row r="18" spans="1:13">
      <c r="A18" s="7" t="s">
        <v>103</v>
      </c>
      <c r="B18" s="8">
        <v>2010</v>
      </c>
      <c r="C18" s="7" t="s">
        <v>104</v>
      </c>
      <c r="D18" s="8">
        <v>75</v>
      </c>
      <c r="E18" s="8">
        <v>5.2031000000000001E-2</v>
      </c>
      <c r="F18" s="8">
        <v>0.230211</v>
      </c>
      <c r="G18" s="8">
        <v>2.5</v>
      </c>
      <c r="H18" s="8">
        <v>55901</v>
      </c>
      <c r="I18" s="8">
        <v>12869</v>
      </c>
      <c r="J18" s="8">
        <v>247333</v>
      </c>
      <c r="K18" s="8">
        <v>645727</v>
      </c>
      <c r="L18" s="8">
        <v>11.55</v>
      </c>
      <c r="M18" s="6"/>
    </row>
    <row r="19" spans="1:13">
      <c r="A19" s="7" t="s">
        <v>103</v>
      </c>
      <c r="B19" s="8">
        <v>2010</v>
      </c>
      <c r="C19" s="7" t="s">
        <v>104</v>
      </c>
      <c r="D19" s="8">
        <v>80</v>
      </c>
      <c r="E19" s="8">
        <v>7.6525999999999997E-2</v>
      </c>
      <c r="F19" s="8">
        <v>0.321183</v>
      </c>
      <c r="G19" s="8">
        <v>2.5</v>
      </c>
      <c r="H19" s="8">
        <v>43032</v>
      </c>
      <c r="I19" s="8">
        <v>13821</v>
      </c>
      <c r="J19" s="8">
        <v>180607</v>
      </c>
      <c r="K19" s="8">
        <v>398394</v>
      </c>
      <c r="L19" s="8">
        <v>9.26</v>
      </c>
      <c r="M19" s="6"/>
    </row>
    <row r="20" spans="1:13">
      <c r="A20" s="7" t="s">
        <v>103</v>
      </c>
      <c r="B20" s="8">
        <v>2010</v>
      </c>
      <c r="C20" s="7" t="s">
        <v>104</v>
      </c>
      <c r="D20" s="8">
        <v>85</v>
      </c>
      <c r="E20" s="8">
        <v>0.134126</v>
      </c>
      <c r="F20" s="8">
        <v>1</v>
      </c>
      <c r="G20" s="9" t="s">
        <v>105</v>
      </c>
      <c r="H20" s="8">
        <v>29211</v>
      </c>
      <c r="I20" s="8">
        <v>29211</v>
      </c>
      <c r="J20" s="8">
        <v>217787</v>
      </c>
      <c r="K20" s="8">
        <v>217787</v>
      </c>
      <c r="L20" s="8">
        <v>7.46</v>
      </c>
      <c r="M20" s="6"/>
    </row>
    <row r="21" spans="1:13">
      <c r="A21" s="11" t="s">
        <v>103</v>
      </c>
      <c r="B21" s="12">
        <v>2019</v>
      </c>
      <c r="C21" s="11" t="s">
        <v>104</v>
      </c>
      <c r="D21" s="12">
        <v>0</v>
      </c>
      <c r="E21" s="12">
        <v>9.6050000000000007E-3</v>
      </c>
      <c r="F21" s="12">
        <v>9.5200000000000007E-3</v>
      </c>
      <c r="G21" s="12">
        <v>7.0000000000000007E-2</v>
      </c>
      <c r="H21" s="12">
        <v>100000</v>
      </c>
      <c r="I21" s="12">
        <v>952</v>
      </c>
      <c r="J21" s="12">
        <v>99115</v>
      </c>
      <c r="K21" s="12">
        <v>7122840</v>
      </c>
      <c r="L21" s="12">
        <v>71.23</v>
      </c>
      <c r="M21" s="6"/>
    </row>
    <row r="22" spans="1:13">
      <c r="A22" s="11" t="s">
        <v>103</v>
      </c>
      <c r="B22" s="12">
        <v>2019</v>
      </c>
      <c r="C22" s="11" t="s">
        <v>104</v>
      </c>
      <c r="D22" s="12">
        <v>1</v>
      </c>
      <c r="E22" s="12">
        <v>5.0000000000000001E-4</v>
      </c>
      <c r="F22" s="12">
        <v>1.9980000000000002E-3</v>
      </c>
      <c r="G22" s="12">
        <v>1.62</v>
      </c>
      <c r="H22" s="12">
        <v>99048</v>
      </c>
      <c r="I22" s="12">
        <v>198</v>
      </c>
      <c r="J22" s="12">
        <v>395722</v>
      </c>
      <c r="K22" s="12">
        <v>7023724</v>
      </c>
      <c r="L22" s="12">
        <v>70.91</v>
      </c>
      <c r="M22" s="6"/>
    </row>
    <row r="23" spans="1:13">
      <c r="A23" s="11" t="s">
        <v>103</v>
      </c>
      <c r="B23" s="12">
        <v>2019</v>
      </c>
      <c r="C23" s="11" t="s">
        <v>104</v>
      </c>
      <c r="D23" s="12">
        <v>5</v>
      </c>
      <c r="E23" s="12">
        <v>1.9599999999999999E-4</v>
      </c>
      <c r="F23" s="12">
        <v>9.7799999999999992E-4</v>
      </c>
      <c r="G23" s="12">
        <v>2.5</v>
      </c>
      <c r="H23" s="12">
        <v>98850</v>
      </c>
      <c r="I23" s="12">
        <v>97</v>
      </c>
      <c r="J23" s="12">
        <v>494009</v>
      </c>
      <c r="K23" s="12">
        <v>6628003</v>
      </c>
      <c r="L23" s="12">
        <v>67.05</v>
      </c>
      <c r="M23" s="6"/>
    </row>
    <row r="24" spans="1:13">
      <c r="A24" s="11" t="s">
        <v>103</v>
      </c>
      <c r="B24" s="12">
        <v>2019</v>
      </c>
      <c r="C24" s="11" t="s">
        <v>104</v>
      </c>
      <c r="D24" s="12">
        <v>10</v>
      </c>
      <c r="E24" s="12">
        <v>2.2599999999999999E-4</v>
      </c>
      <c r="F24" s="12">
        <v>1.129E-3</v>
      </c>
      <c r="G24" s="12">
        <v>2.5</v>
      </c>
      <c r="H24" s="12">
        <v>98753</v>
      </c>
      <c r="I24" s="12">
        <v>111</v>
      </c>
      <c r="J24" s="12">
        <v>493489</v>
      </c>
      <c r="K24" s="12">
        <v>6133994</v>
      </c>
      <c r="L24" s="12">
        <v>62.11</v>
      </c>
      <c r="M24" s="6"/>
    </row>
    <row r="25" spans="1:13">
      <c r="A25" s="11" t="s">
        <v>103</v>
      </c>
      <c r="B25" s="12">
        <v>2019</v>
      </c>
      <c r="C25" s="11" t="s">
        <v>104</v>
      </c>
      <c r="D25" s="12">
        <v>15</v>
      </c>
      <c r="E25" s="12">
        <v>1.8190000000000001E-3</v>
      </c>
      <c r="F25" s="12">
        <v>9.0559999999999998E-3</v>
      </c>
      <c r="G25" s="12">
        <v>2.5</v>
      </c>
      <c r="H25" s="12">
        <v>98642</v>
      </c>
      <c r="I25" s="12">
        <v>893</v>
      </c>
      <c r="J25" s="12">
        <v>490976</v>
      </c>
      <c r="K25" s="12">
        <v>5640505</v>
      </c>
      <c r="L25" s="12">
        <v>57.18</v>
      </c>
      <c r="M25" s="6"/>
    </row>
    <row r="26" spans="1:13">
      <c r="A26" s="11" t="s">
        <v>103</v>
      </c>
      <c r="B26" s="12">
        <v>2019</v>
      </c>
      <c r="C26" s="11" t="s">
        <v>104</v>
      </c>
      <c r="D26" s="12">
        <v>20</v>
      </c>
      <c r="E26" s="12">
        <v>4.1790000000000004E-3</v>
      </c>
      <c r="F26" s="12">
        <v>2.0677999999999998E-2</v>
      </c>
      <c r="G26" s="12">
        <v>2.5</v>
      </c>
      <c r="H26" s="12">
        <v>97749</v>
      </c>
      <c r="I26" s="12">
        <v>2021</v>
      </c>
      <c r="J26" s="12">
        <v>483690</v>
      </c>
      <c r="K26" s="12">
        <v>5149529</v>
      </c>
      <c r="L26" s="12">
        <v>52.68</v>
      </c>
      <c r="M26" s="6"/>
    </row>
    <row r="27" spans="1:13">
      <c r="A27" s="11" t="s">
        <v>103</v>
      </c>
      <c r="B27" s="12">
        <v>2019</v>
      </c>
      <c r="C27" s="11" t="s">
        <v>104</v>
      </c>
      <c r="D27" s="12">
        <v>25</v>
      </c>
      <c r="E27" s="12">
        <v>5.1349999999999998E-3</v>
      </c>
      <c r="F27" s="12">
        <v>2.5347999999999999E-2</v>
      </c>
      <c r="G27" s="12">
        <v>2.5</v>
      </c>
      <c r="H27" s="12">
        <v>95727</v>
      </c>
      <c r="I27" s="12">
        <v>2427</v>
      </c>
      <c r="J27" s="12">
        <v>472571</v>
      </c>
      <c r="K27" s="12">
        <v>4665839</v>
      </c>
      <c r="L27" s="12">
        <v>48.74</v>
      </c>
      <c r="M27" s="6"/>
    </row>
    <row r="28" spans="1:13">
      <c r="A28" s="11" t="s">
        <v>103</v>
      </c>
      <c r="B28" s="12">
        <v>2019</v>
      </c>
      <c r="C28" s="11" t="s">
        <v>104</v>
      </c>
      <c r="D28" s="12">
        <v>30</v>
      </c>
      <c r="E28" s="12">
        <v>5.0549999999999996E-3</v>
      </c>
      <c r="F28" s="12">
        <v>2.4962000000000002E-2</v>
      </c>
      <c r="G28" s="12">
        <v>2.5</v>
      </c>
      <c r="H28" s="12">
        <v>93301</v>
      </c>
      <c r="I28" s="12">
        <v>2329</v>
      </c>
      <c r="J28" s="12">
        <v>460682</v>
      </c>
      <c r="K28" s="12">
        <v>4193268</v>
      </c>
      <c r="L28" s="12">
        <v>44.94</v>
      </c>
      <c r="M28" s="6"/>
    </row>
    <row r="29" spans="1:13">
      <c r="A29" s="11" t="s">
        <v>103</v>
      </c>
      <c r="B29" s="12">
        <v>2019</v>
      </c>
      <c r="C29" s="11" t="s">
        <v>104</v>
      </c>
      <c r="D29" s="12">
        <v>35</v>
      </c>
      <c r="E29" s="12">
        <v>4.7609999999999996E-3</v>
      </c>
      <c r="F29" s="12">
        <v>2.3524E-2</v>
      </c>
      <c r="G29" s="12">
        <v>2.5</v>
      </c>
      <c r="H29" s="12">
        <v>90972</v>
      </c>
      <c r="I29" s="12">
        <v>2140</v>
      </c>
      <c r="J29" s="12">
        <v>449509</v>
      </c>
      <c r="K29" s="12">
        <v>3732587</v>
      </c>
      <c r="L29" s="12">
        <v>41.03</v>
      </c>
      <c r="M29" s="6"/>
    </row>
    <row r="30" spans="1:13">
      <c r="A30" s="11" t="s">
        <v>103</v>
      </c>
      <c r="B30" s="12">
        <v>2019</v>
      </c>
      <c r="C30" s="11" t="s">
        <v>104</v>
      </c>
      <c r="D30" s="12">
        <v>40</v>
      </c>
      <c r="E30" s="12">
        <v>6.2979999999999998E-3</v>
      </c>
      <c r="F30" s="12">
        <v>3.1001000000000001E-2</v>
      </c>
      <c r="G30" s="12">
        <v>2.5</v>
      </c>
      <c r="H30" s="12">
        <v>88832</v>
      </c>
      <c r="I30" s="12">
        <v>2754</v>
      </c>
      <c r="J30" s="12">
        <v>437275</v>
      </c>
      <c r="K30" s="12">
        <v>3283077</v>
      </c>
      <c r="L30" s="12">
        <v>36.96</v>
      </c>
      <c r="M30" s="6"/>
    </row>
    <row r="31" spans="1:13">
      <c r="A31" s="11" t="s">
        <v>103</v>
      </c>
      <c r="B31" s="12">
        <v>2019</v>
      </c>
      <c r="C31" s="11" t="s">
        <v>104</v>
      </c>
      <c r="D31" s="12">
        <v>45</v>
      </c>
      <c r="E31" s="12">
        <v>6.6899999999999998E-3</v>
      </c>
      <c r="F31" s="12">
        <v>3.2898999999999998E-2</v>
      </c>
      <c r="G31" s="12">
        <v>2.5</v>
      </c>
      <c r="H31" s="12">
        <v>86078</v>
      </c>
      <c r="I31" s="12">
        <v>2832</v>
      </c>
      <c r="J31" s="12">
        <v>423310</v>
      </c>
      <c r="K31" s="12">
        <v>2845803</v>
      </c>
      <c r="L31" s="12">
        <v>33.06</v>
      </c>
      <c r="M31" s="6"/>
    </row>
    <row r="32" spans="1:13">
      <c r="A32" s="11" t="s">
        <v>103</v>
      </c>
      <c r="B32" s="12">
        <v>2019</v>
      </c>
      <c r="C32" s="11" t="s">
        <v>104</v>
      </c>
      <c r="D32" s="12">
        <v>50</v>
      </c>
      <c r="E32" s="12">
        <v>8.2330000000000007E-3</v>
      </c>
      <c r="F32" s="12">
        <v>4.0335000000000003E-2</v>
      </c>
      <c r="G32" s="12">
        <v>2.5</v>
      </c>
      <c r="H32" s="12">
        <v>83246</v>
      </c>
      <c r="I32" s="12">
        <v>3358</v>
      </c>
      <c r="J32" s="12">
        <v>407836</v>
      </c>
      <c r="K32" s="12">
        <v>2422493</v>
      </c>
      <c r="L32" s="12">
        <v>29.1</v>
      </c>
      <c r="M32" s="6"/>
    </row>
    <row r="33" spans="1:13">
      <c r="A33" s="11" t="s">
        <v>103</v>
      </c>
      <c r="B33" s="12">
        <v>2019</v>
      </c>
      <c r="C33" s="11" t="s">
        <v>104</v>
      </c>
      <c r="D33" s="12">
        <v>55</v>
      </c>
      <c r="E33" s="12">
        <v>1.2302E-2</v>
      </c>
      <c r="F33" s="12">
        <v>5.9677000000000001E-2</v>
      </c>
      <c r="G33" s="12">
        <v>2.5</v>
      </c>
      <c r="H33" s="12">
        <v>79888</v>
      </c>
      <c r="I33" s="12">
        <v>4767</v>
      </c>
      <c r="J33" s="12">
        <v>387523</v>
      </c>
      <c r="K33" s="12">
        <v>2014657</v>
      </c>
      <c r="L33" s="12">
        <v>25.22</v>
      </c>
      <c r="M33" s="6"/>
    </row>
    <row r="34" spans="1:13">
      <c r="A34" s="11" t="s">
        <v>103</v>
      </c>
      <c r="B34" s="12">
        <v>2019</v>
      </c>
      <c r="C34" s="11" t="s">
        <v>104</v>
      </c>
      <c r="D34" s="12">
        <v>60</v>
      </c>
      <c r="E34" s="12">
        <v>1.6714E-2</v>
      </c>
      <c r="F34" s="12">
        <v>8.0217999999999998E-2</v>
      </c>
      <c r="G34" s="12">
        <v>2.5</v>
      </c>
      <c r="H34" s="12">
        <v>75121</v>
      </c>
      <c r="I34" s="12">
        <v>6026</v>
      </c>
      <c r="J34" s="12">
        <v>360539</v>
      </c>
      <c r="K34" s="12">
        <v>1627134</v>
      </c>
      <c r="L34" s="12">
        <v>21.66</v>
      </c>
      <c r="M34" s="6"/>
    </row>
    <row r="35" spans="1:13">
      <c r="A35" s="11" t="s">
        <v>103</v>
      </c>
      <c r="B35" s="12">
        <v>2019</v>
      </c>
      <c r="C35" s="11" t="s">
        <v>104</v>
      </c>
      <c r="D35" s="12">
        <v>65</v>
      </c>
      <c r="E35" s="12">
        <v>1.8872E-2</v>
      </c>
      <c r="F35" s="12">
        <v>9.0107999999999994E-2</v>
      </c>
      <c r="G35" s="12">
        <v>2.5</v>
      </c>
      <c r="H35" s="12">
        <v>69095</v>
      </c>
      <c r="I35" s="12">
        <v>6226</v>
      </c>
      <c r="J35" s="12">
        <v>329909</v>
      </c>
      <c r="K35" s="12">
        <v>1266595</v>
      </c>
      <c r="L35" s="12">
        <v>18.329999999999998</v>
      </c>
      <c r="M35" s="6"/>
    </row>
    <row r="36" spans="1:13">
      <c r="A36" s="11" t="s">
        <v>103</v>
      </c>
      <c r="B36" s="12">
        <v>2019</v>
      </c>
      <c r="C36" s="11" t="s">
        <v>104</v>
      </c>
      <c r="D36" s="12">
        <v>70</v>
      </c>
      <c r="E36" s="12">
        <v>2.8894E-2</v>
      </c>
      <c r="F36" s="12">
        <v>0.134739</v>
      </c>
      <c r="G36" s="12">
        <v>2.5</v>
      </c>
      <c r="H36" s="12">
        <v>62869</v>
      </c>
      <c r="I36" s="12">
        <v>8471</v>
      </c>
      <c r="J36" s="12">
        <v>293167</v>
      </c>
      <c r="K36" s="12">
        <v>936686</v>
      </c>
      <c r="L36" s="12">
        <v>14.9</v>
      </c>
      <c r="M36" s="6"/>
    </row>
    <row r="37" spans="1:13">
      <c r="A37" s="11" t="s">
        <v>103</v>
      </c>
      <c r="B37" s="12">
        <v>2019</v>
      </c>
      <c r="C37" s="11" t="s">
        <v>104</v>
      </c>
      <c r="D37" s="12">
        <v>75</v>
      </c>
      <c r="E37" s="12">
        <v>4.7994000000000002E-2</v>
      </c>
      <c r="F37" s="12">
        <v>0.21426200000000001</v>
      </c>
      <c r="G37" s="12">
        <v>2.5</v>
      </c>
      <c r="H37" s="12">
        <v>54398</v>
      </c>
      <c r="I37" s="12">
        <v>11655</v>
      </c>
      <c r="J37" s="12">
        <v>242851</v>
      </c>
      <c r="K37" s="12">
        <v>643520</v>
      </c>
      <c r="L37" s="12">
        <v>11.83</v>
      </c>
      <c r="M37" s="6"/>
    </row>
    <row r="38" spans="1:13">
      <c r="A38" s="11" t="s">
        <v>103</v>
      </c>
      <c r="B38" s="12">
        <v>2019</v>
      </c>
      <c r="C38" s="11" t="s">
        <v>104</v>
      </c>
      <c r="D38" s="12">
        <v>80</v>
      </c>
      <c r="E38" s="12">
        <v>6.1665999999999999E-2</v>
      </c>
      <c r="F38" s="12">
        <v>0.26714399999999999</v>
      </c>
      <c r="G38" s="12">
        <v>2.5</v>
      </c>
      <c r="H38" s="12">
        <v>42742</v>
      </c>
      <c r="I38" s="12">
        <v>11418</v>
      </c>
      <c r="J38" s="12">
        <v>185166</v>
      </c>
      <c r="K38" s="12">
        <v>400669</v>
      </c>
      <c r="L38" s="12">
        <v>9.3699999999999992</v>
      </c>
      <c r="M38" s="6"/>
    </row>
    <row r="39" spans="1:13">
      <c r="A39" s="11" t="s">
        <v>103</v>
      </c>
      <c r="B39" s="12">
        <v>2019</v>
      </c>
      <c r="C39" s="11" t="s">
        <v>104</v>
      </c>
      <c r="D39" s="12">
        <v>85</v>
      </c>
      <c r="E39" s="12">
        <v>0.14535400000000001</v>
      </c>
      <c r="F39" s="12">
        <v>1</v>
      </c>
      <c r="G39" s="13" t="s">
        <v>105</v>
      </c>
      <c r="H39" s="12">
        <v>31324</v>
      </c>
      <c r="I39" s="12">
        <v>31324</v>
      </c>
      <c r="J39" s="12">
        <v>215502</v>
      </c>
      <c r="K39" s="12">
        <v>215502</v>
      </c>
      <c r="L39" s="12">
        <v>6.88</v>
      </c>
      <c r="M39" s="6"/>
    </row>
    <row r="40" spans="1:13">
      <c r="A40" s="7" t="s">
        <v>103</v>
      </c>
      <c r="B40" s="8">
        <v>2021</v>
      </c>
      <c r="C40" s="7" t="s">
        <v>104</v>
      </c>
      <c r="D40" s="8">
        <v>0</v>
      </c>
      <c r="E40" s="8">
        <v>1.0805E-2</v>
      </c>
      <c r="F40" s="8">
        <v>1.0697999999999999E-2</v>
      </c>
      <c r="G40" s="8">
        <v>7.0000000000000007E-2</v>
      </c>
      <c r="H40" s="8">
        <v>100000</v>
      </c>
      <c r="I40" s="8">
        <v>1070</v>
      </c>
      <c r="J40" s="8">
        <v>99009</v>
      </c>
      <c r="K40" s="8">
        <v>6588000</v>
      </c>
      <c r="L40" s="8">
        <v>65.88</v>
      </c>
      <c r="M40" s="6"/>
    </row>
    <row r="41" spans="1:13">
      <c r="A41" s="7" t="s">
        <v>103</v>
      </c>
      <c r="B41" s="8">
        <v>2021</v>
      </c>
      <c r="C41" s="7" t="s">
        <v>104</v>
      </c>
      <c r="D41" s="8">
        <v>1</v>
      </c>
      <c r="E41" s="8">
        <v>5.1099999999999995E-4</v>
      </c>
      <c r="F41" s="8">
        <v>2.0409999999999998E-3</v>
      </c>
      <c r="G41" s="8">
        <v>1.62</v>
      </c>
      <c r="H41" s="8">
        <v>98930</v>
      </c>
      <c r="I41" s="8">
        <v>202</v>
      </c>
      <c r="J41" s="8">
        <v>395240</v>
      </c>
      <c r="K41" s="8">
        <v>6488991</v>
      </c>
      <c r="L41" s="8">
        <v>65.59</v>
      </c>
      <c r="M41" s="6"/>
    </row>
    <row r="42" spans="1:13">
      <c r="A42" s="7" t="s">
        <v>103</v>
      </c>
      <c r="B42" s="8">
        <v>2021</v>
      </c>
      <c r="C42" s="7" t="s">
        <v>104</v>
      </c>
      <c r="D42" s="8">
        <v>5</v>
      </c>
      <c r="E42" s="8">
        <v>2.9300000000000002E-4</v>
      </c>
      <c r="F42" s="8">
        <v>1.4660000000000001E-3</v>
      </c>
      <c r="G42" s="8">
        <v>2.5</v>
      </c>
      <c r="H42" s="8">
        <v>98728</v>
      </c>
      <c r="I42" s="8">
        <v>145</v>
      </c>
      <c r="J42" s="8">
        <v>493280</v>
      </c>
      <c r="K42" s="8">
        <v>6093750</v>
      </c>
      <c r="L42" s="8">
        <v>61.72</v>
      </c>
      <c r="M42" s="6"/>
    </row>
    <row r="43" spans="1:13">
      <c r="A43" s="7" t="s">
        <v>103</v>
      </c>
      <c r="B43" s="8">
        <v>2021</v>
      </c>
      <c r="C43" s="7" t="s">
        <v>104</v>
      </c>
      <c r="D43" s="8">
        <v>10</v>
      </c>
      <c r="E43" s="8">
        <v>2.5799999999999998E-4</v>
      </c>
      <c r="F43" s="8">
        <v>1.291E-3</v>
      </c>
      <c r="G43" s="8">
        <v>2.5</v>
      </c>
      <c r="H43" s="8">
        <v>98584</v>
      </c>
      <c r="I43" s="8">
        <v>127</v>
      </c>
      <c r="J43" s="8">
        <v>492600</v>
      </c>
      <c r="K43" s="8">
        <v>5600471</v>
      </c>
      <c r="L43" s="8">
        <v>56.81</v>
      </c>
      <c r="M43" s="6"/>
    </row>
    <row r="44" spans="1:13">
      <c r="A44" s="7" t="s">
        <v>103</v>
      </c>
      <c r="B44" s="8">
        <v>2021</v>
      </c>
      <c r="C44" s="7" t="s">
        <v>104</v>
      </c>
      <c r="D44" s="8">
        <v>15</v>
      </c>
      <c r="E44" s="8">
        <v>1.6379999999999999E-3</v>
      </c>
      <c r="F44" s="8">
        <v>8.1550000000000008E-3</v>
      </c>
      <c r="G44" s="8">
        <v>2.5</v>
      </c>
      <c r="H44" s="8">
        <v>98456</v>
      </c>
      <c r="I44" s="8">
        <v>803</v>
      </c>
      <c r="J44" s="8">
        <v>490274</v>
      </c>
      <c r="K44" s="8">
        <v>5107871</v>
      </c>
      <c r="L44" s="8">
        <v>51.88</v>
      </c>
      <c r="M44" s="6"/>
    </row>
    <row r="45" spans="1:13">
      <c r="A45" s="7" t="s">
        <v>103</v>
      </c>
      <c r="B45" s="8">
        <v>2021</v>
      </c>
      <c r="C45" s="7" t="s">
        <v>104</v>
      </c>
      <c r="D45" s="8">
        <v>20</v>
      </c>
      <c r="E45" s="8">
        <v>4.15E-3</v>
      </c>
      <c r="F45" s="8">
        <v>2.0538000000000001E-2</v>
      </c>
      <c r="G45" s="8">
        <v>2.5</v>
      </c>
      <c r="H45" s="8">
        <v>97653</v>
      </c>
      <c r="I45" s="8">
        <v>2006</v>
      </c>
      <c r="J45" s="8">
        <v>483253</v>
      </c>
      <c r="K45" s="8">
        <v>4617597</v>
      </c>
      <c r="L45" s="8">
        <v>47.29</v>
      </c>
      <c r="M45" s="6"/>
    </row>
    <row r="46" spans="1:13">
      <c r="A46" s="7" t="s">
        <v>103</v>
      </c>
      <c r="B46" s="8">
        <v>2021</v>
      </c>
      <c r="C46" s="7" t="s">
        <v>104</v>
      </c>
      <c r="D46" s="8">
        <v>25</v>
      </c>
      <c r="E46" s="8">
        <v>5.4619999999999998E-3</v>
      </c>
      <c r="F46" s="8">
        <v>2.6939999999999999E-2</v>
      </c>
      <c r="G46" s="8">
        <v>2.5</v>
      </c>
      <c r="H46" s="8">
        <v>95648</v>
      </c>
      <c r="I46" s="8">
        <v>2577</v>
      </c>
      <c r="J46" s="8">
        <v>471797</v>
      </c>
      <c r="K46" s="8">
        <v>4134344</v>
      </c>
      <c r="L46" s="8">
        <v>43.22</v>
      </c>
      <c r="M46" s="6"/>
    </row>
    <row r="47" spans="1:13">
      <c r="A47" s="7" t="s">
        <v>103</v>
      </c>
      <c r="B47" s="8">
        <v>2021</v>
      </c>
      <c r="C47" s="7" t="s">
        <v>104</v>
      </c>
      <c r="D47" s="8">
        <v>30</v>
      </c>
      <c r="E47" s="8">
        <v>5.5139999999999998E-3</v>
      </c>
      <c r="F47" s="8">
        <v>2.7193999999999999E-2</v>
      </c>
      <c r="G47" s="8">
        <v>2.5</v>
      </c>
      <c r="H47" s="8">
        <v>93071</v>
      </c>
      <c r="I47" s="8">
        <v>2531</v>
      </c>
      <c r="J47" s="8">
        <v>459027</v>
      </c>
      <c r="K47" s="8">
        <v>3662547</v>
      </c>
      <c r="L47" s="8">
        <v>39.35</v>
      </c>
      <c r="M47" s="6"/>
    </row>
    <row r="48" spans="1:13">
      <c r="A48" s="7" t="s">
        <v>103</v>
      </c>
      <c r="B48" s="8">
        <v>2021</v>
      </c>
      <c r="C48" s="7" t="s">
        <v>104</v>
      </c>
      <c r="D48" s="8">
        <v>35</v>
      </c>
      <c r="E48" s="8">
        <v>6.9239999999999996E-3</v>
      </c>
      <c r="F48" s="8">
        <v>3.4029999999999998E-2</v>
      </c>
      <c r="G48" s="8">
        <v>2.5</v>
      </c>
      <c r="H48" s="8">
        <v>90540</v>
      </c>
      <c r="I48" s="8">
        <v>3081</v>
      </c>
      <c r="J48" s="8">
        <v>444997</v>
      </c>
      <c r="K48" s="8">
        <v>3203520</v>
      </c>
      <c r="L48" s="8">
        <v>35.380000000000003</v>
      </c>
      <c r="M48" s="6"/>
    </row>
    <row r="49" spans="1:13">
      <c r="A49" s="7" t="s">
        <v>103</v>
      </c>
      <c r="B49" s="8">
        <v>2021</v>
      </c>
      <c r="C49" s="7" t="s">
        <v>104</v>
      </c>
      <c r="D49" s="8">
        <v>40</v>
      </c>
      <c r="E49" s="8">
        <v>7.8519999999999996E-3</v>
      </c>
      <c r="F49" s="8">
        <v>3.8503999999999997E-2</v>
      </c>
      <c r="G49" s="8">
        <v>2.5</v>
      </c>
      <c r="H49" s="8">
        <v>87459</v>
      </c>
      <c r="I49" s="8">
        <v>3367</v>
      </c>
      <c r="J49" s="8">
        <v>428876</v>
      </c>
      <c r="K49" s="8">
        <v>2758523</v>
      </c>
      <c r="L49" s="8">
        <v>31.54</v>
      </c>
      <c r="M49" s="6"/>
    </row>
    <row r="50" spans="1:13">
      <c r="A50" s="7" t="s">
        <v>103</v>
      </c>
      <c r="B50" s="8">
        <v>2021</v>
      </c>
      <c r="C50" s="7" t="s">
        <v>104</v>
      </c>
      <c r="D50" s="8">
        <v>45</v>
      </c>
      <c r="E50" s="8">
        <v>8.5380000000000005E-3</v>
      </c>
      <c r="F50" s="8">
        <v>4.1798000000000002E-2</v>
      </c>
      <c r="G50" s="8">
        <v>2.5</v>
      </c>
      <c r="H50" s="8">
        <v>84091</v>
      </c>
      <c r="I50" s="8">
        <v>3515</v>
      </c>
      <c r="J50" s="8">
        <v>411670</v>
      </c>
      <c r="K50" s="8">
        <v>2329647</v>
      </c>
      <c r="L50" s="8">
        <v>27.7</v>
      </c>
      <c r="M50" s="6"/>
    </row>
    <row r="51" spans="1:13">
      <c r="A51" s="7" t="s">
        <v>103</v>
      </c>
      <c r="B51" s="8">
        <v>2021</v>
      </c>
      <c r="C51" s="7" t="s">
        <v>104</v>
      </c>
      <c r="D51" s="8">
        <v>50</v>
      </c>
      <c r="E51" s="8">
        <v>1.3337999999999999E-2</v>
      </c>
      <c r="F51" s="8">
        <v>6.454E-2</v>
      </c>
      <c r="G51" s="8">
        <v>2.5</v>
      </c>
      <c r="H51" s="8">
        <v>80577</v>
      </c>
      <c r="I51" s="8">
        <v>5200</v>
      </c>
      <c r="J51" s="8">
        <v>389882</v>
      </c>
      <c r="K51" s="8">
        <v>1917977</v>
      </c>
      <c r="L51" s="8">
        <v>23.8</v>
      </c>
      <c r="M51" s="6"/>
    </row>
    <row r="52" spans="1:13">
      <c r="A52" s="7" t="s">
        <v>103</v>
      </c>
      <c r="B52" s="8">
        <v>2021</v>
      </c>
      <c r="C52" s="7" t="s">
        <v>104</v>
      </c>
      <c r="D52" s="8">
        <v>55</v>
      </c>
      <c r="E52" s="8">
        <v>1.7801999999999998E-2</v>
      </c>
      <c r="F52" s="8">
        <v>8.5218000000000002E-2</v>
      </c>
      <c r="G52" s="8">
        <v>2.5</v>
      </c>
      <c r="H52" s="8">
        <v>75376</v>
      </c>
      <c r="I52" s="8">
        <v>6423</v>
      </c>
      <c r="J52" s="8">
        <v>360822</v>
      </c>
      <c r="K52" s="8">
        <v>1528095</v>
      </c>
      <c r="L52" s="8">
        <v>20.27</v>
      </c>
      <c r="M52" s="6"/>
    </row>
    <row r="53" spans="1:13">
      <c r="A53" s="7" t="s">
        <v>103</v>
      </c>
      <c r="B53" s="8">
        <v>2021</v>
      </c>
      <c r="C53" s="7" t="s">
        <v>104</v>
      </c>
      <c r="D53" s="8">
        <v>60</v>
      </c>
      <c r="E53" s="8">
        <v>2.5219999999999999E-2</v>
      </c>
      <c r="F53" s="8">
        <v>0.11862300000000001</v>
      </c>
      <c r="G53" s="8">
        <v>2.5</v>
      </c>
      <c r="H53" s="8">
        <v>68953</v>
      </c>
      <c r="I53" s="8">
        <v>8179</v>
      </c>
      <c r="J53" s="8">
        <v>324315</v>
      </c>
      <c r="K53" s="8">
        <v>1167273</v>
      </c>
      <c r="L53" s="8">
        <v>16.93</v>
      </c>
      <c r="M53" s="6"/>
    </row>
    <row r="54" spans="1:13">
      <c r="A54" s="7" t="s">
        <v>103</v>
      </c>
      <c r="B54" s="8">
        <v>2021</v>
      </c>
      <c r="C54" s="7" t="s">
        <v>104</v>
      </c>
      <c r="D54" s="8">
        <v>65</v>
      </c>
      <c r="E54" s="8">
        <v>3.8757E-2</v>
      </c>
      <c r="F54" s="8">
        <v>0.17666699999999999</v>
      </c>
      <c r="G54" s="8">
        <v>2.5</v>
      </c>
      <c r="H54" s="8">
        <v>60773</v>
      </c>
      <c r="I54" s="8">
        <v>10737</v>
      </c>
      <c r="J54" s="8">
        <v>277025</v>
      </c>
      <c r="K54" s="8">
        <v>842958</v>
      </c>
      <c r="L54" s="8">
        <v>13.87</v>
      </c>
      <c r="M54" s="6"/>
    </row>
    <row r="55" spans="1:13">
      <c r="A55" s="7" t="s">
        <v>103</v>
      </c>
      <c r="B55" s="8">
        <v>2021</v>
      </c>
      <c r="C55" s="7" t="s">
        <v>104</v>
      </c>
      <c r="D55" s="8">
        <v>70</v>
      </c>
      <c r="E55" s="8">
        <v>5.1458999999999998E-2</v>
      </c>
      <c r="F55" s="8">
        <v>0.227966</v>
      </c>
      <c r="G55" s="8">
        <v>2.5</v>
      </c>
      <c r="H55" s="8">
        <v>50037</v>
      </c>
      <c r="I55" s="8">
        <v>11407</v>
      </c>
      <c r="J55" s="8">
        <v>221667</v>
      </c>
      <c r="K55" s="8">
        <v>565932</v>
      </c>
      <c r="L55" s="8">
        <v>11.31</v>
      </c>
      <c r="M55" s="6"/>
    </row>
    <row r="56" spans="1:13">
      <c r="A56" s="7" t="s">
        <v>103</v>
      </c>
      <c r="B56" s="8">
        <v>2021</v>
      </c>
      <c r="C56" s="7" t="s">
        <v>104</v>
      </c>
      <c r="D56" s="8">
        <v>75</v>
      </c>
      <c r="E56" s="8">
        <v>7.2031999999999999E-2</v>
      </c>
      <c r="F56" s="8">
        <v>0.30520000000000003</v>
      </c>
      <c r="G56" s="8">
        <v>2.5</v>
      </c>
      <c r="H56" s="8">
        <v>38630</v>
      </c>
      <c r="I56" s="8">
        <v>11790</v>
      </c>
      <c r="J56" s="8">
        <v>163676</v>
      </c>
      <c r="K56" s="8">
        <v>344265</v>
      </c>
      <c r="L56" s="8">
        <v>8.91</v>
      </c>
      <c r="M56" s="6"/>
    </row>
    <row r="57" spans="1:13">
      <c r="A57" s="7" t="s">
        <v>103</v>
      </c>
      <c r="B57" s="8">
        <v>2021</v>
      </c>
      <c r="C57" s="7" t="s">
        <v>104</v>
      </c>
      <c r="D57" s="8">
        <v>80</v>
      </c>
      <c r="E57" s="8">
        <v>0.109236</v>
      </c>
      <c r="F57" s="8">
        <v>0.42901899999999998</v>
      </c>
      <c r="G57" s="8">
        <v>2.5</v>
      </c>
      <c r="H57" s="8">
        <v>26840</v>
      </c>
      <c r="I57" s="8">
        <v>11515</v>
      </c>
      <c r="J57" s="8">
        <v>105413</v>
      </c>
      <c r="K57" s="8">
        <v>180589</v>
      </c>
      <c r="L57" s="8">
        <v>6.73</v>
      </c>
      <c r="M57" s="6"/>
    </row>
    <row r="58" spans="1:13">
      <c r="A58" s="7" t="s">
        <v>103</v>
      </c>
      <c r="B58" s="8">
        <v>2021</v>
      </c>
      <c r="C58" s="7" t="s">
        <v>104</v>
      </c>
      <c r="D58" s="8">
        <v>85</v>
      </c>
      <c r="E58" s="8">
        <v>0.20385800000000001</v>
      </c>
      <c r="F58" s="8">
        <v>1</v>
      </c>
      <c r="G58" s="9" t="s">
        <v>105</v>
      </c>
      <c r="H58" s="8">
        <v>15325</v>
      </c>
      <c r="I58" s="8">
        <v>15325</v>
      </c>
      <c r="J58" s="8">
        <v>75176</v>
      </c>
      <c r="K58" s="8">
        <v>75176</v>
      </c>
      <c r="L58" s="8">
        <v>4.91</v>
      </c>
      <c r="M58" s="6"/>
    </row>
    <row r="59" spans="1:13">
      <c r="A59" s="7" t="s">
        <v>103</v>
      </c>
      <c r="B59" s="8">
        <v>2010</v>
      </c>
      <c r="C59" s="7" t="s">
        <v>106</v>
      </c>
      <c r="D59" s="8">
        <v>0</v>
      </c>
      <c r="E59" s="8">
        <v>1.1875E-2</v>
      </c>
      <c r="F59" s="8">
        <v>1.1747E-2</v>
      </c>
      <c r="G59" s="8">
        <v>0.09</v>
      </c>
      <c r="H59" s="8">
        <v>100000</v>
      </c>
      <c r="I59" s="8">
        <v>1175</v>
      </c>
      <c r="J59" s="8">
        <v>98927</v>
      </c>
      <c r="K59" s="8">
        <v>7943759</v>
      </c>
      <c r="L59" s="8">
        <v>79.44</v>
      </c>
      <c r="M59" s="6"/>
    </row>
    <row r="60" spans="1:13">
      <c r="A60" s="7" t="s">
        <v>103</v>
      </c>
      <c r="B60" s="8">
        <v>2010</v>
      </c>
      <c r="C60" s="7" t="s">
        <v>106</v>
      </c>
      <c r="D60" s="8">
        <v>1</v>
      </c>
      <c r="E60" s="8">
        <v>5.7200000000000003E-4</v>
      </c>
      <c r="F60" s="8">
        <v>2.284E-3</v>
      </c>
      <c r="G60" s="8">
        <v>1.5</v>
      </c>
      <c r="H60" s="8">
        <v>98825</v>
      </c>
      <c r="I60" s="8">
        <v>226</v>
      </c>
      <c r="J60" s="8">
        <v>394738</v>
      </c>
      <c r="K60" s="8">
        <v>7844832</v>
      </c>
      <c r="L60" s="8">
        <v>79.38</v>
      </c>
      <c r="M60" s="6"/>
    </row>
    <row r="61" spans="1:13">
      <c r="A61" s="7" t="s">
        <v>103</v>
      </c>
      <c r="B61" s="8">
        <v>2010</v>
      </c>
      <c r="C61" s="7" t="s">
        <v>106</v>
      </c>
      <c r="D61" s="8">
        <v>5</v>
      </c>
      <c r="E61" s="8">
        <v>2.12E-4</v>
      </c>
      <c r="F61" s="8">
        <v>1.0610000000000001E-3</v>
      </c>
      <c r="G61" s="8">
        <v>2.5</v>
      </c>
      <c r="H61" s="8">
        <v>98600</v>
      </c>
      <c r="I61" s="8">
        <v>105</v>
      </c>
      <c r="J61" s="8">
        <v>492736</v>
      </c>
      <c r="K61" s="8">
        <v>7450094</v>
      </c>
      <c r="L61" s="8">
        <v>75.56</v>
      </c>
      <c r="M61" s="6"/>
    </row>
    <row r="62" spans="1:13">
      <c r="A62" s="7" t="s">
        <v>103</v>
      </c>
      <c r="B62" s="8">
        <v>2010</v>
      </c>
      <c r="C62" s="7" t="s">
        <v>106</v>
      </c>
      <c r="D62" s="8">
        <v>10</v>
      </c>
      <c r="E62" s="8">
        <v>2.0599999999999999E-4</v>
      </c>
      <c r="F62" s="8">
        <v>1.0319999999999999E-3</v>
      </c>
      <c r="G62" s="8">
        <v>2.5</v>
      </c>
      <c r="H62" s="8">
        <v>98495</v>
      </c>
      <c r="I62" s="8">
        <v>102</v>
      </c>
      <c r="J62" s="8">
        <v>492220</v>
      </c>
      <c r="K62" s="8">
        <v>6957358</v>
      </c>
      <c r="L62" s="8">
        <v>70.64</v>
      </c>
      <c r="M62" s="6"/>
    </row>
    <row r="63" spans="1:13">
      <c r="A63" s="7" t="s">
        <v>103</v>
      </c>
      <c r="B63" s="8">
        <v>2010</v>
      </c>
      <c r="C63" s="7" t="s">
        <v>106</v>
      </c>
      <c r="D63" s="8">
        <v>15</v>
      </c>
      <c r="E63" s="8">
        <v>3.5399999999999999E-4</v>
      </c>
      <c r="F63" s="8">
        <v>1.768E-3</v>
      </c>
      <c r="G63" s="8">
        <v>2.5</v>
      </c>
      <c r="H63" s="8">
        <v>98393</v>
      </c>
      <c r="I63" s="8">
        <v>174</v>
      </c>
      <c r="J63" s="8">
        <v>491531</v>
      </c>
      <c r="K63" s="8">
        <v>6465138</v>
      </c>
      <c r="L63" s="8">
        <v>65.709999999999994</v>
      </c>
      <c r="M63" s="6"/>
    </row>
    <row r="64" spans="1:13">
      <c r="A64" s="7" t="s">
        <v>103</v>
      </c>
      <c r="B64" s="8">
        <v>2010</v>
      </c>
      <c r="C64" s="7" t="s">
        <v>106</v>
      </c>
      <c r="D64" s="8">
        <v>20</v>
      </c>
      <c r="E64" s="8">
        <v>4.4299999999999998E-4</v>
      </c>
      <c r="F64" s="8">
        <v>2.2109999999999999E-3</v>
      </c>
      <c r="G64" s="8">
        <v>2.5</v>
      </c>
      <c r="H64" s="8">
        <v>98219</v>
      </c>
      <c r="I64" s="8">
        <v>217</v>
      </c>
      <c r="J64" s="8">
        <v>490553</v>
      </c>
      <c r="K64" s="8">
        <v>5973607</v>
      </c>
      <c r="L64" s="8">
        <v>60.82</v>
      </c>
      <c r="M64" s="6"/>
    </row>
    <row r="65" spans="1:13">
      <c r="A65" s="7" t="s">
        <v>103</v>
      </c>
      <c r="B65" s="8">
        <v>2010</v>
      </c>
      <c r="C65" s="7" t="s">
        <v>106</v>
      </c>
      <c r="D65" s="8">
        <v>25</v>
      </c>
      <c r="E65" s="8">
        <v>7.1699999999999997E-4</v>
      </c>
      <c r="F65" s="8">
        <v>3.581E-3</v>
      </c>
      <c r="G65" s="8">
        <v>2.5</v>
      </c>
      <c r="H65" s="8">
        <v>98002</v>
      </c>
      <c r="I65" s="8">
        <v>351</v>
      </c>
      <c r="J65" s="8">
        <v>489133</v>
      </c>
      <c r="K65" s="8">
        <v>5483053</v>
      </c>
      <c r="L65" s="8">
        <v>55.95</v>
      </c>
      <c r="M65" s="6"/>
    </row>
    <row r="66" spans="1:13">
      <c r="A66" s="7" t="s">
        <v>103</v>
      </c>
      <c r="B66" s="8">
        <v>2010</v>
      </c>
      <c r="C66" s="7" t="s">
        <v>106</v>
      </c>
      <c r="D66" s="8">
        <v>30</v>
      </c>
      <c r="E66" s="8">
        <v>9.9299999999999996E-4</v>
      </c>
      <c r="F66" s="8">
        <v>4.9500000000000004E-3</v>
      </c>
      <c r="G66" s="8">
        <v>2.5</v>
      </c>
      <c r="H66" s="8">
        <v>97651</v>
      </c>
      <c r="I66" s="8">
        <v>483</v>
      </c>
      <c r="J66" s="8">
        <v>487047</v>
      </c>
      <c r="K66" s="8">
        <v>4993920</v>
      </c>
      <c r="L66" s="8">
        <v>51.14</v>
      </c>
      <c r="M66" s="6"/>
    </row>
    <row r="67" spans="1:13">
      <c r="A67" s="7" t="s">
        <v>103</v>
      </c>
      <c r="B67" s="8">
        <v>2010</v>
      </c>
      <c r="C67" s="7" t="s">
        <v>106</v>
      </c>
      <c r="D67" s="8">
        <v>35</v>
      </c>
      <c r="E67" s="8">
        <v>8.3199999999999995E-4</v>
      </c>
      <c r="F67" s="8">
        <v>4.15E-3</v>
      </c>
      <c r="G67" s="8">
        <v>2.5</v>
      </c>
      <c r="H67" s="8">
        <v>97168</v>
      </c>
      <c r="I67" s="8">
        <v>403</v>
      </c>
      <c r="J67" s="8">
        <v>484831</v>
      </c>
      <c r="K67" s="8">
        <v>4506873</v>
      </c>
      <c r="L67" s="8">
        <v>46.38</v>
      </c>
      <c r="M67" s="6"/>
    </row>
    <row r="68" spans="1:13">
      <c r="A68" s="7" t="s">
        <v>103</v>
      </c>
      <c r="B68" s="8">
        <v>2010</v>
      </c>
      <c r="C68" s="7" t="s">
        <v>106</v>
      </c>
      <c r="D68" s="8">
        <v>40</v>
      </c>
      <c r="E68" s="8">
        <v>1.423E-3</v>
      </c>
      <c r="F68" s="8">
        <v>7.0910000000000001E-3</v>
      </c>
      <c r="G68" s="8">
        <v>2.5</v>
      </c>
      <c r="H68" s="8">
        <v>96765</v>
      </c>
      <c r="I68" s="8">
        <v>686</v>
      </c>
      <c r="J68" s="8">
        <v>482107</v>
      </c>
      <c r="K68" s="8">
        <v>4022042</v>
      </c>
      <c r="L68" s="8">
        <v>41.57</v>
      </c>
      <c r="M68" s="6"/>
    </row>
    <row r="69" spans="1:13">
      <c r="A69" s="7" t="s">
        <v>103</v>
      </c>
      <c r="B69" s="8">
        <v>2010</v>
      </c>
      <c r="C69" s="7" t="s">
        <v>106</v>
      </c>
      <c r="D69" s="8">
        <v>45</v>
      </c>
      <c r="E69" s="8">
        <v>2.3249999999999998E-3</v>
      </c>
      <c r="F69" s="8">
        <v>1.1556E-2</v>
      </c>
      <c r="G69" s="8">
        <v>2.5</v>
      </c>
      <c r="H69" s="8">
        <v>96078</v>
      </c>
      <c r="I69" s="8">
        <v>1110</v>
      </c>
      <c r="J69" s="8">
        <v>477616</v>
      </c>
      <c r="K69" s="8">
        <v>3539935</v>
      </c>
      <c r="L69" s="8">
        <v>36.840000000000003</v>
      </c>
      <c r="M69" s="6"/>
    </row>
    <row r="70" spans="1:13">
      <c r="A70" s="7" t="s">
        <v>103</v>
      </c>
      <c r="B70" s="8">
        <v>2010</v>
      </c>
      <c r="C70" s="7" t="s">
        <v>106</v>
      </c>
      <c r="D70" s="8">
        <v>50</v>
      </c>
      <c r="E70" s="8">
        <v>3.179E-3</v>
      </c>
      <c r="F70" s="8">
        <v>1.5769999999999999E-2</v>
      </c>
      <c r="G70" s="8">
        <v>2.5</v>
      </c>
      <c r="H70" s="8">
        <v>94968</v>
      </c>
      <c r="I70" s="8">
        <v>1498</v>
      </c>
      <c r="J70" s="8">
        <v>471096</v>
      </c>
      <c r="K70" s="8">
        <v>3062318</v>
      </c>
      <c r="L70" s="8">
        <v>32.25</v>
      </c>
      <c r="M70" s="6"/>
    </row>
    <row r="71" spans="1:13">
      <c r="A71" s="7" t="s">
        <v>103</v>
      </c>
      <c r="B71" s="8">
        <v>2010</v>
      </c>
      <c r="C71" s="7" t="s">
        <v>106</v>
      </c>
      <c r="D71" s="8">
        <v>55</v>
      </c>
      <c r="E71" s="8">
        <v>6.1060000000000003E-3</v>
      </c>
      <c r="F71" s="8">
        <v>3.0072999999999999E-2</v>
      </c>
      <c r="G71" s="8">
        <v>2.5</v>
      </c>
      <c r="H71" s="8">
        <v>93470</v>
      </c>
      <c r="I71" s="8">
        <v>2811</v>
      </c>
      <c r="J71" s="8">
        <v>460325</v>
      </c>
      <c r="K71" s="8">
        <v>2591222</v>
      </c>
      <c r="L71" s="8">
        <v>27.72</v>
      </c>
      <c r="M71" s="6"/>
    </row>
    <row r="72" spans="1:13">
      <c r="A72" s="7" t="s">
        <v>103</v>
      </c>
      <c r="B72" s="8">
        <v>2010</v>
      </c>
      <c r="C72" s="7" t="s">
        <v>106</v>
      </c>
      <c r="D72" s="8">
        <v>60</v>
      </c>
      <c r="E72" s="8">
        <v>9.1400000000000006E-3</v>
      </c>
      <c r="F72" s="8">
        <v>4.4678000000000002E-2</v>
      </c>
      <c r="G72" s="8">
        <v>2.5</v>
      </c>
      <c r="H72" s="8">
        <v>90659</v>
      </c>
      <c r="I72" s="8">
        <v>4050</v>
      </c>
      <c r="J72" s="8">
        <v>443171</v>
      </c>
      <c r="K72" s="8">
        <v>2130897</v>
      </c>
      <c r="L72" s="8">
        <v>23.5</v>
      </c>
      <c r="M72" s="6"/>
    </row>
    <row r="73" spans="1:13">
      <c r="A73" s="7" t="s">
        <v>103</v>
      </c>
      <c r="B73" s="8">
        <v>2010</v>
      </c>
      <c r="C73" s="7" t="s">
        <v>106</v>
      </c>
      <c r="D73" s="8">
        <v>65</v>
      </c>
      <c r="E73" s="8">
        <v>1.6018000000000001E-2</v>
      </c>
      <c r="F73" s="8">
        <v>7.7004000000000003E-2</v>
      </c>
      <c r="G73" s="8">
        <v>2.5</v>
      </c>
      <c r="H73" s="8">
        <v>86609</v>
      </c>
      <c r="I73" s="8">
        <v>6669</v>
      </c>
      <c r="J73" s="8">
        <v>416372</v>
      </c>
      <c r="K73" s="8">
        <v>1687726</v>
      </c>
      <c r="L73" s="8">
        <v>19.489999999999998</v>
      </c>
      <c r="M73" s="6"/>
    </row>
    <row r="74" spans="1:13">
      <c r="A74" s="7" t="s">
        <v>103</v>
      </c>
      <c r="B74" s="8">
        <v>2010</v>
      </c>
      <c r="C74" s="7" t="s">
        <v>106</v>
      </c>
      <c r="D74" s="8">
        <v>70</v>
      </c>
      <c r="E74" s="8">
        <v>2.4295000000000001E-2</v>
      </c>
      <c r="F74" s="8">
        <v>0.114519</v>
      </c>
      <c r="G74" s="8">
        <v>2.5</v>
      </c>
      <c r="H74" s="8">
        <v>79940</v>
      </c>
      <c r="I74" s="8">
        <v>9155</v>
      </c>
      <c r="J74" s="8">
        <v>376812</v>
      </c>
      <c r="K74" s="8">
        <v>1271354</v>
      </c>
      <c r="L74" s="8">
        <v>15.9</v>
      </c>
      <c r="M74" s="6"/>
    </row>
    <row r="75" spans="1:13">
      <c r="A75" s="7" t="s">
        <v>103</v>
      </c>
      <c r="B75" s="8">
        <v>2010</v>
      </c>
      <c r="C75" s="7" t="s">
        <v>106</v>
      </c>
      <c r="D75" s="8">
        <v>75</v>
      </c>
      <c r="E75" s="8">
        <v>4.2307999999999998E-2</v>
      </c>
      <c r="F75" s="8">
        <v>0.191305</v>
      </c>
      <c r="G75" s="8">
        <v>2.5</v>
      </c>
      <c r="H75" s="8">
        <v>70785</v>
      </c>
      <c r="I75" s="8">
        <v>13542</v>
      </c>
      <c r="J75" s="8">
        <v>320072</v>
      </c>
      <c r="K75" s="8">
        <v>894542</v>
      </c>
      <c r="L75" s="8">
        <v>12.64</v>
      </c>
      <c r="M75" s="6"/>
    </row>
    <row r="76" spans="1:13">
      <c r="A76" s="7" t="s">
        <v>103</v>
      </c>
      <c r="B76" s="8">
        <v>2010</v>
      </c>
      <c r="C76" s="7" t="s">
        <v>106</v>
      </c>
      <c r="D76" s="8">
        <v>80</v>
      </c>
      <c r="E76" s="8">
        <v>5.8358E-2</v>
      </c>
      <c r="F76" s="8">
        <v>0.254639</v>
      </c>
      <c r="G76" s="8">
        <v>2.5</v>
      </c>
      <c r="H76" s="8">
        <v>57244</v>
      </c>
      <c r="I76" s="8">
        <v>14576</v>
      </c>
      <c r="J76" s="8">
        <v>249777</v>
      </c>
      <c r="K76" s="8">
        <v>574470</v>
      </c>
      <c r="L76" s="8">
        <v>10.039999999999999</v>
      </c>
      <c r="M76" s="6"/>
    </row>
    <row r="77" spans="1:13">
      <c r="A77" s="7" t="s">
        <v>103</v>
      </c>
      <c r="B77" s="8">
        <v>2010</v>
      </c>
      <c r="C77" s="7" t="s">
        <v>106</v>
      </c>
      <c r="D77" s="8">
        <v>85</v>
      </c>
      <c r="E77" s="8">
        <v>0.131408</v>
      </c>
      <c r="F77" s="8">
        <v>1</v>
      </c>
      <c r="G77" s="9" t="s">
        <v>105</v>
      </c>
      <c r="H77" s="8">
        <v>42667</v>
      </c>
      <c r="I77" s="8">
        <v>42667</v>
      </c>
      <c r="J77" s="8">
        <v>324693</v>
      </c>
      <c r="K77" s="8">
        <v>324693</v>
      </c>
      <c r="L77" s="8">
        <v>7.61</v>
      </c>
      <c r="M77" s="6"/>
    </row>
    <row r="78" spans="1:13">
      <c r="A78" s="14" t="s">
        <v>103</v>
      </c>
      <c r="B78" s="15">
        <v>2019</v>
      </c>
      <c r="C78" s="14" t="s">
        <v>106</v>
      </c>
      <c r="D78" s="15">
        <v>0</v>
      </c>
      <c r="E78" s="15">
        <v>7.3499999999999998E-3</v>
      </c>
      <c r="F78" s="15">
        <v>7.3000000000000001E-3</v>
      </c>
      <c r="G78" s="15">
        <v>7.0000000000000007E-2</v>
      </c>
      <c r="H78" s="15">
        <v>100000</v>
      </c>
      <c r="I78" s="15">
        <v>730</v>
      </c>
      <c r="J78" s="15">
        <v>99324</v>
      </c>
      <c r="K78" s="15">
        <v>7989013</v>
      </c>
      <c r="L78" s="15">
        <v>79.89</v>
      </c>
      <c r="M78" s="6"/>
    </row>
    <row r="79" spans="1:13">
      <c r="A79" s="14" t="s">
        <v>103</v>
      </c>
      <c r="B79" s="15">
        <v>2019</v>
      </c>
      <c r="C79" s="14" t="s">
        <v>106</v>
      </c>
      <c r="D79" s="15">
        <v>1</v>
      </c>
      <c r="E79" s="15">
        <v>7.9500000000000003E-4</v>
      </c>
      <c r="F79" s="15">
        <v>3.1749999999999999E-3</v>
      </c>
      <c r="G79" s="15">
        <v>1.51</v>
      </c>
      <c r="H79" s="15">
        <v>99270</v>
      </c>
      <c r="I79" s="15">
        <v>315</v>
      </c>
      <c r="J79" s="15">
        <v>396295</v>
      </c>
      <c r="K79" s="15">
        <v>7889690</v>
      </c>
      <c r="L79" s="15">
        <v>79.48</v>
      </c>
      <c r="M79" s="6"/>
    </row>
    <row r="80" spans="1:13">
      <c r="A80" s="14" t="s">
        <v>103</v>
      </c>
      <c r="B80" s="15">
        <v>2019</v>
      </c>
      <c r="C80" s="14" t="s">
        <v>106</v>
      </c>
      <c r="D80" s="15">
        <v>5</v>
      </c>
      <c r="E80" s="15">
        <v>2.72E-4</v>
      </c>
      <c r="F80" s="15">
        <v>1.358E-3</v>
      </c>
      <c r="G80" s="15">
        <v>2.5</v>
      </c>
      <c r="H80" s="15">
        <v>98955</v>
      </c>
      <c r="I80" s="15">
        <v>134</v>
      </c>
      <c r="J80" s="15">
        <v>494438</v>
      </c>
      <c r="K80" s="15">
        <v>7493394</v>
      </c>
      <c r="L80" s="15">
        <v>75.73</v>
      </c>
      <c r="M80" s="6"/>
    </row>
    <row r="81" spans="1:13">
      <c r="A81" s="14" t="s">
        <v>103</v>
      </c>
      <c r="B81" s="15">
        <v>2019</v>
      </c>
      <c r="C81" s="14" t="s">
        <v>106</v>
      </c>
      <c r="D81" s="15">
        <v>10</v>
      </c>
      <c r="E81" s="15">
        <v>1.6799999999999999E-4</v>
      </c>
      <c r="F81" s="15">
        <v>8.3900000000000001E-4</v>
      </c>
      <c r="G81" s="15">
        <v>2.5</v>
      </c>
      <c r="H81" s="15">
        <v>98820</v>
      </c>
      <c r="I81" s="15">
        <v>83</v>
      </c>
      <c r="J81" s="15">
        <v>493895</v>
      </c>
      <c r="K81" s="15">
        <v>6998956</v>
      </c>
      <c r="L81" s="15">
        <v>70.819999999999993</v>
      </c>
      <c r="M81" s="6"/>
    </row>
    <row r="82" spans="1:13">
      <c r="A82" s="14" t="s">
        <v>103</v>
      </c>
      <c r="B82" s="15">
        <v>2019</v>
      </c>
      <c r="C82" s="14" t="s">
        <v>106</v>
      </c>
      <c r="D82" s="15">
        <v>15</v>
      </c>
      <c r="E82" s="15">
        <v>4.6500000000000003E-4</v>
      </c>
      <c r="F82" s="15">
        <v>2.3240000000000001E-3</v>
      </c>
      <c r="G82" s="15">
        <v>2.5</v>
      </c>
      <c r="H82" s="15">
        <v>98738</v>
      </c>
      <c r="I82" s="15">
        <v>229</v>
      </c>
      <c r="J82" s="15">
        <v>493114</v>
      </c>
      <c r="K82" s="15">
        <v>6505061</v>
      </c>
      <c r="L82" s="15">
        <v>65.88</v>
      </c>
      <c r="M82" s="6"/>
    </row>
    <row r="83" spans="1:13">
      <c r="A83" s="14" t="s">
        <v>103</v>
      </c>
      <c r="B83" s="15">
        <v>2019</v>
      </c>
      <c r="C83" s="14" t="s">
        <v>106</v>
      </c>
      <c r="D83" s="15">
        <v>20</v>
      </c>
      <c r="E83" s="15">
        <v>1.1069999999999999E-3</v>
      </c>
      <c r="F83" s="15">
        <v>5.5209999999999999E-3</v>
      </c>
      <c r="G83" s="15">
        <v>2.5</v>
      </c>
      <c r="H83" s="15">
        <v>98508</v>
      </c>
      <c r="I83" s="15">
        <v>544</v>
      </c>
      <c r="J83" s="15">
        <v>491181</v>
      </c>
      <c r="K83" s="15">
        <v>6011947</v>
      </c>
      <c r="L83" s="15">
        <v>61.03</v>
      </c>
      <c r="M83" s="6"/>
    </row>
    <row r="84" spans="1:13">
      <c r="A84" s="14" t="s">
        <v>103</v>
      </c>
      <c r="B84" s="15">
        <v>2019</v>
      </c>
      <c r="C84" s="14" t="s">
        <v>106</v>
      </c>
      <c r="D84" s="15">
        <v>25</v>
      </c>
      <c r="E84" s="15">
        <v>1.2279999999999999E-3</v>
      </c>
      <c r="F84" s="15">
        <v>6.123E-3</v>
      </c>
      <c r="G84" s="15">
        <v>2.5</v>
      </c>
      <c r="H84" s="15">
        <v>97964</v>
      </c>
      <c r="I84" s="15">
        <v>600</v>
      </c>
      <c r="J84" s="15">
        <v>488321</v>
      </c>
      <c r="K84" s="15">
        <v>5520766</v>
      </c>
      <c r="L84" s="15">
        <v>56.35</v>
      </c>
      <c r="M84" s="6"/>
    </row>
    <row r="85" spans="1:13">
      <c r="A85" s="14" t="s">
        <v>103</v>
      </c>
      <c r="B85" s="15">
        <v>2019</v>
      </c>
      <c r="C85" s="14" t="s">
        <v>106</v>
      </c>
      <c r="D85" s="15">
        <v>30</v>
      </c>
      <c r="E85" s="15">
        <v>1.0169999999999999E-3</v>
      </c>
      <c r="F85" s="15">
        <v>5.0740000000000004E-3</v>
      </c>
      <c r="G85" s="15">
        <v>2.5</v>
      </c>
      <c r="H85" s="15">
        <v>97364</v>
      </c>
      <c r="I85" s="15">
        <v>494</v>
      </c>
      <c r="J85" s="15">
        <v>485587</v>
      </c>
      <c r="K85" s="15">
        <v>5032445</v>
      </c>
      <c r="L85" s="15">
        <v>51.69</v>
      </c>
      <c r="M85" s="6"/>
    </row>
    <row r="86" spans="1:13">
      <c r="A86" s="14" t="s">
        <v>103</v>
      </c>
      <c r="B86" s="15">
        <v>2019</v>
      </c>
      <c r="C86" s="14" t="s">
        <v>106</v>
      </c>
      <c r="D86" s="15">
        <v>35</v>
      </c>
      <c r="E86" s="15">
        <v>1.1180000000000001E-3</v>
      </c>
      <c r="F86" s="15">
        <v>5.5719999999999997E-3</v>
      </c>
      <c r="G86" s="15">
        <v>2.5</v>
      </c>
      <c r="H86" s="15">
        <v>96870</v>
      </c>
      <c r="I86" s="15">
        <v>540</v>
      </c>
      <c r="J86" s="15">
        <v>483002</v>
      </c>
      <c r="K86" s="15">
        <v>4546858</v>
      </c>
      <c r="L86" s="15">
        <v>46.94</v>
      </c>
      <c r="M86" s="6"/>
    </row>
    <row r="87" spans="1:13">
      <c r="A87" s="14" t="s">
        <v>103</v>
      </c>
      <c r="B87" s="15">
        <v>2019</v>
      </c>
      <c r="C87" s="14" t="s">
        <v>106</v>
      </c>
      <c r="D87" s="15">
        <v>40</v>
      </c>
      <c r="E87" s="15">
        <v>1.691E-3</v>
      </c>
      <c r="F87" s="15">
        <v>8.4200000000000004E-3</v>
      </c>
      <c r="G87" s="15">
        <v>2.5</v>
      </c>
      <c r="H87" s="15">
        <v>96331</v>
      </c>
      <c r="I87" s="15">
        <v>811</v>
      </c>
      <c r="J87" s="15">
        <v>479625</v>
      </c>
      <c r="K87" s="15">
        <v>4063856</v>
      </c>
      <c r="L87" s="15">
        <v>42.19</v>
      </c>
      <c r="M87" s="6"/>
    </row>
    <row r="88" spans="1:13">
      <c r="A88" s="14" t="s">
        <v>103</v>
      </c>
      <c r="B88" s="15">
        <v>2019</v>
      </c>
      <c r="C88" s="14" t="s">
        <v>106</v>
      </c>
      <c r="D88" s="15">
        <v>45</v>
      </c>
      <c r="E88" s="15">
        <v>3.143E-3</v>
      </c>
      <c r="F88" s="15">
        <v>1.559E-2</v>
      </c>
      <c r="G88" s="15">
        <v>2.5</v>
      </c>
      <c r="H88" s="15">
        <v>95519</v>
      </c>
      <c r="I88" s="15">
        <v>1489</v>
      </c>
      <c r="J88" s="15">
        <v>473874</v>
      </c>
      <c r="K88" s="15">
        <v>3584231</v>
      </c>
      <c r="L88" s="15">
        <v>37.520000000000003</v>
      </c>
      <c r="M88" s="6"/>
    </row>
    <row r="89" spans="1:13">
      <c r="A89" s="14" t="s">
        <v>103</v>
      </c>
      <c r="B89" s="15">
        <v>2019</v>
      </c>
      <c r="C89" s="14" t="s">
        <v>106</v>
      </c>
      <c r="D89" s="15">
        <v>50</v>
      </c>
      <c r="E89" s="15">
        <v>3.8019999999999998E-3</v>
      </c>
      <c r="F89" s="15">
        <v>1.8832000000000002E-2</v>
      </c>
      <c r="G89" s="15">
        <v>2.5</v>
      </c>
      <c r="H89" s="15">
        <v>94030</v>
      </c>
      <c r="I89" s="15">
        <v>1771</v>
      </c>
      <c r="J89" s="15">
        <v>465725</v>
      </c>
      <c r="K89" s="15">
        <v>3110356</v>
      </c>
      <c r="L89" s="15">
        <v>33.08</v>
      </c>
      <c r="M89" s="6"/>
    </row>
    <row r="90" spans="1:13">
      <c r="A90" s="14" t="s">
        <v>103</v>
      </c>
      <c r="B90" s="15">
        <v>2019</v>
      </c>
      <c r="C90" s="14" t="s">
        <v>106</v>
      </c>
      <c r="D90" s="15">
        <v>55</v>
      </c>
      <c r="E90" s="15">
        <v>5.2729999999999999E-3</v>
      </c>
      <c r="F90" s="15">
        <v>2.6020999999999999E-2</v>
      </c>
      <c r="G90" s="15">
        <v>2.5</v>
      </c>
      <c r="H90" s="15">
        <v>92260</v>
      </c>
      <c r="I90" s="15">
        <v>2401</v>
      </c>
      <c r="J90" s="15">
        <v>455296</v>
      </c>
      <c r="K90" s="15">
        <v>2644631</v>
      </c>
      <c r="L90" s="15">
        <v>28.67</v>
      </c>
      <c r="M90" s="6"/>
    </row>
    <row r="91" spans="1:13">
      <c r="A91" s="14" t="s">
        <v>103</v>
      </c>
      <c r="B91" s="15">
        <v>2019</v>
      </c>
      <c r="C91" s="14" t="s">
        <v>106</v>
      </c>
      <c r="D91" s="15">
        <v>60</v>
      </c>
      <c r="E91" s="15">
        <v>8.9809999999999994E-3</v>
      </c>
      <c r="F91" s="15">
        <v>4.3920000000000001E-2</v>
      </c>
      <c r="G91" s="15">
        <v>2.5</v>
      </c>
      <c r="H91" s="15">
        <v>89859</v>
      </c>
      <c r="I91" s="15">
        <v>3947</v>
      </c>
      <c r="J91" s="15">
        <v>439428</v>
      </c>
      <c r="K91" s="15">
        <v>2189335</v>
      </c>
      <c r="L91" s="15">
        <v>24.36</v>
      </c>
      <c r="M91" s="6"/>
    </row>
    <row r="92" spans="1:13">
      <c r="A92" s="14" t="s">
        <v>103</v>
      </c>
      <c r="B92" s="15">
        <v>2019</v>
      </c>
      <c r="C92" s="14" t="s">
        <v>106</v>
      </c>
      <c r="D92" s="15">
        <v>65</v>
      </c>
      <c r="E92" s="15">
        <v>1.4255E-2</v>
      </c>
      <c r="F92" s="15">
        <v>6.8821999999999994E-2</v>
      </c>
      <c r="G92" s="15">
        <v>2.5</v>
      </c>
      <c r="H92" s="15">
        <v>85912</v>
      </c>
      <c r="I92" s="15">
        <v>5913</v>
      </c>
      <c r="J92" s="15">
        <v>414780</v>
      </c>
      <c r="K92" s="15">
        <v>1749907</v>
      </c>
      <c r="L92" s="15">
        <v>20.37</v>
      </c>
      <c r="M92" s="6"/>
    </row>
    <row r="93" spans="1:13">
      <c r="A93" s="14" t="s">
        <v>103</v>
      </c>
      <c r="B93" s="15">
        <v>2019</v>
      </c>
      <c r="C93" s="14" t="s">
        <v>106</v>
      </c>
      <c r="D93" s="15">
        <v>70</v>
      </c>
      <c r="E93" s="15">
        <v>1.8977999999999998E-2</v>
      </c>
      <c r="F93" s="15">
        <v>9.0590000000000004E-2</v>
      </c>
      <c r="G93" s="15">
        <v>2.5</v>
      </c>
      <c r="H93" s="15">
        <v>80000</v>
      </c>
      <c r="I93" s="15">
        <v>7247</v>
      </c>
      <c r="J93" s="15">
        <v>381880</v>
      </c>
      <c r="K93" s="15">
        <v>1335127</v>
      </c>
      <c r="L93" s="15">
        <v>16.690000000000001</v>
      </c>
      <c r="M93" s="6"/>
    </row>
    <row r="94" spans="1:13">
      <c r="A94" s="14" t="s">
        <v>103</v>
      </c>
      <c r="B94" s="15">
        <v>2019</v>
      </c>
      <c r="C94" s="14" t="s">
        <v>106</v>
      </c>
      <c r="D94" s="15">
        <v>75</v>
      </c>
      <c r="E94" s="15">
        <v>3.5677E-2</v>
      </c>
      <c r="F94" s="15">
        <v>0.163775</v>
      </c>
      <c r="G94" s="15">
        <v>2.5</v>
      </c>
      <c r="H94" s="15">
        <v>72752</v>
      </c>
      <c r="I94" s="15">
        <v>11915</v>
      </c>
      <c r="J94" s="15">
        <v>333975</v>
      </c>
      <c r="K94" s="15">
        <v>953247</v>
      </c>
      <c r="L94" s="15">
        <v>13.1</v>
      </c>
      <c r="M94" s="6"/>
    </row>
    <row r="95" spans="1:13">
      <c r="A95" s="14" t="s">
        <v>103</v>
      </c>
      <c r="B95" s="15">
        <v>2019</v>
      </c>
      <c r="C95" s="14" t="s">
        <v>106</v>
      </c>
      <c r="D95" s="15">
        <v>80</v>
      </c>
      <c r="E95" s="15">
        <v>5.6121999999999998E-2</v>
      </c>
      <c r="F95" s="15">
        <v>0.246085</v>
      </c>
      <c r="G95" s="15">
        <v>2.5</v>
      </c>
      <c r="H95" s="15">
        <v>60837</v>
      </c>
      <c r="I95" s="15">
        <v>14971</v>
      </c>
      <c r="J95" s="15">
        <v>266759</v>
      </c>
      <c r="K95" s="15">
        <v>619272</v>
      </c>
      <c r="L95" s="15">
        <v>10.18</v>
      </c>
      <c r="M95" s="6"/>
    </row>
    <row r="96" spans="1:13">
      <c r="A96" s="14" t="s">
        <v>103</v>
      </c>
      <c r="B96" s="15">
        <v>2019</v>
      </c>
      <c r="C96" s="14" t="s">
        <v>106</v>
      </c>
      <c r="D96" s="15">
        <v>85</v>
      </c>
      <c r="E96" s="15">
        <v>0.13011200000000001</v>
      </c>
      <c r="F96" s="15">
        <v>1</v>
      </c>
      <c r="G96" s="16" t="s">
        <v>105</v>
      </c>
      <c r="H96" s="15">
        <v>45866</v>
      </c>
      <c r="I96" s="15">
        <v>45866</v>
      </c>
      <c r="J96" s="15">
        <v>352513</v>
      </c>
      <c r="K96" s="15">
        <v>352513</v>
      </c>
      <c r="L96" s="15">
        <v>7.69</v>
      </c>
      <c r="M96" s="6"/>
    </row>
    <row r="97" spans="1:13">
      <c r="A97" s="7" t="s">
        <v>103</v>
      </c>
      <c r="B97" s="8">
        <v>2021</v>
      </c>
      <c r="C97" s="7" t="s">
        <v>106</v>
      </c>
      <c r="D97" s="8">
        <v>0</v>
      </c>
      <c r="E97" s="8">
        <v>7.953E-3</v>
      </c>
      <c r="F97" s="8">
        <v>7.8949999999999992E-3</v>
      </c>
      <c r="G97" s="8">
        <v>0.08</v>
      </c>
      <c r="H97" s="8">
        <v>100000</v>
      </c>
      <c r="I97" s="8">
        <v>789</v>
      </c>
      <c r="J97" s="8">
        <v>99270</v>
      </c>
      <c r="K97" s="8">
        <v>7495130</v>
      </c>
      <c r="L97" s="8">
        <v>74.95</v>
      </c>
      <c r="M97" s="6"/>
    </row>
    <row r="98" spans="1:13">
      <c r="A98" s="7" t="s">
        <v>103</v>
      </c>
      <c r="B98" s="8">
        <v>2021</v>
      </c>
      <c r="C98" s="7" t="s">
        <v>106</v>
      </c>
      <c r="D98" s="8">
        <v>1</v>
      </c>
      <c r="E98" s="8">
        <v>2.3800000000000001E-4</v>
      </c>
      <c r="F98" s="8">
        <v>9.5100000000000002E-4</v>
      </c>
      <c r="G98" s="8">
        <v>1.51</v>
      </c>
      <c r="H98" s="8">
        <v>99211</v>
      </c>
      <c r="I98" s="8">
        <v>94</v>
      </c>
      <c r="J98" s="8">
        <v>396607</v>
      </c>
      <c r="K98" s="8">
        <v>7395860</v>
      </c>
      <c r="L98" s="8">
        <v>74.55</v>
      </c>
      <c r="M98" s="6"/>
    </row>
    <row r="99" spans="1:13">
      <c r="A99" s="7" t="s">
        <v>103</v>
      </c>
      <c r="B99" s="8">
        <v>2021</v>
      </c>
      <c r="C99" s="7" t="s">
        <v>106</v>
      </c>
      <c r="D99" s="8">
        <v>5</v>
      </c>
      <c r="E99" s="8">
        <v>3.4000000000000002E-4</v>
      </c>
      <c r="F99" s="8">
        <v>1.6980000000000001E-3</v>
      </c>
      <c r="G99" s="8">
        <v>2.5</v>
      </c>
      <c r="H99" s="8">
        <v>99116</v>
      </c>
      <c r="I99" s="8">
        <v>168</v>
      </c>
      <c r="J99" s="8">
        <v>495160</v>
      </c>
      <c r="K99" s="8">
        <v>6999253</v>
      </c>
      <c r="L99" s="8">
        <v>70.62</v>
      </c>
      <c r="M99" s="6"/>
    </row>
    <row r="100" spans="1:13">
      <c r="A100" s="7" t="s">
        <v>103</v>
      </c>
      <c r="B100" s="8">
        <v>2021</v>
      </c>
      <c r="C100" s="7" t="s">
        <v>106</v>
      </c>
      <c r="D100" s="8">
        <v>10</v>
      </c>
      <c r="E100" s="8">
        <v>3.3300000000000002E-4</v>
      </c>
      <c r="F100" s="8">
        <v>1.663E-3</v>
      </c>
      <c r="G100" s="8">
        <v>2.5</v>
      </c>
      <c r="H100" s="8">
        <v>98948</v>
      </c>
      <c r="I100" s="8">
        <v>165</v>
      </c>
      <c r="J100" s="8">
        <v>494328</v>
      </c>
      <c r="K100" s="8">
        <v>6504093</v>
      </c>
      <c r="L100" s="8">
        <v>65.73</v>
      </c>
      <c r="M100" s="6"/>
    </row>
    <row r="101" spans="1:13">
      <c r="A101" s="7" t="s">
        <v>103</v>
      </c>
      <c r="B101" s="8">
        <v>2021</v>
      </c>
      <c r="C101" s="7" t="s">
        <v>106</v>
      </c>
      <c r="D101" s="8">
        <v>15</v>
      </c>
      <c r="E101" s="8">
        <v>6.0099999999999997E-4</v>
      </c>
      <c r="F101" s="8">
        <v>3.0019999999999999E-3</v>
      </c>
      <c r="G101" s="8">
        <v>2.5</v>
      </c>
      <c r="H101" s="8">
        <v>98783</v>
      </c>
      <c r="I101" s="8">
        <v>297</v>
      </c>
      <c r="J101" s="8">
        <v>493175</v>
      </c>
      <c r="K101" s="8">
        <v>6009765</v>
      </c>
      <c r="L101" s="8">
        <v>60.84</v>
      </c>
      <c r="M101" s="6"/>
    </row>
    <row r="102" spans="1:13">
      <c r="A102" s="7" t="s">
        <v>103</v>
      </c>
      <c r="B102" s="8">
        <v>2021</v>
      </c>
      <c r="C102" s="7" t="s">
        <v>106</v>
      </c>
      <c r="D102" s="8">
        <v>20</v>
      </c>
      <c r="E102" s="8">
        <v>6.7500000000000004E-4</v>
      </c>
      <c r="F102" s="8">
        <v>3.369E-3</v>
      </c>
      <c r="G102" s="8">
        <v>2.5</v>
      </c>
      <c r="H102" s="8">
        <v>98487</v>
      </c>
      <c r="I102" s="8">
        <v>332</v>
      </c>
      <c r="J102" s="8">
        <v>491604</v>
      </c>
      <c r="K102" s="8">
        <v>5516590</v>
      </c>
      <c r="L102" s="8">
        <v>56.01</v>
      </c>
      <c r="M102" s="6"/>
    </row>
    <row r="103" spans="1:13">
      <c r="A103" s="7" t="s">
        <v>103</v>
      </c>
      <c r="B103" s="8">
        <v>2021</v>
      </c>
      <c r="C103" s="7" t="s">
        <v>106</v>
      </c>
      <c r="D103" s="8">
        <v>25</v>
      </c>
      <c r="E103" s="8">
        <v>1.1739999999999999E-3</v>
      </c>
      <c r="F103" s="8">
        <v>5.8520000000000004E-3</v>
      </c>
      <c r="G103" s="8">
        <v>2.5</v>
      </c>
      <c r="H103" s="8">
        <v>98155</v>
      </c>
      <c r="I103" s="8">
        <v>574</v>
      </c>
      <c r="J103" s="8">
        <v>489339</v>
      </c>
      <c r="K103" s="8">
        <v>5024986</v>
      </c>
      <c r="L103" s="8">
        <v>51.19</v>
      </c>
      <c r="M103" s="6"/>
    </row>
    <row r="104" spans="1:13">
      <c r="A104" s="7" t="s">
        <v>103</v>
      </c>
      <c r="B104" s="8">
        <v>2021</v>
      </c>
      <c r="C104" s="7" t="s">
        <v>106</v>
      </c>
      <c r="D104" s="8">
        <v>30</v>
      </c>
      <c r="E104" s="8">
        <v>1.549E-3</v>
      </c>
      <c r="F104" s="8">
        <v>7.7149999999999996E-3</v>
      </c>
      <c r="G104" s="8">
        <v>2.5</v>
      </c>
      <c r="H104" s="8">
        <v>97581</v>
      </c>
      <c r="I104" s="8">
        <v>753</v>
      </c>
      <c r="J104" s="8">
        <v>486020</v>
      </c>
      <c r="K104" s="8">
        <v>4535647</v>
      </c>
      <c r="L104" s="8">
        <v>46.48</v>
      </c>
      <c r="M104" s="6"/>
    </row>
    <row r="105" spans="1:13">
      <c r="A105" s="7" t="s">
        <v>103</v>
      </c>
      <c r="B105" s="8">
        <v>2021</v>
      </c>
      <c r="C105" s="7" t="s">
        <v>106</v>
      </c>
      <c r="D105" s="8">
        <v>35</v>
      </c>
      <c r="E105" s="8">
        <v>2.078E-3</v>
      </c>
      <c r="F105" s="8">
        <v>1.0338E-2</v>
      </c>
      <c r="G105" s="8">
        <v>2.5</v>
      </c>
      <c r="H105" s="8">
        <v>96828</v>
      </c>
      <c r="I105" s="8">
        <v>1001</v>
      </c>
      <c r="J105" s="8">
        <v>481636</v>
      </c>
      <c r="K105" s="8">
        <v>4049627</v>
      </c>
      <c r="L105" s="8">
        <v>41.82</v>
      </c>
      <c r="M105" s="6"/>
    </row>
    <row r="106" spans="1:13">
      <c r="A106" s="7" t="s">
        <v>103</v>
      </c>
      <c r="B106" s="8">
        <v>2021</v>
      </c>
      <c r="C106" s="7" t="s">
        <v>106</v>
      </c>
      <c r="D106" s="8">
        <v>40</v>
      </c>
      <c r="E106" s="8">
        <v>2.3900000000000002E-3</v>
      </c>
      <c r="F106" s="8">
        <v>1.1880999999999999E-2</v>
      </c>
      <c r="G106" s="8">
        <v>2.5</v>
      </c>
      <c r="H106" s="8">
        <v>95827</v>
      </c>
      <c r="I106" s="8">
        <v>1139</v>
      </c>
      <c r="J106" s="8">
        <v>476287</v>
      </c>
      <c r="K106" s="8">
        <v>3567991</v>
      </c>
      <c r="L106" s="8">
        <v>37.229999999999997</v>
      </c>
      <c r="M106" s="6"/>
    </row>
    <row r="107" spans="1:13">
      <c r="A107" s="7" t="s">
        <v>103</v>
      </c>
      <c r="B107" s="8">
        <v>2021</v>
      </c>
      <c r="C107" s="7" t="s">
        <v>106</v>
      </c>
      <c r="D107" s="8">
        <v>45</v>
      </c>
      <c r="E107" s="8">
        <v>4.5779999999999996E-3</v>
      </c>
      <c r="F107" s="8">
        <v>2.2630999999999998E-2</v>
      </c>
      <c r="G107" s="8">
        <v>2.5</v>
      </c>
      <c r="H107" s="8">
        <v>94688</v>
      </c>
      <c r="I107" s="8">
        <v>2143</v>
      </c>
      <c r="J107" s="8">
        <v>468084</v>
      </c>
      <c r="K107" s="8">
        <v>3091704</v>
      </c>
      <c r="L107" s="8">
        <v>32.65</v>
      </c>
      <c r="M107" s="6"/>
    </row>
    <row r="108" spans="1:13">
      <c r="A108" s="7" t="s">
        <v>103</v>
      </c>
      <c r="B108" s="8">
        <v>2021</v>
      </c>
      <c r="C108" s="7" t="s">
        <v>106</v>
      </c>
      <c r="D108" s="8">
        <v>50</v>
      </c>
      <c r="E108" s="8">
        <v>6.633E-3</v>
      </c>
      <c r="F108" s="8">
        <v>3.2624E-2</v>
      </c>
      <c r="G108" s="8">
        <v>2.5</v>
      </c>
      <c r="H108" s="8">
        <v>92545</v>
      </c>
      <c r="I108" s="8">
        <v>3019</v>
      </c>
      <c r="J108" s="8">
        <v>455178</v>
      </c>
      <c r="K108" s="8">
        <v>2623620</v>
      </c>
      <c r="L108" s="8">
        <v>28.35</v>
      </c>
      <c r="M108" s="6"/>
    </row>
    <row r="109" spans="1:13">
      <c r="A109" s="7" t="s">
        <v>103</v>
      </c>
      <c r="B109" s="8">
        <v>2021</v>
      </c>
      <c r="C109" s="7" t="s">
        <v>106</v>
      </c>
      <c r="D109" s="8">
        <v>55</v>
      </c>
      <c r="E109" s="8">
        <v>1.0441000000000001E-2</v>
      </c>
      <c r="F109" s="8">
        <v>5.0879000000000001E-2</v>
      </c>
      <c r="G109" s="8">
        <v>2.5</v>
      </c>
      <c r="H109" s="8">
        <v>89526</v>
      </c>
      <c r="I109" s="8">
        <v>4555</v>
      </c>
      <c r="J109" s="8">
        <v>436243</v>
      </c>
      <c r="K109" s="8">
        <v>2168442</v>
      </c>
      <c r="L109" s="8">
        <v>24.22</v>
      </c>
      <c r="M109" s="6"/>
    </row>
    <row r="110" spans="1:13">
      <c r="A110" s="7" t="s">
        <v>103</v>
      </c>
      <c r="B110" s="8">
        <v>2021</v>
      </c>
      <c r="C110" s="7" t="s">
        <v>106</v>
      </c>
      <c r="D110" s="8">
        <v>60</v>
      </c>
      <c r="E110" s="8">
        <v>1.4108000000000001E-2</v>
      </c>
      <c r="F110" s="8">
        <v>6.8137000000000003E-2</v>
      </c>
      <c r="G110" s="8">
        <v>2.5</v>
      </c>
      <c r="H110" s="8">
        <v>84971</v>
      </c>
      <c r="I110" s="8">
        <v>5790</v>
      </c>
      <c r="J110" s="8">
        <v>410381</v>
      </c>
      <c r="K110" s="8">
        <v>1732199</v>
      </c>
      <c r="L110" s="8">
        <v>20.39</v>
      </c>
      <c r="M110" s="6"/>
    </row>
    <row r="111" spans="1:13">
      <c r="A111" s="7" t="s">
        <v>103</v>
      </c>
      <c r="B111" s="8">
        <v>2021</v>
      </c>
      <c r="C111" s="7" t="s">
        <v>106</v>
      </c>
      <c r="D111" s="8">
        <v>65</v>
      </c>
      <c r="E111" s="8">
        <v>2.3657999999999998E-2</v>
      </c>
      <c r="F111" s="8">
        <v>0.11168500000000001</v>
      </c>
      <c r="G111" s="8">
        <v>2.5</v>
      </c>
      <c r="H111" s="8">
        <v>79181</v>
      </c>
      <c r="I111" s="8">
        <v>8843</v>
      </c>
      <c r="J111" s="8">
        <v>373799</v>
      </c>
      <c r="K111" s="8">
        <v>1321817</v>
      </c>
      <c r="L111" s="8">
        <v>16.690000000000001</v>
      </c>
      <c r="M111" s="6"/>
    </row>
    <row r="112" spans="1:13">
      <c r="A112" s="7" t="s">
        <v>103</v>
      </c>
      <c r="B112" s="8">
        <v>2021</v>
      </c>
      <c r="C112" s="7" t="s">
        <v>106</v>
      </c>
      <c r="D112" s="8">
        <v>70</v>
      </c>
      <c r="E112" s="8">
        <v>3.6582000000000003E-2</v>
      </c>
      <c r="F112" s="8">
        <v>0.16758500000000001</v>
      </c>
      <c r="G112" s="8">
        <v>2.5</v>
      </c>
      <c r="H112" s="8">
        <v>70338</v>
      </c>
      <c r="I112" s="8">
        <v>11788</v>
      </c>
      <c r="J112" s="8">
        <v>322221</v>
      </c>
      <c r="K112" s="8">
        <v>948018</v>
      </c>
      <c r="L112" s="8">
        <v>13.48</v>
      </c>
      <c r="M112" s="6"/>
    </row>
    <row r="113" spans="1:13">
      <c r="A113" s="7" t="s">
        <v>103</v>
      </c>
      <c r="B113" s="8">
        <v>2021</v>
      </c>
      <c r="C113" s="7" t="s">
        <v>106</v>
      </c>
      <c r="D113" s="8">
        <v>75</v>
      </c>
      <c r="E113" s="8">
        <v>5.2378000000000001E-2</v>
      </c>
      <c r="F113" s="8">
        <v>0.231567</v>
      </c>
      <c r="G113" s="8">
        <v>2.5</v>
      </c>
      <c r="H113" s="8">
        <v>58550</v>
      </c>
      <c r="I113" s="8">
        <v>13558</v>
      </c>
      <c r="J113" s="8">
        <v>258856</v>
      </c>
      <c r="K113" s="8">
        <v>625797</v>
      </c>
      <c r="L113" s="8">
        <v>10.69</v>
      </c>
      <c r="M113" s="6"/>
    </row>
    <row r="114" spans="1:13">
      <c r="A114" s="7" t="s">
        <v>103</v>
      </c>
      <c r="B114" s="8">
        <v>2021</v>
      </c>
      <c r="C114" s="7" t="s">
        <v>106</v>
      </c>
      <c r="D114" s="8">
        <v>80</v>
      </c>
      <c r="E114" s="8">
        <v>7.8627000000000002E-2</v>
      </c>
      <c r="F114" s="8">
        <v>0.32855099999999998</v>
      </c>
      <c r="G114" s="8">
        <v>2.5</v>
      </c>
      <c r="H114" s="8">
        <v>44992</v>
      </c>
      <c r="I114" s="8">
        <v>14782</v>
      </c>
      <c r="J114" s="8">
        <v>188005</v>
      </c>
      <c r="K114" s="8">
        <v>366941</v>
      </c>
      <c r="L114" s="8">
        <v>8.16</v>
      </c>
      <c r="M114" s="6"/>
    </row>
    <row r="115" spans="1:13">
      <c r="A115" s="7" t="s">
        <v>103</v>
      </c>
      <c r="B115" s="8">
        <v>2021</v>
      </c>
      <c r="C115" s="7" t="s">
        <v>106</v>
      </c>
      <c r="D115" s="8">
        <v>85</v>
      </c>
      <c r="E115" s="8">
        <v>0.16883100000000001</v>
      </c>
      <c r="F115" s="8">
        <v>1</v>
      </c>
      <c r="G115" s="9" t="s">
        <v>105</v>
      </c>
      <c r="H115" s="8">
        <v>30210</v>
      </c>
      <c r="I115" s="8">
        <v>30210</v>
      </c>
      <c r="J115" s="8">
        <v>178936</v>
      </c>
      <c r="K115" s="8">
        <v>178936</v>
      </c>
      <c r="L115" s="8">
        <v>5.92</v>
      </c>
      <c r="M11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C7A8-4041-4510-87CD-B3A268435E55}">
  <dimension ref="B2:Y46"/>
  <sheetViews>
    <sheetView tabSelected="1" topLeftCell="A14" zoomScale="57" workbookViewId="0">
      <selection activeCell="W48" sqref="W48"/>
    </sheetView>
  </sheetViews>
  <sheetFormatPr baseColWidth="10" defaultRowHeight="14.4"/>
  <cols>
    <col min="6" max="6" width="11.5546875" customWidth="1"/>
    <col min="17" max="17" width="12.5546875" customWidth="1"/>
    <col min="23" max="23" width="14.33203125" customWidth="1"/>
  </cols>
  <sheetData>
    <row r="2" spans="2:20">
      <c r="B2" s="51" t="s">
        <v>107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</row>
    <row r="3" spans="2:20" ht="41.4" customHeight="1">
      <c r="B3" s="17" t="s">
        <v>108</v>
      </c>
      <c r="C3" s="18" t="s">
        <v>109</v>
      </c>
      <c r="D3" s="18" t="s">
        <v>110</v>
      </c>
      <c r="E3" s="18" t="s">
        <v>111</v>
      </c>
      <c r="F3" s="19"/>
      <c r="G3" s="20"/>
      <c r="H3" s="20"/>
      <c r="I3" s="20" t="s">
        <v>112</v>
      </c>
      <c r="J3" s="20"/>
      <c r="K3" s="21" t="s">
        <v>113</v>
      </c>
      <c r="L3" s="20"/>
      <c r="M3" s="20" t="s">
        <v>114</v>
      </c>
      <c r="N3" s="20"/>
      <c r="O3" s="20" t="s">
        <v>115</v>
      </c>
      <c r="P3" s="20"/>
      <c r="Q3" s="20" t="s">
        <v>116</v>
      </c>
      <c r="R3" s="20" t="s">
        <v>117</v>
      </c>
      <c r="S3" s="21" t="s">
        <v>118</v>
      </c>
      <c r="T3" s="22" t="s">
        <v>119</v>
      </c>
    </row>
    <row r="4" spans="2:20">
      <c r="B4" s="23">
        <v>0</v>
      </c>
      <c r="C4" s="24">
        <v>1</v>
      </c>
      <c r="D4" s="52">
        <f>'Defunciones generales'!D21</f>
        <v>46</v>
      </c>
      <c r="E4" s="52">
        <f>Homicidios!D553</f>
        <v>0</v>
      </c>
      <c r="F4" s="26">
        <f>(D4-E4)/D4</f>
        <v>1</v>
      </c>
      <c r="G4" s="53">
        <f>LT!H21</f>
        <v>100000</v>
      </c>
      <c r="H4" s="54">
        <f>1-LT!F21</f>
        <v>0.99048000000000003</v>
      </c>
      <c r="I4" s="29">
        <f t="shared" ref="I4:I22" si="0">1-H4</f>
        <v>9.5199999999999729E-3</v>
      </c>
      <c r="J4" s="55">
        <f>LT!G21</f>
        <v>7.0000000000000007E-2</v>
      </c>
      <c r="K4" s="56">
        <f>LT!L21</f>
        <v>71.23</v>
      </c>
      <c r="L4" s="29">
        <f t="shared" ref="L4:L22" si="1">H4^F4</f>
        <v>0.99048000000000003</v>
      </c>
      <c r="M4" s="32">
        <f t="shared" ref="M4:M22" si="2">1-L4</f>
        <v>9.5199999999999729E-3</v>
      </c>
      <c r="N4" s="33">
        <v>100000</v>
      </c>
      <c r="O4" s="34">
        <f t="shared" ref="O4:O22" si="3">N4*M4</f>
        <v>951.99999999999727</v>
      </c>
      <c r="P4" s="34">
        <f>C4+(F4*(I4/M4)*(J4-C4))</f>
        <v>7.0000000000000062E-2</v>
      </c>
      <c r="Q4" s="33">
        <f t="shared" ref="Q4:Q21" si="4">(C4*N5)+(P4*O4)</f>
        <v>99114.64</v>
      </c>
      <c r="R4" s="33">
        <f t="shared" ref="R4:R21" si="5">R5+Q4</f>
        <v>7528599.5697361529</v>
      </c>
      <c r="S4" s="57">
        <f t="shared" ref="S4:S22" si="6">R4/N4</f>
        <v>75.285995697361528</v>
      </c>
      <c r="T4" s="36">
        <f t="shared" ref="T4:T22" si="7">S4-K4</f>
        <v>4.0559956973615243</v>
      </c>
    </row>
    <row r="5" spans="2:20">
      <c r="B5" s="23">
        <v>1</v>
      </c>
      <c r="C5" s="24">
        <v>4</v>
      </c>
      <c r="D5" s="52">
        <f>'Defunciones generales'!D22</f>
        <v>11</v>
      </c>
      <c r="E5" s="52">
        <f>Homicidios!D554</f>
        <v>0</v>
      </c>
      <c r="F5" s="26">
        <f t="shared" ref="F5:F22" si="8">(D5-E5)/D5</f>
        <v>1</v>
      </c>
      <c r="G5" s="53">
        <f>LT!H22</f>
        <v>99048</v>
      </c>
      <c r="H5" s="54">
        <f>1-LT!F22</f>
        <v>0.99800199999999994</v>
      </c>
      <c r="I5" s="29">
        <f t="shared" si="0"/>
        <v>1.9980000000000553E-3</v>
      </c>
      <c r="J5" s="55">
        <f>LT!G22</f>
        <v>1.62</v>
      </c>
      <c r="K5" s="76">
        <f>LT!L22</f>
        <v>70.91</v>
      </c>
      <c r="L5" s="29">
        <f t="shared" si="1"/>
        <v>0.99800199999999994</v>
      </c>
      <c r="M5" s="32">
        <f t="shared" si="2"/>
        <v>1.9980000000000553E-3</v>
      </c>
      <c r="N5" s="33">
        <f t="shared" ref="N5:N22" si="9">N4*L4</f>
        <v>99048</v>
      </c>
      <c r="O5" s="34">
        <f t="shared" si="3"/>
        <v>197.89790400000547</v>
      </c>
      <c r="P5" s="34">
        <f>C5+(F5*(I5/M5)*(J5-C5))</f>
        <v>1.62</v>
      </c>
      <c r="Q5" s="33">
        <f t="shared" si="4"/>
        <v>395721.00298847997</v>
      </c>
      <c r="R5" s="33">
        <f t="shared" si="5"/>
        <v>7429484.9297361532</v>
      </c>
      <c r="S5" s="26">
        <f t="shared" si="6"/>
        <v>75.008934352396352</v>
      </c>
      <c r="T5" s="36">
        <f t="shared" si="7"/>
        <v>4.0989343523963555</v>
      </c>
    </row>
    <row r="6" spans="2:20">
      <c r="B6" s="23">
        <v>5</v>
      </c>
      <c r="C6" s="24">
        <v>5</v>
      </c>
      <c r="D6" s="52">
        <f>'Defunciones generales'!D23</f>
        <v>6</v>
      </c>
      <c r="E6" s="52">
        <f>Homicidios!D555</f>
        <v>0</v>
      </c>
      <c r="F6" s="26">
        <f t="shared" si="8"/>
        <v>1</v>
      </c>
      <c r="G6" s="53">
        <f>LT!H23</f>
        <v>98850</v>
      </c>
      <c r="H6" s="54">
        <f>1-LT!F23</f>
        <v>0.99902199999999997</v>
      </c>
      <c r="I6" s="29">
        <f t="shared" si="0"/>
        <v>9.780000000000344E-4</v>
      </c>
      <c r="J6" s="55">
        <f>LT!G23</f>
        <v>2.5</v>
      </c>
      <c r="K6" s="76">
        <f>LT!L23</f>
        <v>67.05</v>
      </c>
      <c r="L6" s="29">
        <f t="shared" si="1"/>
        <v>0.99902199999999997</v>
      </c>
      <c r="M6" s="32">
        <f t="shared" si="2"/>
        <v>9.780000000000344E-4</v>
      </c>
      <c r="N6" s="33">
        <f t="shared" si="9"/>
        <v>98850.102095999988</v>
      </c>
      <c r="O6" s="34">
        <f t="shared" si="3"/>
        <v>96.675399849891392</v>
      </c>
      <c r="P6" s="34">
        <f>C6+(F6*(I6/M6)*(J6-C6))</f>
        <v>2.5</v>
      </c>
      <c r="Q6" s="33">
        <f t="shared" si="4"/>
        <v>494008.82198037521</v>
      </c>
      <c r="R6" s="33">
        <f t="shared" si="5"/>
        <v>7033763.9267476732</v>
      </c>
      <c r="S6" s="26">
        <f t="shared" si="6"/>
        <v>71.155858998675711</v>
      </c>
      <c r="T6" s="36">
        <f t="shared" si="7"/>
        <v>4.1058589986757141</v>
      </c>
    </row>
    <row r="7" spans="2:20">
      <c r="B7" s="23">
        <v>10</v>
      </c>
      <c r="C7" s="24">
        <v>5</v>
      </c>
      <c r="D7" s="52">
        <f>'Defunciones generales'!D24</f>
        <v>7</v>
      </c>
      <c r="E7" s="52">
        <f>Homicidios!D556</f>
        <v>1</v>
      </c>
      <c r="F7" s="26">
        <f t="shared" si="8"/>
        <v>0.8571428571428571</v>
      </c>
      <c r="G7" s="53">
        <f>LT!H24</f>
        <v>98753</v>
      </c>
      <c r="H7" s="54">
        <f>1-LT!F24</f>
        <v>0.99887099999999995</v>
      </c>
      <c r="I7" s="29">
        <f t="shared" si="0"/>
        <v>1.1290000000000466E-3</v>
      </c>
      <c r="J7" s="55">
        <f>LT!G24</f>
        <v>2.5</v>
      </c>
      <c r="K7" s="76">
        <f>LT!L24</f>
        <v>62.11</v>
      </c>
      <c r="L7" s="29">
        <f t="shared" si="1"/>
        <v>0.99903220764145617</v>
      </c>
      <c r="M7" s="32">
        <f t="shared" si="2"/>
        <v>9.6779235854382861E-4</v>
      </c>
      <c r="N7" s="33">
        <f t="shared" si="9"/>
        <v>98753.426696150098</v>
      </c>
      <c r="O7" s="34">
        <f t="shared" si="3"/>
        <v>95.572811736552197</v>
      </c>
      <c r="P7" s="29">
        <f>(((-5/24)*O6)+((2.5)*O7)+((5/24)*O8))/O7</f>
        <v>3.2988375431018548</v>
      </c>
      <c r="Q7" s="33">
        <f t="shared" si="4"/>
        <v>493604.54860152409</v>
      </c>
      <c r="R7" s="33">
        <f t="shared" si="5"/>
        <v>6539755.1047672983</v>
      </c>
      <c r="S7" s="26">
        <f t="shared" si="6"/>
        <v>66.223070161293464</v>
      </c>
      <c r="T7" s="36">
        <f t="shared" si="7"/>
        <v>4.1130701612934644</v>
      </c>
    </row>
    <row r="8" spans="2:20">
      <c r="B8" s="23">
        <v>15</v>
      </c>
      <c r="C8" s="24">
        <v>5</v>
      </c>
      <c r="D8" s="52">
        <f>'Defunciones generales'!D25</f>
        <v>58</v>
      </c>
      <c r="E8" s="52">
        <f>Homicidios!D557</f>
        <v>28</v>
      </c>
      <c r="F8" s="26">
        <f t="shared" si="8"/>
        <v>0.51724137931034486</v>
      </c>
      <c r="G8" s="53">
        <f>LT!H25</f>
        <v>98642</v>
      </c>
      <c r="H8" s="54">
        <f>1-LT!F25</f>
        <v>0.99094400000000005</v>
      </c>
      <c r="I8" s="29">
        <f t="shared" si="0"/>
        <v>9.055999999999953E-3</v>
      </c>
      <c r="J8" s="55">
        <f>LT!G25</f>
        <v>2.5</v>
      </c>
      <c r="K8" s="76">
        <f>LT!L25</f>
        <v>57.18</v>
      </c>
      <c r="L8" s="29">
        <f t="shared" si="1"/>
        <v>0.99530557677704679</v>
      </c>
      <c r="M8" s="32">
        <f t="shared" si="2"/>
        <v>4.6944232229532146E-3</v>
      </c>
      <c r="N8" s="33">
        <f t="shared" si="9"/>
        <v>98657.853884413547</v>
      </c>
      <c r="O8" s="34">
        <f t="shared" si="3"/>
        <v>463.14172040171599</v>
      </c>
      <c r="P8" s="29">
        <f>(((-5/24)*O7)+((2.5)*O8)+((5/24)*O9))/O8</f>
        <v>2.7848941962078109</v>
      </c>
      <c r="Q8" s="33">
        <f t="shared" si="4"/>
        <v>492263.3615092276</v>
      </c>
      <c r="R8" s="33">
        <f t="shared" si="5"/>
        <v>6046150.5561657744</v>
      </c>
      <c r="S8" s="26">
        <f t="shared" si="6"/>
        <v>61.28402674610556</v>
      </c>
      <c r="T8" s="36">
        <f t="shared" si="7"/>
        <v>4.1040267461055606</v>
      </c>
    </row>
    <row r="9" spans="2:20">
      <c r="B9" s="23">
        <v>20</v>
      </c>
      <c r="C9" s="24">
        <v>5</v>
      </c>
      <c r="D9" s="52">
        <f>'Defunciones generales'!D26</f>
        <v>129</v>
      </c>
      <c r="E9" s="52">
        <f>Homicidios!D558</f>
        <v>83</v>
      </c>
      <c r="F9" s="26">
        <f t="shared" si="8"/>
        <v>0.35658914728682173</v>
      </c>
      <c r="G9" s="53">
        <f>LT!H26</f>
        <v>97749</v>
      </c>
      <c r="H9" s="54">
        <f>1-LT!F26</f>
        <v>0.97932200000000003</v>
      </c>
      <c r="I9" s="29">
        <f t="shared" si="0"/>
        <v>2.0677999999999974E-2</v>
      </c>
      <c r="J9" s="55">
        <f>LT!G26</f>
        <v>2.5</v>
      </c>
      <c r="K9" s="76">
        <f>LT!L26</f>
        <v>52.68</v>
      </c>
      <c r="L9" s="29">
        <f t="shared" si="1"/>
        <v>0.99257683576986322</v>
      </c>
      <c r="M9" s="32">
        <f t="shared" si="2"/>
        <v>7.4231642301367806E-3</v>
      </c>
      <c r="N9" s="33">
        <f t="shared" si="9"/>
        <v>98194.712164011828</v>
      </c>
      <c r="O9" s="34">
        <f t="shared" si="3"/>
        <v>728.91547492446966</v>
      </c>
      <c r="P9" s="29">
        <f>(((-5/24)*O8)+((2.5)*O9)+((5/24)*O10))/O9</f>
        <v>2.5923239974868357</v>
      </c>
      <c r="Q9" s="33">
        <f t="shared" si="4"/>
        <v>489218.56852322305</v>
      </c>
      <c r="R9" s="33">
        <f t="shared" si="5"/>
        <v>5553887.1946565472</v>
      </c>
      <c r="S9" s="26">
        <f t="shared" si="6"/>
        <v>56.559941694009424</v>
      </c>
      <c r="T9" s="36">
        <f t="shared" si="7"/>
        <v>3.8799416940094247</v>
      </c>
    </row>
    <row r="10" spans="2:20">
      <c r="B10" s="23">
        <v>25</v>
      </c>
      <c r="C10" s="24">
        <v>5</v>
      </c>
      <c r="D10" s="52">
        <f>'Defunciones generales'!D27</f>
        <v>149</v>
      </c>
      <c r="E10" s="52">
        <f>Homicidios!D559</f>
        <v>102</v>
      </c>
      <c r="F10" s="26">
        <f t="shared" si="8"/>
        <v>0.31543624161073824</v>
      </c>
      <c r="G10" s="53">
        <f>LT!H27</f>
        <v>95727</v>
      </c>
      <c r="H10" s="54">
        <f>1-LT!F27</f>
        <v>0.97465199999999996</v>
      </c>
      <c r="I10" s="29">
        <f t="shared" si="0"/>
        <v>2.5348000000000037E-2</v>
      </c>
      <c r="J10" s="55">
        <f>LT!G27</f>
        <v>2.5</v>
      </c>
      <c r="K10" s="76">
        <f>LT!L27</f>
        <v>48.74</v>
      </c>
      <c r="L10" s="29">
        <f t="shared" si="1"/>
        <v>0.99193394584163963</v>
      </c>
      <c r="M10" s="32">
        <f t="shared" si="2"/>
        <v>8.0660541583603695E-3</v>
      </c>
      <c r="N10" s="33">
        <f t="shared" si="9"/>
        <v>97465.796689087365</v>
      </c>
      <c r="O10" s="34">
        <f t="shared" si="3"/>
        <v>786.16439468191948</v>
      </c>
      <c r="P10" s="29">
        <f>(((-5/24)*O9)+((2.5)*O10)+((5/24)*O11))/O10</f>
        <v>2.526366774501279</v>
      </c>
      <c r="Q10" s="33">
        <f t="shared" si="4"/>
        <v>485384.30107804749</v>
      </c>
      <c r="R10" s="33">
        <f t="shared" si="5"/>
        <v>5064668.6261333236</v>
      </c>
      <c r="S10" s="26">
        <f t="shared" si="6"/>
        <v>51.963548220812754</v>
      </c>
      <c r="T10" s="36">
        <f t="shared" si="7"/>
        <v>3.2235482208127522</v>
      </c>
    </row>
    <row r="11" spans="2:20">
      <c r="B11" s="23">
        <v>30</v>
      </c>
      <c r="C11" s="24">
        <v>5</v>
      </c>
      <c r="D11" s="52">
        <f>'Defunciones generales'!D28</f>
        <v>141</v>
      </c>
      <c r="E11" s="52">
        <f>Homicidios!D560</f>
        <v>93</v>
      </c>
      <c r="F11" s="26">
        <f t="shared" si="8"/>
        <v>0.34042553191489361</v>
      </c>
      <c r="G11" s="53">
        <f>LT!H28</f>
        <v>93301</v>
      </c>
      <c r="H11" s="54">
        <f>1-LT!F28</f>
        <v>0.97503799999999996</v>
      </c>
      <c r="I11" s="29">
        <f t="shared" si="0"/>
        <v>2.496200000000004E-2</v>
      </c>
      <c r="J11" s="55">
        <f>LT!G28</f>
        <v>2.5</v>
      </c>
      <c r="K11" s="76">
        <f>LT!L28</f>
        <v>44.94</v>
      </c>
      <c r="L11" s="29">
        <f t="shared" si="1"/>
        <v>0.99143136120836417</v>
      </c>
      <c r="M11" s="32">
        <f t="shared" si="2"/>
        <v>8.5686387916358298E-3</v>
      </c>
      <c r="N11" s="33">
        <f t="shared" si="9"/>
        <v>96679.632294405441</v>
      </c>
      <c r="O11" s="34">
        <f t="shared" si="3"/>
        <v>828.41284763893054</v>
      </c>
      <c r="P11" s="29">
        <f t="shared" ref="P11:P19" si="10">(((-5/24)*O10)+((2.5)*O11)+((5/24)*O12))/O11</f>
        <v>2.5674031374990305</v>
      </c>
      <c r="Q11" s="33">
        <f t="shared" si="4"/>
        <v>481382.96697800525</v>
      </c>
      <c r="R11" s="33">
        <f t="shared" si="5"/>
        <v>4579284.325055276</v>
      </c>
      <c r="S11" s="26">
        <f t="shared" si="6"/>
        <v>47.365553802589972</v>
      </c>
      <c r="T11" s="36">
        <f t="shared" si="7"/>
        <v>2.4255538025899739</v>
      </c>
    </row>
    <row r="12" spans="2:20">
      <c r="B12" s="23">
        <v>35</v>
      </c>
      <c r="C12" s="24">
        <v>5</v>
      </c>
      <c r="D12" s="52">
        <f>'Defunciones generales'!D29</f>
        <v>127</v>
      </c>
      <c r="E12" s="52">
        <f>Homicidios!D561</f>
        <v>68</v>
      </c>
      <c r="F12" s="26">
        <f t="shared" si="8"/>
        <v>0.46456692913385828</v>
      </c>
      <c r="G12" s="53">
        <f>LT!H29</f>
        <v>90972</v>
      </c>
      <c r="H12" s="54">
        <f>1-LT!F29</f>
        <v>0.97647600000000001</v>
      </c>
      <c r="I12" s="29">
        <f t="shared" si="0"/>
        <v>2.3523999999999989E-2</v>
      </c>
      <c r="J12" s="55">
        <f>LT!G29</f>
        <v>2.5</v>
      </c>
      <c r="K12" s="76">
        <f>LT!L29</f>
        <v>41.03</v>
      </c>
      <c r="L12" s="29">
        <f t="shared" si="1"/>
        <v>0.98900186141471924</v>
      </c>
      <c r="M12" s="32">
        <f t="shared" si="2"/>
        <v>1.0998138585280759E-2</v>
      </c>
      <c r="N12" s="33">
        <f t="shared" si="9"/>
        <v>95851.21944676651</v>
      </c>
      <c r="O12" s="34">
        <f t="shared" si="3"/>
        <v>1054.1849950436963</v>
      </c>
      <c r="P12" s="29">
        <f t="shared" si="10"/>
        <v>2.6587199324350328</v>
      </c>
      <c r="Q12" s="33">
        <f t="shared" si="4"/>
        <v>476787.95491741062</v>
      </c>
      <c r="R12" s="33">
        <f t="shared" si="5"/>
        <v>4097901.3580772709</v>
      </c>
      <c r="S12" s="26">
        <f t="shared" si="6"/>
        <v>42.752730551885655</v>
      </c>
      <c r="T12" s="36">
        <f t="shared" si="7"/>
        <v>1.7227305518856539</v>
      </c>
    </row>
    <row r="13" spans="2:20">
      <c r="B13" s="23">
        <v>40</v>
      </c>
      <c r="C13" s="24">
        <v>5</v>
      </c>
      <c r="D13" s="52">
        <f>'Defunciones generales'!D30</f>
        <v>156</v>
      </c>
      <c r="E13" s="52">
        <f>Homicidios!D562</f>
        <v>70</v>
      </c>
      <c r="F13" s="26">
        <f t="shared" si="8"/>
        <v>0.55128205128205132</v>
      </c>
      <c r="G13" s="53">
        <f>LT!H30</f>
        <v>88832</v>
      </c>
      <c r="H13" s="54">
        <f>1-LT!F30</f>
        <v>0.96899899999999994</v>
      </c>
      <c r="I13" s="29">
        <f t="shared" si="0"/>
        <v>3.1001000000000056E-2</v>
      </c>
      <c r="J13" s="55">
        <f>LT!G30</f>
        <v>2.5</v>
      </c>
      <c r="K13" s="76">
        <f>LT!L30</f>
        <v>36.96</v>
      </c>
      <c r="L13" s="29">
        <f t="shared" si="1"/>
        <v>0.98278902205354157</v>
      </c>
      <c r="M13" s="32">
        <f t="shared" si="2"/>
        <v>1.7210977946458428E-2</v>
      </c>
      <c r="N13" s="33">
        <f t="shared" si="9"/>
        <v>94797.034451722808</v>
      </c>
      <c r="O13" s="34">
        <f t="shared" si="3"/>
        <v>1631.5496693382611</v>
      </c>
      <c r="P13" s="29">
        <f t="shared" si="10"/>
        <v>2.6404726352617689</v>
      </c>
      <c r="Q13" s="33">
        <f t="shared" si="4"/>
        <v>470135.48616688082</v>
      </c>
      <c r="R13" s="33">
        <f t="shared" si="5"/>
        <v>3621113.4031598605</v>
      </c>
      <c r="S13" s="26">
        <f t="shared" si="6"/>
        <v>38.198593701831264</v>
      </c>
      <c r="T13" s="36">
        <f t="shared" si="7"/>
        <v>1.2385937018312632</v>
      </c>
    </row>
    <row r="14" spans="2:20">
      <c r="B14" s="23">
        <v>45</v>
      </c>
      <c r="C14" s="24">
        <v>5</v>
      </c>
      <c r="D14" s="52">
        <f>'Defunciones generales'!D31</f>
        <v>153</v>
      </c>
      <c r="E14" s="52">
        <f>Homicidios!D563</f>
        <v>46</v>
      </c>
      <c r="F14" s="26">
        <f t="shared" si="8"/>
        <v>0.69934640522875813</v>
      </c>
      <c r="G14" s="53">
        <f>LT!H31</f>
        <v>86078</v>
      </c>
      <c r="H14" s="54">
        <f>1-LT!F31</f>
        <v>0.96710099999999999</v>
      </c>
      <c r="I14" s="29">
        <f t="shared" si="0"/>
        <v>3.2899000000000012E-2</v>
      </c>
      <c r="J14" s="55">
        <f>LT!G31</f>
        <v>2.5</v>
      </c>
      <c r="K14" s="76">
        <f>LT!L31</f>
        <v>33.06</v>
      </c>
      <c r="L14" s="29">
        <f t="shared" si="1"/>
        <v>0.97687676083245578</v>
      </c>
      <c r="M14" s="32">
        <f t="shared" si="2"/>
        <v>2.3123239167544218E-2</v>
      </c>
      <c r="N14" s="33">
        <f t="shared" si="9"/>
        <v>93165.484782384548</v>
      </c>
      <c r="O14" s="34">
        <f t="shared" si="3"/>
        <v>2154.2877867832794</v>
      </c>
      <c r="P14" s="29">
        <f t="shared" si="10"/>
        <v>2.6492711376165596</v>
      </c>
      <c r="Q14" s="33">
        <f t="shared" si="4"/>
        <v>460763.27743365121</v>
      </c>
      <c r="R14" s="33">
        <f t="shared" si="5"/>
        <v>3150977.9169929796</v>
      </c>
      <c r="S14" s="26">
        <f t="shared" si="6"/>
        <v>33.821301143368892</v>
      </c>
      <c r="T14" s="36">
        <f t="shared" si="7"/>
        <v>0.76130114336888965</v>
      </c>
    </row>
    <row r="15" spans="2:20">
      <c r="B15" s="23">
        <v>50</v>
      </c>
      <c r="C15" s="24">
        <v>5</v>
      </c>
      <c r="D15" s="52">
        <f>'Defunciones generales'!D32</f>
        <v>160</v>
      </c>
      <c r="E15" s="52">
        <f>Homicidios!D564</f>
        <v>22</v>
      </c>
      <c r="F15" s="26">
        <f t="shared" si="8"/>
        <v>0.86250000000000004</v>
      </c>
      <c r="G15" s="53">
        <f>LT!H32</f>
        <v>83246</v>
      </c>
      <c r="H15" s="54">
        <f>1-LT!F32</f>
        <v>0.95966499999999999</v>
      </c>
      <c r="I15" s="29">
        <f t="shared" si="0"/>
        <v>4.033500000000001E-2</v>
      </c>
      <c r="J15" s="55">
        <f>LT!G32</f>
        <v>2.5</v>
      </c>
      <c r="K15" s="76">
        <f>LT!L32</f>
        <v>29.1</v>
      </c>
      <c r="L15" s="29">
        <f t="shared" si="1"/>
        <v>0.96511308366609661</v>
      </c>
      <c r="M15" s="32">
        <f t="shared" si="2"/>
        <v>3.4886916333903395E-2</v>
      </c>
      <c r="N15" s="33">
        <f t="shared" si="9"/>
        <v>91011.196995601276</v>
      </c>
      <c r="O15" s="34">
        <f t="shared" si="3"/>
        <v>3175.1000150339419</v>
      </c>
      <c r="P15" s="29">
        <f t="shared" si="10"/>
        <v>2.6644837357793727</v>
      </c>
      <c r="Q15" s="33">
        <f t="shared" si="4"/>
        <v>447640.48725236743</v>
      </c>
      <c r="R15" s="33">
        <f t="shared" si="5"/>
        <v>2690214.6395593286</v>
      </c>
      <c r="S15" s="26">
        <f t="shared" si="6"/>
        <v>29.559161162217777</v>
      </c>
      <c r="T15" s="36">
        <f t="shared" si="7"/>
        <v>0.45916116221777514</v>
      </c>
    </row>
    <row r="16" spans="2:20">
      <c r="B16" s="23">
        <v>55</v>
      </c>
      <c r="C16" s="24">
        <v>5</v>
      </c>
      <c r="D16" s="52">
        <f>'Defunciones generales'!D33</f>
        <v>202</v>
      </c>
      <c r="E16" s="52">
        <f>Homicidios!D565</f>
        <v>23</v>
      </c>
      <c r="F16" s="26">
        <f t="shared" si="8"/>
        <v>0.88613861386138615</v>
      </c>
      <c r="G16" s="53">
        <f>LT!H33</f>
        <v>79888</v>
      </c>
      <c r="H16" s="54">
        <f>1-LT!F33</f>
        <v>0.94032300000000002</v>
      </c>
      <c r="I16" s="29">
        <f t="shared" si="0"/>
        <v>5.967699999999998E-2</v>
      </c>
      <c r="J16" s="55">
        <f>LT!G33</f>
        <v>2.5</v>
      </c>
      <c r="K16" s="76">
        <f>LT!L33</f>
        <v>25.22</v>
      </c>
      <c r="L16" s="29">
        <f t="shared" si="1"/>
        <v>0.9469341302226244</v>
      </c>
      <c r="M16" s="32">
        <f t="shared" si="2"/>
        <v>5.3065869777375596E-2</v>
      </c>
      <c r="N16" s="33">
        <f t="shared" si="9"/>
        <v>87836.096980567338</v>
      </c>
      <c r="O16" s="34">
        <f t="shared" si="3"/>
        <v>4661.0988841237204</v>
      </c>
      <c r="P16" s="29">
        <f t="shared" si="10"/>
        <v>2.6378472100897681</v>
      </c>
      <c r="Q16" s="33">
        <f t="shared" si="4"/>
        <v>428170.25716965634</v>
      </c>
      <c r="R16" s="33">
        <f t="shared" si="5"/>
        <v>2242574.1523069614</v>
      </c>
      <c r="S16" s="26">
        <f t="shared" si="6"/>
        <v>25.531350201080809</v>
      </c>
      <c r="T16" s="36">
        <f t="shared" si="7"/>
        <v>0.3113502010808098</v>
      </c>
    </row>
    <row r="17" spans="2:25">
      <c r="B17" s="23">
        <v>60</v>
      </c>
      <c r="C17" s="24">
        <v>5</v>
      </c>
      <c r="D17" s="52">
        <f>'Defunciones generales'!D34</f>
        <v>233</v>
      </c>
      <c r="E17" s="52">
        <f>Homicidios!D566</f>
        <v>15</v>
      </c>
      <c r="F17" s="26">
        <f t="shared" si="8"/>
        <v>0.93562231759656656</v>
      </c>
      <c r="G17" s="53">
        <f>LT!H34</f>
        <v>75121</v>
      </c>
      <c r="H17" s="54">
        <f>1-LT!F34</f>
        <v>0.91978199999999999</v>
      </c>
      <c r="I17" s="29">
        <f t="shared" si="0"/>
        <v>8.0218000000000012E-2</v>
      </c>
      <c r="J17" s="55">
        <f>LT!G34</f>
        <v>2.5</v>
      </c>
      <c r="K17" s="76">
        <f>LT!L34</f>
        <v>21.66</v>
      </c>
      <c r="L17" s="29">
        <f t="shared" si="1"/>
        <v>0.92474669493835904</v>
      </c>
      <c r="M17" s="32">
        <f t="shared" si="2"/>
        <v>7.5253305061640963E-2</v>
      </c>
      <c r="N17" s="33">
        <f t="shared" si="9"/>
        <v>83174.998096443611</v>
      </c>
      <c r="O17" s="34">
        <f t="shared" si="3"/>
        <v>6259.1935052530771</v>
      </c>
      <c r="P17" s="29">
        <f t="shared" si="10"/>
        <v>2.5755432267376803</v>
      </c>
      <c r="Q17" s="33">
        <f t="shared" si="4"/>
        <v>400699.84639324772</v>
      </c>
      <c r="R17" s="33">
        <f t="shared" si="5"/>
        <v>1814403.8951373049</v>
      </c>
      <c r="S17" s="26">
        <f t="shared" si="6"/>
        <v>21.814294399303208</v>
      </c>
      <c r="T17" s="36">
        <f t="shared" si="7"/>
        <v>0.15429439930320754</v>
      </c>
    </row>
    <row r="18" spans="2:25">
      <c r="B18" s="23">
        <v>65</v>
      </c>
      <c r="C18" s="24">
        <v>5</v>
      </c>
      <c r="D18" s="52">
        <f>'Defunciones generales'!D35</f>
        <v>194</v>
      </c>
      <c r="E18" s="52">
        <f>Homicidios!D567</f>
        <v>0</v>
      </c>
      <c r="F18" s="26">
        <f t="shared" si="8"/>
        <v>1</v>
      </c>
      <c r="G18" s="53">
        <f>LT!H35</f>
        <v>69095</v>
      </c>
      <c r="H18" s="54">
        <f>1-LT!F35</f>
        <v>0.90989200000000003</v>
      </c>
      <c r="I18" s="29">
        <f t="shared" si="0"/>
        <v>9.0107999999999966E-2</v>
      </c>
      <c r="J18" s="55">
        <f>LT!G35</f>
        <v>2.5</v>
      </c>
      <c r="K18" s="76">
        <f>LT!L35</f>
        <v>18.329999999999998</v>
      </c>
      <c r="L18" s="29">
        <f t="shared" si="1"/>
        <v>0.90989200000000003</v>
      </c>
      <c r="M18" s="32">
        <f t="shared" si="2"/>
        <v>9.0107999999999966E-2</v>
      </c>
      <c r="N18" s="33">
        <f t="shared" si="9"/>
        <v>76915.804591190536</v>
      </c>
      <c r="O18" s="34">
        <f t="shared" si="3"/>
        <v>6930.7293201029943</v>
      </c>
      <c r="P18" s="29">
        <f t="shared" si="10"/>
        <v>2.5953039898251187</v>
      </c>
      <c r="Q18" s="33">
        <f t="shared" si="4"/>
        <v>367912.72581229889</v>
      </c>
      <c r="R18" s="33">
        <f t="shared" si="5"/>
        <v>1413704.0487440573</v>
      </c>
      <c r="S18" s="26">
        <f t="shared" si="6"/>
        <v>18.379890274280175</v>
      </c>
      <c r="T18" s="36">
        <f t="shared" si="7"/>
        <v>4.9890274280176783E-2</v>
      </c>
    </row>
    <row r="19" spans="2:25">
      <c r="B19" s="23">
        <v>70</v>
      </c>
      <c r="C19" s="24">
        <v>5</v>
      </c>
      <c r="D19" s="52">
        <f>'Defunciones generales'!D36</f>
        <v>218</v>
      </c>
      <c r="E19" s="52">
        <f>Homicidios!D568</f>
        <v>0</v>
      </c>
      <c r="F19" s="26">
        <f t="shared" si="8"/>
        <v>1</v>
      </c>
      <c r="G19" s="53">
        <f>LT!H36</f>
        <v>62869</v>
      </c>
      <c r="H19" s="54">
        <f>1-LT!F36</f>
        <v>0.86526100000000006</v>
      </c>
      <c r="I19" s="29">
        <f t="shared" si="0"/>
        <v>0.13473899999999994</v>
      </c>
      <c r="J19" s="55">
        <f>LT!G36</f>
        <v>2.5</v>
      </c>
      <c r="K19" s="76">
        <f>LT!L36</f>
        <v>14.9</v>
      </c>
      <c r="L19" s="29">
        <f t="shared" si="1"/>
        <v>0.86526100000000006</v>
      </c>
      <c r="M19" s="32">
        <f t="shared" si="2"/>
        <v>0.13473899999999994</v>
      </c>
      <c r="N19" s="33">
        <f t="shared" si="9"/>
        <v>69985.075271087539</v>
      </c>
      <c r="O19" s="34">
        <f t="shared" si="3"/>
        <v>9429.7190569510603</v>
      </c>
      <c r="P19" s="29">
        <f t="shared" si="10"/>
        <v>2.6324521430120855</v>
      </c>
      <c r="Q19" s="33">
        <f t="shared" si="4"/>
        <v>327600.06521015509</v>
      </c>
      <c r="R19" s="33">
        <f t="shared" si="5"/>
        <v>1045791.3229317585</v>
      </c>
      <c r="S19" s="26">
        <f t="shared" si="6"/>
        <v>14.943062058315727</v>
      </c>
      <c r="T19" s="36">
        <f t="shared" si="7"/>
        <v>4.3062058315726404E-2</v>
      </c>
    </row>
    <row r="20" spans="2:25">
      <c r="B20" s="23">
        <v>75</v>
      </c>
      <c r="C20" s="24">
        <v>5</v>
      </c>
      <c r="D20" s="52">
        <f>'Defunciones generales'!D37</f>
        <v>235</v>
      </c>
      <c r="E20" s="52">
        <f>Homicidios!D569</f>
        <v>1</v>
      </c>
      <c r="F20" s="26">
        <f t="shared" si="8"/>
        <v>0.99574468085106382</v>
      </c>
      <c r="G20" s="53">
        <f>LT!H37</f>
        <v>54398</v>
      </c>
      <c r="H20" s="54">
        <f>1-LT!F37</f>
        <v>0.78573800000000005</v>
      </c>
      <c r="I20" s="29">
        <f t="shared" si="0"/>
        <v>0.21426199999999995</v>
      </c>
      <c r="J20" s="55">
        <f>LT!G37</f>
        <v>2.5</v>
      </c>
      <c r="K20" s="76">
        <f>LT!L37</f>
        <v>11.83</v>
      </c>
      <c r="L20" s="29">
        <f t="shared" si="1"/>
        <v>0.78654465411035213</v>
      </c>
      <c r="M20" s="32">
        <f t="shared" si="2"/>
        <v>0.21345534588964787</v>
      </c>
      <c r="N20" s="33">
        <f t="shared" si="9"/>
        <v>60555.356214136482</v>
      </c>
      <c r="O20" s="34">
        <f t="shared" si="3"/>
        <v>12925.86450615934</v>
      </c>
      <c r="P20" s="29">
        <f>(((-5/24)*O19)+((2.5)*O20)+((5/24)*O21))/O20</f>
        <v>2.5521487058302963</v>
      </c>
      <c r="Q20" s="33">
        <f t="shared" si="4"/>
        <v>271136.18691101804</v>
      </c>
      <c r="R20" s="33">
        <f t="shared" si="5"/>
        <v>718191.25772160338</v>
      </c>
      <c r="S20" s="26">
        <f t="shared" si="6"/>
        <v>11.86007816025271</v>
      </c>
      <c r="T20" s="36">
        <f t="shared" si="7"/>
        <v>3.0078160252710262E-2</v>
      </c>
    </row>
    <row r="21" spans="2:25">
      <c r="B21" s="23">
        <v>80</v>
      </c>
      <c r="C21" s="24">
        <v>5</v>
      </c>
      <c r="D21" s="52">
        <f>'Defunciones generales'!D38</f>
        <v>185</v>
      </c>
      <c r="E21" s="52">
        <f>Homicidios!D570</f>
        <v>1</v>
      </c>
      <c r="F21" s="26">
        <f t="shared" si="8"/>
        <v>0.99459459459459465</v>
      </c>
      <c r="G21" s="53">
        <f>LT!H38</f>
        <v>42742</v>
      </c>
      <c r="H21" s="54">
        <f>1-LT!F38</f>
        <v>0.73285599999999995</v>
      </c>
      <c r="I21" s="29">
        <f t="shared" si="0"/>
        <v>0.26714400000000005</v>
      </c>
      <c r="J21" s="55">
        <f>LT!G38</f>
        <v>2.5</v>
      </c>
      <c r="K21" s="76">
        <f>LT!L38</f>
        <v>9.3699999999999992</v>
      </c>
      <c r="L21" s="29">
        <f t="shared" si="1"/>
        <v>0.73408825686978929</v>
      </c>
      <c r="M21" s="32">
        <f t="shared" si="2"/>
        <v>0.26591174313021071</v>
      </c>
      <c r="N21" s="33">
        <f t="shared" si="9"/>
        <v>47629.49170797714</v>
      </c>
      <c r="O21" s="34">
        <f t="shared" si="3"/>
        <v>12665.241164474119</v>
      </c>
      <c r="P21" s="34">
        <f>C21+(F21*(I21/M21)*(J21-C21))</f>
        <v>2.50199093080038</v>
      </c>
      <c r="Q21" s="33">
        <f t="shared" si="4"/>
        <v>206509.57124742903</v>
      </c>
      <c r="R21" s="33">
        <f t="shared" si="5"/>
        <v>447055.07081058534</v>
      </c>
      <c r="S21" s="26">
        <f t="shared" si="6"/>
        <v>9.3860978729636777</v>
      </c>
      <c r="T21" s="36">
        <f t="shared" si="7"/>
        <v>1.6097872963678483E-2</v>
      </c>
    </row>
    <row r="22" spans="2:25">
      <c r="B22" s="38">
        <v>85</v>
      </c>
      <c r="C22" s="39">
        <v>5</v>
      </c>
      <c r="D22" s="58">
        <f>'Defunciones generales'!D39</f>
        <v>359</v>
      </c>
      <c r="E22" s="58">
        <f>Homicidios!D571</f>
        <v>0</v>
      </c>
      <c r="F22" s="41">
        <f t="shared" si="8"/>
        <v>1</v>
      </c>
      <c r="G22" s="59">
        <f>LT!H39</f>
        <v>31324</v>
      </c>
      <c r="H22" s="60">
        <f>1-LT!F39</f>
        <v>0</v>
      </c>
      <c r="I22" s="44">
        <f t="shared" si="0"/>
        <v>1</v>
      </c>
      <c r="J22" s="61" t="str">
        <f>LT!G39</f>
        <v>NA</v>
      </c>
      <c r="K22" s="77">
        <f>LT!L39</f>
        <v>6.88</v>
      </c>
      <c r="L22" s="44">
        <f t="shared" si="1"/>
        <v>0</v>
      </c>
      <c r="M22" s="47">
        <f t="shared" si="2"/>
        <v>1</v>
      </c>
      <c r="N22" s="48">
        <f t="shared" si="9"/>
        <v>34964.250543503025</v>
      </c>
      <c r="O22" s="49">
        <f t="shared" si="3"/>
        <v>34964.250543503025</v>
      </c>
      <c r="P22" s="44">
        <f>K22/F22</f>
        <v>6.88</v>
      </c>
      <c r="Q22" s="62">
        <f>N22/LT!E39</f>
        <v>240545.49956315631</v>
      </c>
      <c r="R22" s="48">
        <f>Q22</f>
        <v>240545.49956315631</v>
      </c>
      <c r="S22" s="41">
        <f t="shared" si="6"/>
        <v>6.8797556310799832</v>
      </c>
      <c r="T22" s="50">
        <f t="shared" si="7"/>
        <v>-2.4436892001666877E-4</v>
      </c>
    </row>
    <row r="26" spans="2:25">
      <c r="B26" s="80" t="s">
        <v>120</v>
      </c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</row>
    <row r="27" spans="2:25" ht="44.4" customHeight="1">
      <c r="B27" s="17" t="s">
        <v>108</v>
      </c>
      <c r="C27" s="18" t="s">
        <v>109</v>
      </c>
      <c r="D27" s="18" t="s">
        <v>110</v>
      </c>
      <c r="E27" s="18" t="s">
        <v>111</v>
      </c>
      <c r="F27" s="19"/>
      <c r="G27" s="20"/>
      <c r="H27" s="20"/>
      <c r="I27" s="20" t="s">
        <v>112</v>
      </c>
      <c r="J27" s="20"/>
      <c r="K27" s="21" t="s">
        <v>113</v>
      </c>
      <c r="L27" s="20"/>
      <c r="M27" s="20" t="s">
        <v>114</v>
      </c>
      <c r="N27" s="20"/>
      <c r="O27" s="20" t="s">
        <v>115</v>
      </c>
      <c r="P27" s="20"/>
      <c r="Q27" s="20" t="s">
        <v>116</v>
      </c>
      <c r="R27" s="20" t="s">
        <v>117</v>
      </c>
      <c r="S27" s="21" t="s">
        <v>118</v>
      </c>
      <c r="T27" s="22" t="s">
        <v>119</v>
      </c>
    </row>
    <row r="28" spans="2:25">
      <c r="B28" s="23">
        <v>0</v>
      </c>
      <c r="C28" s="24">
        <v>1</v>
      </c>
      <c r="D28" s="25">
        <f>'Defunciones generales'!D78</f>
        <v>34</v>
      </c>
      <c r="E28" s="25">
        <f>Homicidios!D1218</f>
        <v>0</v>
      </c>
      <c r="F28" s="26">
        <f t="shared" ref="F28:F46" si="11">(D28-E28)/D28</f>
        <v>1</v>
      </c>
      <c r="G28" s="27">
        <f>LT!H78</f>
        <v>100000</v>
      </c>
      <c r="H28" s="28">
        <f>1-LT!F78</f>
        <v>0.99270000000000003</v>
      </c>
      <c r="I28" s="29">
        <f t="shared" ref="I28:I46" si="12">1-H28</f>
        <v>7.2999999999999732E-3</v>
      </c>
      <c r="J28" s="30">
        <f>LT!G78</f>
        <v>7.0000000000000007E-2</v>
      </c>
      <c r="K28" s="31">
        <f>LT!L78</f>
        <v>79.89</v>
      </c>
      <c r="L28" s="29">
        <f>H28^F28</f>
        <v>0.99270000000000003</v>
      </c>
      <c r="M28" s="32">
        <f t="shared" ref="M28:M46" si="13">1-L28</f>
        <v>7.2999999999999732E-3</v>
      </c>
      <c r="N28" s="33">
        <v>100000</v>
      </c>
      <c r="O28" s="34">
        <f t="shared" ref="O28:O46" si="14">N28*M28</f>
        <v>729.99999999999727</v>
      </c>
      <c r="P28" s="34">
        <f>C28+(F28*(I28/M28)*(J28-C28))</f>
        <v>7.0000000000000062E-2</v>
      </c>
      <c r="Q28" s="33">
        <f t="shared" ref="Q28:Q44" si="15">(C28*N29)+(P28*O28)</f>
        <v>99321.1</v>
      </c>
      <c r="R28" s="33">
        <f t="shared" ref="R28:R45" si="16">R29+Q28</f>
        <v>8064976.2984427679</v>
      </c>
      <c r="S28" s="35">
        <f t="shared" ref="S28:S46" si="17">R28/N28</f>
        <v>80.649762984427682</v>
      </c>
      <c r="T28" s="36">
        <f t="shared" ref="T28:T46" si="18">S28-K28</f>
        <v>0.75976298442768098</v>
      </c>
      <c r="X28" s="81" t="s">
        <v>126</v>
      </c>
      <c r="Y28" s="81" t="s">
        <v>127</v>
      </c>
    </row>
    <row r="29" spans="2:25">
      <c r="B29" s="23">
        <v>1</v>
      </c>
      <c r="C29" s="24">
        <v>4</v>
      </c>
      <c r="D29" s="25">
        <f>'Defunciones generales'!D79</f>
        <v>17</v>
      </c>
      <c r="E29" s="25">
        <f>Homicidios!D1219</f>
        <v>1</v>
      </c>
      <c r="F29" s="26">
        <f t="shared" si="11"/>
        <v>0.94117647058823528</v>
      </c>
      <c r="G29" s="27">
        <f>LT!H79</f>
        <v>99270</v>
      </c>
      <c r="H29" s="28">
        <f>1-LT!F79</f>
        <v>0.99682499999999996</v>
      </c>
      <c r="I29" s="29">
        <f t="shared" si="12"/>
        <v>3.1750000000000389E-3</v>
      </c>
      <c r="J29" s="30">
        <f>LT!G79</f>
        <v>1.51</v>
      </c>
      <c r="K29" s="37">
        <f>LT!L79</f>
        <v>79.48</v>
      </c>
      <c r="L29" s="29">
        <f>H29^F29</f>
        <v>0.99701148534422901</v>
      </c>
      <c r="M29" s="32">
        <f t="shared" si="13"/>
        <v>2.9885146557709907E-3</v>
      </c>
      <c r="N29" s="33">
        <f>N28*L28</f>
        <v>99270</v>
      </c>
      <c r="O29" s="34">
        <f t="shared" si="14"/>
        <v>296.66984987838623</v>
      </c>
      <c r="P29" s="34">
        <f>C29+(F29*(I29/M29)*(J29-C29))</f>
        <v>1.5102327612867454</v>
      </c>
      <c r="Q29" s="33">
        <f t="shared" si="15"/>
        <v>396341.36112705886</v>
      </c>
      <c r="R29" s="33">
        <f t="shared" si="16"/>
        <v>7965655.1984427683</v>
      </c>
      <c r="S29" s="26">
        <f t="shared" si="17"/>
        <v>80.242320927196218</v>
      </c>
      <c r="T29" s="36">
        <f t="shared" si="18"/>
        <v>0.76232092719621392</v>
      </c>
      <c r="W29" s="82" t="s">
        <v>128</v>
      </c>
      <c r="X29" s="83">
        <f>S4</f>
        <v>75.285995697361528</v>
      </c>
      <c r="Y29" s="83">
        <f>S28</f>
        <v>80.649762984427682</v>
      </c>
    </row>
    <row r="30" spans="2:25">
      <c r="B30" s="23">
        <v>5</v>
      </c>
      <c r="C30" s="24">
        <v>5</v>
      </c>
      <c r="D30" s="25">
        <f>'Defunciones generales'!D80</f>
        <v>8</v>
      </c>
      <c r="E30" s="25">
        <f>Homicidios!D1220</f>
        <v>0</v>
      </c>
      <c r="F30" s="26">
        <f t="shared" si="11"/>
        <v>1</v>
      </c>
      <c r="G30" s="27">
        <f>LT!H80</f>
        <v>98955</v>
      </c>
      <c r="H30" s="28">
        <f>1-LT!F80</f>
        <v>0.99864200000000003</v>
      </c>
      <c r="I30" s="29">
        <f t="shared" si="12"/>
        <v>1.3579999999999703E-3</v>
      </c>
      <c r="J30" s="30">
        <f>LT!G80</f>
        <v>2.5</v>
      </c>
      <c r="K30" s="37">
        <f>LT!L80</f>
        <v>75.73</v>
      </c>
      <c r="L30" s="29">
        <f t="shared" ref="L30:L46" si="19">H30^F30</f>
        <v>0.99864200000000003</v>
      </c>
      <c r="M30" s="32">
        <f t="shared" si="13"/>
        <v>1.3579999999999703E-3</v>
      </c>
      <c r="N30" s="33">
        <f t="shared" ref="N29:N46" si="20">N29*L29</f>
        <v>98973.330150121619</v>
      </c>
      <c r="O30" s="34">
        <f t="shared" si="14"/>
        <v>134.40578234386223</v>
      </c>
      <c r="P30" s="34">
        <f>C30+(F30*(I30/M30)*(J30-C30))</f>
        <v>2.5</v>
      </c>
      <c r="Q30" s="33">
        <f t="shared" si="15"/>
        <v>494530.63629474846</v>
      </c>
      <c r="R30" s="33">
        <f t="shared" si="16"/>
        <v>7569313.8373157093</v>
      </c>
      <c r="S30" s="26">
        <f t="shared" si="17"/>
        <v>76.478318207891562</v>
      </c>
      <c r="T30" s="36">
        <f t="shared" si="18"/>
        <v>0.74831820789155756</v>
      </c>
      <c r="W30" s="82" t="s">
        <v>129</v>
      </c>
      <c r="X30" s="83">
        <f>K4</f>
        <v>71.23</v>
      </c>
      <c r="Y30" s="83">
        <f>K28</f>
        <v>79.89</v>
      </c>
    </row>
    <row r="31" spans="2:25">
      <c r="B31" s="23">
        <v>10</v>
      </c>
      <c r="C31" s="24">
        <v>5</v>
      </c>
      <c r="D31" s="25">
        <f>'Defunciones generales'!D81</f>
        <v>5</v>
      </c>
      <c r="E31" s="25">
        <f>Homicidios!D1221</f>
        <v>1</v>
      </c>
      <c r="F31" s="26">
        <f t="shared" si="11"/>
        <v>0.8</v>
      </c>
      <c r="G31" s="27">
        <f>LT!H81</f>
        <v>98820</v>
      </c>
      <c r="H31" s="28">
        <f>1-LT!F81</f>
        <v>0.99916099999999997</v>
      </c>
      <c r="I31" s="29">
        <f t="shared" si="12"/>
        <v>8.3900000000003416E-4</v>
      </c>
      <c r="J31" s="30">
        <f>LT!G81</f>
        <v>2.5</v>
      </c>
      <c r="K31" s="37">
        <f>LT!L81</f>
        <v>70.819999999999993</v>
      </c>
      <c r="L31" s="29">
        <f t="shared" si="19"/>
        <v>0.99932874366741242</v>
      </c>
      <c r="M31" s="32">
        <f t="shared" si="13"/>
        <v>6.7125633258757755E-4</v>
      </c>
      <c r="N31" s="33">
        <f t="shared" si="20"/>
        <v>98838.924367777756</v>
      </c>
      <c r="O31" s="34">
        <f t="shared" si="14"/>
        <v>66.346253888015454</v>
      </c>
      <c r="P31" s="29">
        <f t="shared" ref="P31:P44" si="21">(((-5/24)*O30)+((2.5)*O31)+((5/24)*O32))/O31</f>
        <v>2.4145356079422435</v>
      </c>
      <c r="Q31" s="33">
        <f t="shared" si="15"/>
        <v>494023.08596191491</v>
      </c>
      <c r="R31" s="33">
        <f t="shared" si="16"/>
        <v>7074783.2010209607</v>
      </c>
      <c r="S31" s="26">
        <f t="shared" si="17"/>
        <v>71.578917377690459</v>
      </c>
      <c r="T31" s="36">
        <f t="shared" si="18"/>
        <v>0.75891737769046586</v>
      </c>
      <c r="X31" s="64">
        <f>X29-X30</f>
        <v>4.0559956973615243</v>
      </c>
      <c r="Y31" s="64">
        <f>Y29-Y30</f>
        <v>0.75976298442768098</v>
      </c>
    </row>
    <row r="32" spans="2:25">
      <c r="B32" s="23">
        <v>15</v>
      </c>
      <c r="C32" s="24">
        <v>5</v>
      </c>
      <c r="D32" s="25">
        <f>'Defunciones generales'!D82</f>
        <v>15</v>
      </c>
      <c r="E32" s="25">
        <f>Homicidios!D1222</f>
        <v>8</v>
      </c>
      <c r="F32" s="26">
        <f t="shared" si="11"/>
        <v>0.46666666666666667</v>
      </c>
      <c r="G32" s="27">
        <f>LT!H82</f>
        <v>98738</v>
      </c>
      <c r="H32" s="28">
        <f>1-LT!F82</f>
        <v>0.99767600000000001</v>
      </c>
      <c r="I32" s="29">
        <f t="shared" si="12"/>
        <v>2.3239999999999927E-3</v>
      </c>
      <c r="J32" s="30">
        <f>LT!G82</f>
        <v>2.5</v>
      </c>
      <c r="K32" s="37">
        <f>LT!L82</f>
        <v>65.88</v>
      </c>
      <c r="L32" s="29">
        <f t="shared" si="19"/>
        <v>0.99891479374567105</v>
      </c>
      <c r="M32" s="32">
        <f t="shared" si="13"/>
        <v>1.085206254328952E-3</v>
      </c>
      <c r="N32" s="33">
        <f t="shared" si="20"/>
        <v>98772.578113889744</v>
      </c>
      <c r="O32" s="34">
        <f t="shared" si="14"/>
        <v>107.18861952538811</v>
      </c>
      <c r="P32" s="29">
        <f t="shared" si="21"/>
        <v>2.9465247230985963</v>
      </c>
      <c r="Q32" s="33">
        <f t="shared" si="15"/>
        <v>493642.78138928814</v>
      </c>
      <c r="R32" s="33">
        <f t="shared" si="16"/>
        <v>6580760.1150590461</v>
      </c>
      <c r="S32" s="26">
        <f t="shared" si="17"/>
        <v>66.625375592313674</v>
      </c>
      <c r="T32" s="36">
        <f t="shared" si="18"/>
        <v>0.74537559231367823</v>
      </c>
    </row>
    <row r="33" spans="2:20">
      <c r="B33" s="23">
        <v>20</v>
      </c>
      <c r="C33" s="24">
        <v>5</v>
      </c>
      <c r="D33" s="25">
        <f>'Defunciones generales'!D83</f>
        <v>35</v>
      </c>
      <c r="E33" s="25">
        <f>Homicidios!D1223</f>
        <v>16</v>
      </c>
      <c r="F33" s="26">
        <f t="shared" si="11"/>
        <v>0.54285714285714282</v>
      </c>
      <c r="G33" s="27">
        <f>LT!H83</f>
        <v>98508</v>
      </c>
      <c r="H33" s="28">
        <f>1-LT!F83</f>
        <v>0.994479</v>
      </c>
      <c r="I33" s="29">
        <f t="shared" si="12"/>
        <v>5.5209999999999981E-3</v>
      </c>
      <c r="J33" s="30">
        <f>LT!G83</f>
        <v>2.5</v>
      </c>
      <c r="K33" s="37">
        <f>LT!L83</f>
        <v>61.03</v>
      </c>
      <c r="L33" s="29">
        <f t="shared" si="19"/>
        <v>0.99699909335037062</v>
      </c>
      <c r="M33" s="32">
        <f t="shared" si="13"/>
        <v>3.0009066496293757E-3</v>
      </c>
      <c r="N33" s="33">
        <f t="shared" si="20"/>
        <v>98665.389494364354</v>
      </c>
      <c r="O33" s="34">
        <f t="shared" si="14"/>
        <v>296.08562342191033</v>
      </c>
      <c r="P33" s="29">
        <f t="shared" si="21"/>
        <v>2.6205048004465588</v>
      </c>
      <c r="Q33" s="33">
        <f t="shared" si="15"/>
        <v>492622.41315223253</v>
      </c>
      <c r="R33" s="33">
        <f t="shared" si="16"/>
        <v>6087117.3336697575</v>
      </c>
      <c r="S33" s="26">
        <f t="shared" si="17"/>
        <v>61.694555353855328</v>
      </c>
      <c r="T33" s="36">
        <f t="shared" si="18"/>
        <v>0.66455535385532727</v>
      </c>
    </row>
    <row r="34" spans="2:20">
      <c r="B34" s="23">
        <v>25</v>
      </c>
      <c r="C34" s="24">
        <v>5</v>
      </c>
      <c r="D34" s="25">
        <f>'Defunciones generales'!D84</f>
        <v>39</v>
      </c>
      <c r="E34" s="25">
        <f>Homicidios!D1224</f>
        <v>21</v>
      </c>
      <c r="F34" s="26">
        <f t="shared" si="11"/>
        <v>0.46153846153846156</v>
      </c>
      <c r="G34" s="27">
        <f>LT!H84</f>
        <v>97964</v>
      </c>
      <c r="H34" s="28">
        <f>1-LT!F84</f>
        <v>0.99387700000000001</v>
      </c>
      <c r="I34" s="29">
        <f t="shared" si="12"/>
        <v>6.1229999999999896E-3</v>
      </c>
      <c r="J34" s="30">
        <f>LT!G84</f>
        <v>2.5</v>
      </c>
      <c r="K34" s="37">
        <f>LT!L84</f>
        <v>56.35</v>
      </c>
      <c r="L34" s="29">
        <f t="shared" si="19"/>
        <v>0.99716932665371549</v>
      </c>
      <c r="M34" s="32">
        <f t="shared" si="13"/>
        <v>2.8306733462845068E-3</v>
      </c>
      <c r="N34" s="33">
        <f t="shared" si="20"/>
        <v>98369.303870942444</v>
      </c>
      <c r="O34" s="34">
        <f t="shared" si="14"/>
        <v>278.45136656003814</v>
      </c>
      <c r="P34" s="29">
        <f t="shared" si="21"/>
        <v>2.5189360267362795</v>
      </c>
      <c r="Q34" s="33">
        <f t="shared" si="15"/>
        <v>491155.66370083403</v>
      </c>
      <c r="R34" s="33">
        <f t="shared" si="16"/>
        <v>5594494.9205175247</v>
      </c>
      <c r="S34" s="26">
        <f t="shared" si="17"/>
        <v>56.87236465409304</v>
      </c>
      <c r="T34" s="36">
        <f t="shared" si="18"/>
        <v>0.52236465409303889</v>
      </c>
    </row>
    <row r="35" spans="2:20">
      <c r="B35" s="23">
        <v>30</v>
      </c>
      <c r="C35" s="24">
        <v>5</v>
      </c>
      <c r="D35" s="25">
        <f>'Defunciones generales'!D85</f>
        <v>31</v>
      </c>
      <c r="E35" s="25">
        <f>Homicidios!D1225</f>
        <v>11</v>
      </c>
      <c r="F35" s="26">
        <f t="shared" si="11"/>
        <v>0.64516129032258063</v>
      </c>
      <c r="G35" s="27">
        <f>LT!H85</f>
        <v>97364</v>
      </c>
      <c r="H35" s="28">
        <f>1-LT!F85</f>
        <v>0.99492599999999998</v>
      </c>
      <c r="I35" s="29">
        <f t="shared" si="12"/>
        <v>5.0740000000000229E-3</v>
      </c>
      <c r="J35" s="30">
        <f>LT!G85</f>
        <v>2.5</v>
      </c>
      <c r="K35" s="37">
        <f>LT!L85</f>
        <v>51.69</v>
      </c>
      <c r="L35" s="29">
        <f t="shared" si="19"/>
        <v>0.99672349790707715</v>
      </c>
      <c r="M35" s="32">
        <f t="shared" si="13"/>
        <v>3.2765020929228506E-3</v>
      </c>
      <c r="N35" s="33">
        <f t="shared" si="20"/>
        <v>98090.852504382405</v>
      </c>
      <c r="O35" s="34">
        <f t="shared" si="14"/>
        <v>321.39488352719559</v>
      </c>
      <c r="P35" s="29">
        <f t="shared" si="21"/>
        <v>2.6175864238821025</v>
      </c>
      <c r="Q35" s="33">
        <f t="shared" si="15"/>
        <v>489688.56698810193</v>
      </c>
      <c r="R35" s="33">
        <f t="shared" si="16"/>
        <v>5103339.2568166908</v>
      </c>
      <c r="S35" s="26">
        <f t="shared" si="17"/>
        <v>52.026658210445149</v>
      </c>
      <c r="T35" s="36">
        <f t="shared" si="18"/>
        <v>0.33665821044515098</v>
      </c>
    </row>
    <row r="36" spans="2:20">
      <c r="B36" s="23">
        <v>35</v>
      </c>
      <c r="C36" s="24">
        <v>5</v>
      </c>
      <c r="D36" s="25">
        <f>'Defunciones generales'!D86</f>
        <v>32</v>
      </c>
      <c r="E36" s="25">
        <f>Homicidios!D1226</f>
        <v>5</v>
      </c>
      <c r="F36" s="26">
        <f t="shared" si="11"/>
        <v>0.84375</v>
      </c>
      <c r="G36" s="27">
        <f>LT!H86</f>
        <v>96870</v>
      </c>
      <c r="H36" s="28">
        <f>1-LT!F86</f>
        <v>0.99442799999999998</v>
      </c>
      <c r="I36" s="29">
        <f t="shared" si="12"/>
        <v>5.5720000000000214E-3</v>
      </c>
      <c r="J36" s="30">
        <f>LT!G86</f>
        <v>2.5</v>
      </c>
      <c r="K36" s="37">
        <f>LT!L86</f>
        <v>46.94</v>
      </c>
      <c r="L36" s="29">
        <f t="shared" si="19"/>
        <v>0.99529657402435878</v>
      </c>
      <c r="M36" s="32">
        <f t="shared" si="13"/>
        <v>4.7034259756412178E-3</v>
      </c>
      <c r="N36" s="33">
        <f t="shared" si="20"/>
        <v>97769.457620855203</v>
      </c>
      <c r="O36" s="34">
        <f t="shared" si="14"/>
        <v>459.85140659828357</v>
      </c>
      <c r="P36" s="29">
        <f t="shared" si="21"/>
        <v>2.6499222855132425</v>
      </c>
      <c r="Q36" s="33">
        <f t="shared" si="15"/>
        <v>487766.60156165395</v>
      </c>
      <c r="R36" s="33">
        <f t="shared" si="16"/>
        <v>4613650.6898285886</v>
      </c>
      <c r="S36" s="26">
        <f t="shared" si="17"/>
        <v>47.189079310637915</v>
      </c>
      <c r="T36" s="36">
        <f t="shared" si="18"/>
        <v>0.24907931063791722</v>
      </c>
    </row>
    <row r="37" spans="2:20">
      <c r="B37" s="23">
        <v>40</v>
      </c>
      <c r="C37" s="24">
        <v>5</v>
      </c>
      <c r="D37" s="25">
        <f>'Defunciones generales'!D87</f>
        <v>44</v>
      </c>
      <c r="E37" s="25">
        <f>Homicidios!D1227</f>
        <v>9</v>
      </c>
      <c r="F37" s="26">
        <f t="shared" si="11"/>
        <v>0.79545454545454541</v>
      </c>
      <c r="G37" s="27">
        <f>LT!H87</f>
        <v>96331</v>
      </c>
      <c r="H37" s="28">
        <f>1-LT!F87</f>
        <v>0.99158000000000002</v>
      </c>
      <c r="I37" s="29">
        <f t="shared" si="12"/>
        <v>8.4199999999999831E-3</v>
      </c>
      <c r="J37" s="30">
        <f>LT!G87</f>
        <v>2.5</v>
      </c>
      <c r="K37" s="37">
        <f>LT!L87</f>
        <v>42.19</v>
      </c>
      <c r="L37" s="29">
        <f t="shared" si="19"/>
        <v>0.99329648548073812</v>
      </c>
      <c r="M37" s="32">
        <f t="shared" si="13"/>
        <v>6.7035145192618772E-3</v>
      </c>
      <c r="N37" s="33">
        <f t="shared" si="20"/>
        <v>97309.606214256914</v>
      </c>
      <c r="O37" s="34">
        <f t="shared" si="14"/>
        <v>652.31635812092702</v>
      </c>
      <c r="P37" s="29">
        <f t="shared" si="21"/>
        <v>2.7885754393447191</v>
      </c>
      <c r="Q37" s="33">
        <f t="shared" si="15"/>
        <v>485105.48265561875</v>
      </c>
      <c r="R37" s="33">
        <f t="shared" si="16"/>
        <v>4125884.0882669347</v>
      </c>
      <c r="S37" s="26">
        <f t="shared" si="17"/>
        <v>42.399555899779685</v>
      </c>
      <c r="T37" s="36">
        <f t="shared" si="18"/>
        <v>0.20955589977968714</v>
      </c>
    </row>
    <row r="38" spans="2:20">
      <c r="B38" s="23">
        <v>45</v>
      </c>
      <c r="C38" s="24">
        <v>5</v>
      </c>
      <c r="D38" s="25">
        <f>'Defunciones generales'!D88</f>
        <v>73</v>
      </c>
      <c r="E38" s="25">
        <f>Homicidios!D1228</f>
        <v>7</v>
      </c>
      <c r="F38" s="26">
        <f t="shared" si="11"/>
        <v>0.90410958904109584</v>
      </c>
      <c r="G38" s="27">
        <f>LT!H88</f>
        <v>95519</v>
      </c>
      <c r="H38" s="28">
        <f>1-LT!F88</f>
        <v>0.98441000000000001</v>
      </c>
      <c r="I38" s="29">
        <f t="shared" si="12"/>
        <v>1.5589999999999993E-2</v>
      </c>
      <c r="J38" s="30">
        <f>LT!G88</f>
        <v>2.5</v>
      </c>
      <c r="K38" s="37">
        <f>LT!L88</f>
        <v>37.520000000000003</v>
      </c>
      <c r="L38" s="29">
        <f t="shared" si="19"/>
        <v>0.98589433543106009</v>
      </c>
      <c r="M38" s="32">
        <f t="shared" si="13"/>
        <v>1.4105664568939913E-2</v>
      </c>
      <c r="N38" s="33">
        <f t="shared" si="20"/>
        <v>96657.289856135991</v>
      </c>
      <c r="O38" s="34">
        <f t="shared" si="14"/>
        <v>1363.4153088534526</v>
      </c>
      <c r="P38" s="29">
        <f t="shared" si="21"/>
        <v>2.6711442980632274</v>
      </c>
      <c r="Q38" s="33">
        <f t="shared" si="15"/>
        <v>480111.25176454871</v>
      </c>
      <c r="R38" s="33">
        <f t="shared" si="16"/>
        <v>3640778.6056113159</v>
      </c>
      <c r="S38" s="26">
        <f t="shared" si="17"/>
        <v>37.666880698085208</v>
      </c>
      <c r="T38" s="36">
        <f t="shared" si="18"/>
        <v>0.1468806980852051</v>
      </c>
    </row>
    <row r="39" spans="2:20">
      <c r="B39" s="23">
        <v>50</v>
      </c>
      <c r="C39" s="24">
        <v>5</v>
      </c>
      <c r="D39" s="25">
        <f>'Defunciones generales'!D89</f>
        <v>80</v>
      </c>
      <c r="E39" s="25">
        <f>Homicidios!D1229</f>
        <v>1</v>
      </c>
      <c r="F39" s="26">
        <f t="shared" si="11"/>
        <v>0.98750000000000004</v>
      </c>
      <c r="G39" s="27">
        <f>LT!H89</f>
        <v>94030</v>
      </c>
      <c r="H39" s="28">
        <f>1-LT!F89</f>
        <v>0.98116800000000004</v>
      </c>
      <c r="I39" s="29">
        <f t="shared" si="12"/>
        <v>1.883199999999996E-2</v>
      </c>
      <c r="J39" s="30">
        <f>LT!G89</f>
        <v>2.5</v>
      </c>
      <c r="K39" s="37">
        <f>LT!L89</f>
        <v>33.08</v>
      </c>
      <c r="L39" s="29">
        <f t="shared" si="19"/>
        <v>0.98140119713515306</v>
      </c>
      <c r="M39" s="32">
        <f t="shared" si="13"/>
        <v>1.8598802864846942E-2</v>
      </c>
      <c r="N39" s="33">
        <f t="shared" si="20"/>
        <v>95293.874547282539</v>
      </c>
      <c r="O39" s="34">
        <f t="shared" si="14"/>
        <v>1772.3519869323636</v>
      </c>
      <c r="P39" s="29">
        <f t="shared" si="21"/>
        <v>2.6195810798793442</v>
      </c>
      <c r="Q39" s="33">
        <f t="shared" si="15"/>
        <v>472250.43253360549</v>
      </c>
      <c r="R39" s="33">
        <f t="shared" si="16"/>
        <v>3160667.3538467675</v>
      </c>
      <c r="S39" s="26">
        <f t="shared" si="17"/>
        <v>33.167581535143896</v>
      </c>
      <c r="T39" s="36">
        <f t="shared" si="18"/>
        <v>8.7581535143897327E-2</v>
      </c>
    </row>
    <row r="40" spans="2:20">
      <c r="B40" s="23">
        <v>55</v>
      </c>
      <c r="C40" s="24">
        <v>5</v>
      </c>
      <c r="D40" s="25">
        <f>'Defunciones generales'!D90</f>
        <v>91</v>
      </c>
      <c r="E40" s="25">
        <f>Homicidios!D1230</f>
        <v>2</v>
      </c>
      <c r="F40" s="26">
        <f t="shared" si="11"/>
        <v>0.97802197802197799</v>
      </c>
      <c r="G40" s="27">
        <f>LT!H90</f>
        <v>92260</v>
      </c>
      <c r="H40" s="28">
        <f>1-LT!F90</f>
        <v>0.97397900000000004</v>
      </c>
      <c r="I40" s="29">
        <f t="shared" si="12"/>
        <v>2.6020999999999961E-2</v>
      </c>
      <c r="J40" s="30">
        <f>LT!G90</f>
        <v>2.5</v>
      </c>
      <c r="K40" s="37">
        <f>LT!L90</f>
        <v>28.67</v>
      </c>
      <c r="L40" s="29">
        <f t="shared" si="19"/>
        <v>0.97454354769480167</v>
      </c>
      <c r="M40" s="32">
        <f t="shared" si="13"/>
        <v>2.5456452305198329E-2</v>
      </c>
      <c r="N40" s="33">
        <f t="shared" si="20"/>
        <v>93521.522560350175</v>
      </c>
      <c r="O40" s="34">
        <f t="shared" si="14"/>
        <v>2380.7261785670839</v>
      </c>
      <c r="P40" s="29">
        <f t="shared" si="21"/>
        <v>2.6926163542049899</v>
      </c>
      <c r="Q40" s="33">
        <f t="shared" si="15"/>
        <v>462114.36415220913</v>
      </c>
      <c r="R40" s="33">
        <f t="shared" si="16"/>
        <v>2688416.921313162</v>
      </c>
      <c r="S40" s="26">
        <f t="shared" si="17"/>
        <v>28.746505058002079</v>
      </c>
      <c r="T40" s="36">
        <f t="shared" si="18"/>
        <v>7.6505058002076964E-2</v>
      </c>
    </row>
    <row r="41" spans="2:20">
      <c r="B41" s="23">
        <v>60</v>
      </c>
      <c r="C41" s="24">
        <v>5</v>
      </c>
      <c r="D41" s="25">
        <f>'Defunciones generales'!D91</f>
        <v>133</v>
      </c>
      <c r="E41" s="25">
        <f>Homicidios!D1231</f>
        <v>1</v>
      </c>
      <c r="F41" s="26">
        <f t="shared" si="11"/>
        <v>0.99248120300751874</v>
      </c>
      <c r="G41" s="27">
        <f>LT!H91</f>
        <v>89859</v>
      </c>
      <c r="H41" s="28">
        <f>1-LT!F91</f>
        <v>0.95608000000000004</v>
      </c>
      <c r="I41" s="29">
        <f t="shared" si="12"/>
        <v>4.3919999999999959E-2</v>
      </c>
      <c r="J41" s="30">
        <f>LT!G91</f>
        <v>2.5</v>
      </c>
      <c r="K41" s="37">
        <f>LT!L91</f>
        <v>24.36</v>
      </c>
      <c r="L41" s="29">
        <f t="shared" si="19"/>
        <v>0.9564029197715983</v>
      </c>
      <c r="M41" s="32">
        <f t="shared" si="13"/>
        <v>4.3597080228401697E-2</v>
      </c>
      <c r="N41" s="33">
        <f t="shared" si="20"/>
        <v>91140.79638178309</v>
      </c>
      <c r="O41" s="34">
        <f t="shared" si="14"/>
        <v>3973.4726119370202</v>
      </c>
      <c r="P41" s="29">
        <f t="shared" si="21"/>
        <v>2.6897114381684686</v>
      </c>
      <c r="Q41" s="33">
        <f t="shared" si="15"/>
        <v>446524.11358280649</v>
      </c>
      <c r="R41" s="33">
        <f t="shared" si="16"/>
        <v>2226302.5571609531</v>
      </c>
      <c r="S41" s="26">
        <f t="shared" si="17"/>
        <v>24.427069386524899</v>
      </c>
      <c r="T41" s="36">
        <f t="shared" si="18"/>
        <v>6.7069386524899244E-2</v>
      </c>
    </row>
    <row r="42" spans="2:20">
      <c r="B42" s="23">
        <v>65</v>
      </c>
      <c r="C42" s="24">
        <v>5</v>
      </c>
      <c r="D42" s="25">
        <f>'Defunciones generales'!D92</f>
        <v>158</v>
      </c>
      <c r="E42" s="25">
        <f>Homicidios!D1232</f>
        <v>0</v>
      </c>
      <c r="F42" s="26">
        <f t="shared" si="11"/>
        <v>1</v>
      </c>
      <c r="G42" s="27">
        <f>LT!H92</f>
        <v>85912</v>
      </c>
      <c r="H42" s="28">
        <f>1-LT!F92</f>
        <v>0.93117800000000006</v>
      </c>
      <c r="I42" s="29">
        <f t="shared" si="12"/>
        <v>6.8821999999999939E-2</v>
      </c>
      <c r="J42" s="30">
        <f>LT!G92</f>
        <v>2.5</v>
      </c>
      <c r="K42" s="37">
        <f>LT!L92</f>
        <v>20.37</v>
      </c>
      <c r="L42" s="29">
        <f t="shared" si="19"/>
        <v>0.93117800000000006</v>
      </c>
      <c r="M42" s="32">
        <f t="shared" si="13"/>
        <v>6.8821999999999939E-2</v>
      </c>
      <c r="N42" s="33">
        <f t="shared" si="20"/>
        <v>87167.323769846073</v>
      </c>
      <c r="O42" s="34">
        <f t="shared" si="14"/>
        <v>5999.0295564883409</v>
      </c>
      <c r="P42" s="29">
        <f t="shared" si="21"/>
        <v>2.6173649257568887</v>
      </c>
      <c r="Q42" s="33">
        <f t="shared" si="15"/>
        <v>421543.12061652011</v>
      </c>
      <c r="R42" s="33">
        <f t="shared" si="16"/>
        <v>1779778.4435781466</v>
      </c>
      <c r="S42" s="26">
        <f t="shared" si="17"/>
        <v>20.417954419220429</v>
      </c>
      <c r="T42" s="36">
        <f t="shared" si="18"/>
        <v>4.795441922042798E-2</v>
      </c>
    </row>
    <row r="43" spans="2:20">
      <c r="B43" s="23">
        <v>70</v>
      </c>
      <c r="C43" s="24">
        <v>5</v>
      </c>
      <c r="D43" s="25">
        <f>'Defunciones generales'!D93</f>
        <v>153</v>
      </c>
      <c r="E43" s="25">
        <f>Homicidios!D1233</f>
        <v>0</v>
      </c>
      <c r="F43" s="26">
        <f t="shared" si="11"/>
        <v>1</v>
      </c>
      <c r="G43" s="27">
        <f>LT!H93</f>
        <v>80000</v>
      </c>
      <c r="H43" s="28">
        <f>1-LT!F93</f>
        <v>0.90941000000000005</v>
      </c>
      <c r="I43" s="29">
        <f t="shared" si="12"/>
        <v>9.0589999999999948E-2</v>
      </c>
      <c r="J43" s="30">
        <f>LT!G93</f>
        <v>2.5</v>
      </c>
      <c r="K43" s="37">
        <f>LT!L93</f>
        <v>16.690000000000001</v>
      </c>
      <c r="L43" s="29">
        <f t="shared" si="19"/>
        <v>0.90941000000000005</v>
      </c>
      <c r="M43" s="32">
        <f t="shared" si="13"/>
        <v>9.0589999999999948E-2</v>
      </c>
      <c r="N43" s="33">
        <f t="shared" si="20"/>
        <v>81168.294213357731</v>
      </c>
      <c r="O43" s="34">
        <f t="shared" si="14"/>
        <v>7353.0357727880728</v>
      </c>
      <c r="P43" s="29">
        <f t="shared" si="21"/>
        <v>2.6709610592744069</v>
      </c>
      <c r="Q43" s="33">
        <f>(C43*N44)+(P43*O43)</f>
        <v>388715.96441941685</v>
      </c>
      <c r="R43" s="33">
        <f t="shared" si="16"/>
        <v>1358235.3229616266</v>
      </c>
      <c r="S43" s="26">
        <f t="shared" si="17"/>
        <v>16.73356987632868</v>
      </c>
      <c r="T43" s="36">
        <f t="shared" si="18"/>
        <v>4.3569876328678703E-2</v>
      </c>
    </row>
    <row r="44" spans="2:20">
      <c r="B44" s="23">
        <v>75</v>
      </c>
      <c r="C44" s="24">
        <v>5</v>
      </c>
      <c r="D44" s="25">
        <f>'Defunciones generales'!D94</f>
        <v>197</v>
      </c>
      <c r="E44" s="25">
        <f>Homicidios!D1234</f>
        <v>1</v>
      </c>
      <c r="F44" s="26">
        <f t="shared" si="11"/>
        <v>0.99492385786802029</v>
      </c>
      <c r="G44" s="27">
        <f>LT!H94</f>
        <v>72752</v>
      </c>
      <c r="H44" s="28">
        <f>1-LT!F94</f>
        <v>0.836225</v>
      </c>
      <c r="I44" s="29">
        <f t="shared" si="12"/>
        <v>0.163775</v>
      </c>
      <c r="J44" s="30">
        <f>LT!G94</f>
        <v>2.5</v>
      </c>
      <c r="K44" s="37">
        <f>LT!L94</f>
        <v>13.1</v>
      </c>
      <c r="L44" s="29">
        <f t="shared" si="19"/>
        <v>0.83698455879215028</v>
      </c>
      <c r="M44" s="32">
        <f t="shared" si="13"/>
        <v>0.16301544120784972</v>
      </c>
      <c r="N44" s="33">
        <f t="shared" si="20"/>
        <v>73815.258440569654</v>
      </c>
      <c r="O44" s="34">
        <f t="shared" si="14"/>
        <v>12033.026922560915</v>
      </c>
      <c r="P44" s="29">
        <f t="shared" si="21"/>
        <v>2.6359218244510902</v>
      </c>
      <c r="Q44" s="33">
        <f t="shared" si="15"/>
        <v>340629.27586942952</v>
      </c>
      <c r="R44" s="33">
        <f t="shared" si="16"/>
        <v>969519.35854220972</v>
      </c>
      <c r="S44" s="26">
        <f t="shared" si="17"/>
        <v>13.134403089881367</v>
      </c>
      <c r="T44" s="36">
        <f t="shared" si="18"/>
        <v>3.4403089881367421E-2</v>
      </c>
    </row>
    <row r="45" spans="2:20">
      <c r="B45" s="23">
        <v>80</v>
      </c>
      <c r="C45" s="24">
        <v>5</v>
      </c>
      <c r="D45" s="25">
        <f>'Defunciones generales'!D95</f>
        <v>205</v>
      </c>
      <c r="E45" s="25">
        <f>Homicidios!D1235</f>
        <v>0</v>
      </c>
      <c r="F45" s="26">
        <f t="shared" si="11"/>
        <v>1</v>
      </c>
      <c r="G45" s="27">
        <f>LT!H95</f>
        <v>60837</v>
      </c>
      <c r="H45" s="28">
        <f>1-LT!F95</f>
        <v>0.753915</v>
      </c>
      <c r="I45" s="29">
        <f t="shared" si="12"/>
        <v>0.246085</v>
      </c>
      <c r="J45" s="30">
        <f>LT!G95</f>
        <v>2.5</v>
      </c>
      <c r="K45" s="37">
        <f>LT!L95</f>
        <v>10.18</v>
      </c>
      <c r="L45" s="29">
        <f t="shared" si="19"/>
        <v>0.753915</v>
      </c>
      <c r="M45" s="32">
        <f t="shared" si="13"/>
        <v>0.246085</v>
      </c>
      <c r="N45" s="33">
        <f t="shared" si="20"/>
        <v>61782.231518008739</v>
      </c>
      <c r="O45" s="34">
        <f t="shared" si="14"/>
        <v>15203.68044310918</v>
      </c>
      <c r="P45" s="34">
        <f>C45+(F45*(I45/M45)*(J45-C45))</f>
        <v>2.5</v>
      </c>
      <c r="Q45" s="33">
        <f>(C45*N46)+(P45*O45)</f>
        <v>270901.95648227073</v>
      </c>
      <c r="R45" s="33">
        <f t="shared" si="16"/>
        <v>628890.08267278015</v>
      </c>
      <c r="S45" s="26">
        <f t="shared" si="17"/>
        <v>10.179141594933595</v>
      </c>
      <c r="T45" s="36">
        <f t="shared" si="18"/>
        <v>-8.5840506640444403E-4</v>
      </c>
    </row>
    <row r="46" spans="2:20">
      <c r="B46" s="38">
        <v>85</v>
      </c>
      <c r="C46" s="39">
        <v>5</v>
      </c>
      <c r="D46" s="40">
        <f>'Defunciones generales'!D96</f>
        <v>438</v>
      </c>
      <c r="E46" s="40">
        <f>Homicidios!D1236</f>
        <v>0</v>
      </c>
      <c r="F46" s="41">
        <f t="shared" si="11"/>
        <v>1</v>
      </c>
      <c r="G46" s="42">
        <f>LT!H96</f>
        <v>45866</v>
      </c>
      <c r="H46" s="43">
        <f>1-LT!F96</f>
        <v>0</v>
      </c>
      <c r="I46" s="44">
        <f t="shared" si="12"/>
        <v>1</v>
      </c>
      <c r="J46" s="45" t="str">
        <f>LT!G96</f>
        <v>NA</v>
      </c>
      <c r="K46" s="37">
        <f>LT!L96</f>
        <v>7.69</v>
      </c>
      <c r="L46" s="44">
        <f t="shared" si="19"/>
        <v>0</v>
      </c>
      <c r="M46" s="47">
        <f t="shared" si="13"/>
        <v>1</v>
      </c>
      <c r="N46" s="48">
        <f t="shared" si="20"/>
        <v>46578.551074899558</v>
      </c>
      <c r="O46" s="49">
        <f t="shared" si="14"/>
        <v>46578.551074899558</v>
      </c>
      <c r="P46" s="44">
        <f>K46/F46</f>
        <v>7.69</v>
      </c>
      <c r="Q46" s="46">
        <f>N46/LT!E96</f>
        <v>357988.12619050936</v>
      </c>
      <c r="R46" s="48">
        <f>Q46</f>
        <v>357988.12619050936</v>
      </c>
      <c r="S46" s="41">
        <f t="shared" si="17"/>
        <v>7.6856861780619763</v>
      </c>
      <c r="T46" s="50">
        <f t="shared" si="18"/>
        <v>-4.3138219380240983E-3</v>
      </c>
    </row>
  </sheetData>
  <mergeCells count="2">
    <mergeCell ref="B2:T2"/>
    <mergeCell ref="B26:T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Def_ocu_filtrada_2010_2019_2021</vt:lpstr>
      <vt:lpstr>Defunciones generales</vt:lpstr>
      <vt:lpstr>Def_hom_filtrada_2010_2019_2021</vt:lpstr>
      <vt:lpstr>Homicidios</vt:lpstr>
      <vt:lpstr>LT</vt:lpstr>
      <vt:lpstr>Decrementos Múltiples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Bojo</dc:creator>
  <cp:lastModifiedBy>Ana Bojo</cp:lastModifiedBy>
  <dcterms:created xsi:type="dcterms:W3CDTF">2025-11-24T00:20:29Z</dcterms:created>
  <dcterms:modified xsi:type="dcterms:W3CDTF">2025-11-24T05:55:28Z</dcterms:modified>
</cp:coreProperties>
</file>